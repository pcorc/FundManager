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trickCorcoran\OneDrive - Vest Financial\Documents\Coding\VestFundManager\outputs\"/>
    </mc:Choice>
  </mc:AlternateContent>
  <xr:revisionPtr revIDLastSave="0" documentId="8_{88C6E6F9-2671-43EF-84D3-E66FD63AB684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Summary" sheetId="1" r:id="rId1"/>
    <sheet name="40Act_Diversification" sheetId="2" r:id="rId2"/>
    <sheet name="IRS_Diversification" sheetId="3" r:id="rId3"/>
  </sheets>
  <definedNames>
    <definedName name="_xlnm._FilterDatabase" localSheetId="1" hidden="1">'40Act_Diversification'!$A$1:$U$602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S9" i="2"/>
  <c r="S8" i="2"/>
  <c r="S7" i="2"/>
  <c r="S6" i="2"/>
  <c r="S5" i="2"/>
  <c r="S4" i="2"/>
  <c r="G4" i="2" s="1"/>
  <c r="S3" i="2"/>
  <c r="G3" i="2" s="1"/>
  <c r="S19" i="2"/>
  <c r="S18" i="2"/>
  <c r="S17" i="2"/>
  <c r="S16" i="2"/>
  <c r="S15" i="2"/>
  <c r="S14" i="2"/>
  <c r="S13" i="2"/>
  <c r="G13" i="2" s="1"/>
  <c r="S12" i="2"/>
  <c r="S28" i="2"/>
  <c r="S27" i="2"/>
  <c r="S26" i="2"/>
  <c r="S25" i="2"/>
  <c r="S24" i="2"/>
  <c r="S23" i="2"/>
  <c r="S22" i="2"/>
  <c r="S21" i="2"/>
  <c r="G21" i="2" s="1"/>
  <c r="S37" i="2"/>
  <c r="S36" i="2"/>
  <c r="S35" i="2"/>
  <c r="S34" i="2"/>
  <c r="S33" i="2"/>
  <c r="S32" i="2"/>
  <c r="S31" i="2"/>
  <c r="S30" i="2"/>
  <c r="G30" i="2" s="1"/>
  <c r="S40" i="2"/>
  <c r="S41" i="2"/>
  <c r="S42" i="2"/>
  <c r="S43" i="2"/>
  <c r="S44" i="2"/>
  <c r="S45" i="2"/>
  <c r="S46" i="2"/>
  <c r="S39" i="2"/>
  <c r="R10" i="2"/>
  <c r="R9" i="2"/>
  <c r="R8" i="2"/>
  <c r="F8" i="2" s="1"/>
  <c r="R7" i="2"/>
  <c r="R6" i="2"/>
  <c r="R5" i="2"/>
  <c r="R4" i="2"/>
  <c r="R3" i="2"/>
  <c r="F3" i="2" s="1"/>
  <c r="R19" i="2"/>
  <c r="R18" i="2"/>
  <c r="R17" i="2"/>
  <c r="F17" i="2" s="1"/>
  <c r="R16" i="2"/>
  <c r="F16" i="2" s="1"/>
  <c r="R15" i="2"/>
  <c r="R14" i="2"/>
  <c r="R13" i="2"/>
  <c r="R12" i="2"/>
  <c r="F12" i="2" s="1"/>
  <c r="R28" i="2"/>
  <c r="R27" i="2"/>
  <c r="R26" i="2"/>
  <c r="F26" i="2" s="1"/>
  <c r="R25" i="2"/>
  <c r="F25" i="2" s="1"/>
  <c r="R24" i="2"/>
  <c r="R23" i="2"/>
  <c r="R22" i="2"/>
  <c r="R21" i="2"/>
  <c r="R37" i="2"/>
  <c r="R36" i="2"/>
  <c r="R35" i="2"/>
  <c r="R34" i="2"/>
  <c r="F34" i="2" s="1"/>
  <c r="R33" i="2"/>
  <c r="F33" i="2" s="1"/>
  <c r="R32" i="2"/>
  <c r="R31" i="2"/>
  <c r="R30" i="2"/>
  <c r="R40" i="2"/>
  <c r="R41" i="2"/>
  <c r="R42" i="2"/>
  <c r="F42" i="2" s="1"/>
  <c r="R43" i="2"/>
  <c r="F43" i="2" s="1"/>
  <c r="R44" i="2"/>
  <c r="F44" i="2" s="1"/>
  <c r="R45" i="2"/>
  <c r="F45" i="2" s="1"/>
  <c r="R46" i="2"/>
  <c r="F46" i="2" s="1"/>
  <c r="R39" i="2"/>
  <c r="O10" i="2"/>
  <c r="O9" i="2"/>
  <c r="O8" i="2"/>
  <c r="O7" i="2"/>
  <c r="O6" i="2"/>
  <c r="O5" i="2"/>
  <c r="O4" i="2"/>
  <c r="O3" i="2"/>
  <c r="O19" i="2"/>
  <c r="O18" i="2"/>
  <c r="O17" i="2"/>
  <c r="O16" i="2"/>
  <c r="O15" i="2"/>
  <c r="O14" i="2"/>
  <c r="O13" i="2"/>
  <c r="O12" i="2"/>
  <c r="O28" i="2"/>
  <c r="O27" i="2"/>
  <c r="O26" i="2"/>
  <c r="O25" i="2"/>
  <c r="O24" i="2"/>
  <c r="O23" i="2"/>
  <c r="O22" i="2"/>
  <c r="O21" i="2"/>
  <c r="O37" i="2"/>
  <c r="O36" i="2"/>
  <c r="O35" i="2"/>
  <c r="O34" i="2"/>
  <c r="O33" i="2"/>
  <c r="O32" i="2"/>
  <c r="O31" i="2"/>
  <c r="O30" i="2"/>
  <c r="O40" i="2"/>
  <c r="O41" i="2"/>
  <c r="O42" i="2"/>
  <c r="O43" i="2"/>
  <c r="O44" i="2"/>
  <c r="O45" i="2"/>
  <c r="O46" i="2"/>
  <c r="O39" i="2"/>
  <c r="T264" i="2"/>
  <c r="T265" i="2"/>
  <c r="T266" i="2"/>
  <c r="T267" i="2"/>
  <c r="T268" i="2"/>
  <c r="T269" i="2"/>
  <c r="T270" i="2"/>
  <c r="T271" i="2"/>
  <c r="T272" i="2"/>
  <c r="T273" i="2"/>
  <c r="T263" i="2"/>
  <c r="S264" i="2"/>
  <c r="S265" i="2"/>
  <c r="S266" i="2"/>
  <c r="S267" i="2"/>
  <c r="S268" i="2"/>
  <c r="G268" i="2" s="1"/>
  <c r="S269" i="2"/>
  <c r="S270" i="2"/>
  <c r="G270" i="2" s="1"/>
  <c r="S271" i="2"/>
  <c r="S272" i="2"/>
  <c r="G272" i="2" s="1"/>
  <c r="S273" i="2"/>
  <c r="G273" i="2" s="1"/>
  <c r="S263" i="2"/>
  <c r="R264" i="2"/>
  <c r="R265" i="2" s="1"/>
  <c r="R263" i="2"/>
  <c r="Q264" i="2"/>
  <c r="Q265" i="2"/>
  <c r="Q266" i="2"/>
  <c r="Q267" i="2"/>
  <c r="Q268" i="2"/>
  <c r="Q269" i="2"/>
  <c r="Q270" i="2"/>
  <c r="Q271" i="2"/>
  <c r="Q272" i="2"/>
  <c r="Q273" i="2"/>
  <c r="Q263" i="2"/>
  <c r="O264" i="2"/>
  <c r="O265" i="2"/>
  <c r="O266" i="2"/>
  <c r="O267" i="2"/>
  <c r="O268" i="2"/>
  <c r="O269" i="2"/>
  <c r="O270" i="2"/>
  <c r="O271" i="2"/>
  <c r="O272" i="2"/>
  <c r="O273" i="2"/>
  <c r="O263" i="2"/>
  <c r="N264" i="2"/>
  <c r="N265" i="2"/>
  <c r="N266" i="2"/>
  <c r="N267" i="2"/>
  <c r="N268" i="2"/>
  <c r="N269" i="2"/>
  <c r="N270" i="2"/>
  <c r="N271" i="2"/>
  <c r="N272" i="2"/>
  <c r="N273" i="2"/>
  <c r="N263" i="2"/>
  <c r="S66" i="2"/>
  <c r="S67" i="2"/>
  <c r="S68" i="2"/>
  <c r="S69" i="2"/>
  <c r="G69" i="2" s="1"/>
  <c r="S70" i="2"/>
  <c r="S71" i="2"/>
  <c r="S72" i="2"/>
  <c r="G72" i="2" s="1"/>
  <c r="S73" i="2"/>
  <c r="S65" i="2"/>
  <c r="R66" i="2"/>
  <c r="R67" i="2"/>
  <c r="R68" i="2" s="1"/>
  <c r="R65" i="2"/>
  <c r="P66" i="2"/>
  <c r="P67" i="2"/>
  <c r="P68" i="2"/>
  <c r="P69" i="2"/>
  <c r="P70" i="2"/>
  <c r="P71" i="2"/>
  <c r="P72" i="2"/>
  <c r="P73" i="2"/>
  <c r="P65" i="2"/>
  <c r="O66" i="2"/>
  <c r="O67" i="2"/>
  <c r="O68" i="2"/>
  <c r="O69" i="2"/>
  <c r="O70" i="2"/>
  <c r="O71" i="2"/>
  <c r="O72" i="2"/>
  <c r="O73" i="2"/>
  <c r="O65" i="2"/>
  <c r="R38" i="2"/>
  <c r="R29" i="2"/>
  <c r="R20" i="2"/>
  <c r="F20" i="2" s="1"/>
  <c r="R11" i="2"/>
  <c r="R2" i="2"/>
  <c r="F2" i="2" s="1"/>
  <c r="T38" i="2"/>
  <c r="T29" i="2"/>
  <c r="T20" i="2"/>
  <c r="T11" i="2"/>
  <c r="T2" i="2"/>
  <c r="S38" i="2"/>
  <c r="G38" i="2" s="1"/>
  <c r="S29" i="2"/>
  <c r="G29" i="2" s="1"/>
  <c r="S20" i="2"/>
  <c r="G20" i="2" s="1"/>
  <c r="S11" i="2"/>
  <c r="G11" i="2" s="1"/>
  <c r="S2" i="2"/>
  <c r="O38" i="2"/>
  <c r="O29" i="2"/>
  <c r="O20" i="2"/>
  <c r="O2" i="2"/>
  <c r="O11" i="2"/>
  <c r="F4" i="2"/>
  <c r="F5" i="2"/>
  <c r="F6" i="2"/>
  <c r="F7" i="2"/>
  <c r="F9" i="2"/>
  <c r="F10" i="2"/>
  <c r="F11" i="2"/>
  <c r="F13" i="2"/>
  <c r="F14" i="2"/>
  <c r="F15" i="2"/>
  <c r="F18" i="2"/>
  <c r="F19" i="2"/>
  <c r="F21" i="2"/>
  <c r="F22" i="2"/>
  <c r="F23" i="2"/>
  <c r="F24" i="2"/>
  <c r="F27" i="2"/>
  <c r="F28" i="2"/>
  <c r="F29" i="2"/>
  <c r="F30" i="2"/>
  <c r="F31" i="2"/>
  <c r="F32" i="2"/>
  <c r="F35" i="2"/>
  <c r="F36" i="2"/>
  <c r="F37" i="2"/>
  <c r="F38" i="2"/>
  <c r="F39" i="2"/>
  <c r="F40" i="2"/>
  <c r="F41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G592" i="2"/>
  <c r="F592" i="2"/>
  <c r="E592" i="2"/>
  <c r="D592" i="2"/>
  <c r="G591" i="2"/>
  <c r="E591" i="2"/>
  <c r="D591" i="2"/>
  <c r="G590" i="2"/>
  <c r="E590" i="2"/>
  <c r="D590" i="2"/>
  <c r="G589" i="2"/>
  <c r="E589" i="2"/>
  <c r="D589" i="2"/>
  <c r="G588" i="2"/>
  <c r="E588" i="2"/>
  <c r="D588" i="2"/>
  <c r="G587" i="2"/>
  <c r="E587" i="2"/>
  <c r="D587" i="2"/>
  <c r="G586" i="2"/>
  <c r="E586" i="2"/>
  <c r="D586" i="2"/>
  <c r="G585" i="2"/>
  <c r="E585" i="2"/>
  <c r="D585" i="2"/>
  <c r="G584" i="2"/>
  <c r="E584" i="2"/>
  <c r="D584" i="2"/>
  <c r="G583" i="2"/>
  <c r="E583" i="2"/>
  <c r="D583" i="2"/>
  <c r="G582" i="2"/>
  <c r="E582" i="2"/>
  <c r="D582" i="2"/>
  <c r="G581" i="2"/>
  <c r="E581" i="2"/>
  <c r="D581" i="2"/>
  <c r="G580" i="2"/>
  <c r="E580" i="2"/>
  <c r="D580" i="2"/>
  <c r="G579" i="2"/>
  <c r="E579" i="2"/>
  <c r="D579" i="2"/>
  <c r="G578" i="2"/>
  <c r="E578" i="2"/>
  <c r="D578" i="2"/>
  <c r="G577" i="2"/>
  <c r="E577" i="2"/>
  <c r="D577" i="2"/>
  <c r="G576" i="2"/>
  <c r="E576" i="2"/>
  <c r="D576" i="2"/>
  <c r="G575" i="2"/>
  <c r="E575" i="2"/>
  <c r="D575" i="2"/>
  <c r="G574" i="2"/>
  <c r="E574" i="2"/>
  <c r="D574" i="2"/>
  <c r="G573" i="2"/>
  <c r="E573" i="2"/>
  <c r="D573" i="2"/>
  <c r="G572" i="2"/>
  <c r="E572" i="2"/>
  <c r="D572" i="2"/>
  <c r="G571" i="2"/>
  <c r="E571" i="2"/>
  <c r="D571" i="2"/>
  <c r="G570" i="2"/>
  <c r="E570" i="2"/>
  <c r="D570" i="2"/>
  <c r="G569" i="2"/>
  <c r="E569" i="2"/>
  <c r="D569" i="2"/>
  <c r="G568" i="2"/>
  <c r="E568" i="2"/>
  <c r="D568" i="2"/>
  <c r="G567" i="2"/>
  <c r="E567" i="2"/>
  <c r="D567" i="2"/>
  <c r="G566" i="2"/>
  <c r="E566" i="2"/>
  <c r="D566" i="2"/>
  <c r="G565" i="2"/>
  <c r="E565" i="2"/>
  <c r="D565" i="2"/>
  <c r="G564" i="2"/>
  <c r="E564" i="2"/>
  <c r="D564" i="2"/>
  <c r="G563" i="2"/>
  <c r="E563" i="2"/>
  <c r="D563" i="2"/>
  <c r="G562" i="2"/>
  <c r="E562" i="2"/>
  <c r="D562" i="2"/>
  <c r="G561" i="2"/>
  <c r="E561" i="2"/>
  <c r="D561" i="2"/>
  <c r="G560" i="2"/>
  <c r="E560" i="2"/>
  <c r="D560" i="2"/>
  <c r="G559" i="2"/>
  <c r="E559" i="2"/>
  <c r="D559" i="2"/>
  <c r="G558" i="2"/>
  <c r="E558" i="2"/>
  <c r="D558" i="2"/>
  <c r="G557" i="2"/>
  <c r="E557" i="2"/>
  <c r="D557" i="2"/>
  <c r="G556" i="2"/>
  <c r="E556" i="2"/>
  <c r="D556" i="2"/>
  <c r="G555" i="2"/>
  <c r="E555" i="2"/>
  <c r="D555" i="2"/>
  <c r="G554" i="2"/>
  <c r="E554" i="2"/>
  <c r="D554" i="2"/>
  <c r="G553" i="2"/>
  <c r="E553" i="2"/>
  <c r="D553" i="2"/>
  <c r="G552" i="2"/>
  <c r="E552" i="2"/>
  <c r="D552" i="2"/>
  <c r="G551" i="2"/>
  <c r="E551" i="2"/>
  <c r="D551" i="2"/>
  <c r="G550" i="2"/>
  <c r="E550" i="2"/>
  <c r="D550" i="2"/>
  <c r="G549" i="2"/>
  <c r="E549" i="2"/>
  <c r="D549" i="2"/>
  <c r="G548" i="2"/>
  <c r="E548" i="2"/>
  <c r="D548" i="2"/>
  <c r="G547" i="2"/>
  <c r="E547" i="2"/>
  <c r="D547" i="2"/>
  <c r="G546" i="2"/>
  <c r="E546" i="2"/>
  <c r="D546" i="2"/>
  <c r="G545" i="2"/>
  <c r="E545" i="2"/>
  <c r="D545" i="2"/>
  <c r="G544" i="2"/>
  <c r="E544" i="2"/>
  <c r="D544" i="2"/>
  <c r="G543" i="2"/>
  <c r="E543" i="2"/>
  <c r="D543" i="2"/>
  <c r="G542" i="2"/>
  <c r="E542" i="2"/>
  <c r="D542" i="2"/>
  <c r="G541" i="2"/>
  <c r="E541" i="2"/>
  <c r="D541" i="2"/>
  <c r="G540" i="2"/>
  <c r="E540" i="2"/>
  <c r="D540" i="2"/>
  <c r="G539" i="2"/>
  <c r="E539" i="2"/>
  <c r="D539" i="2"/>
  <c r="G538" i="2"/>
  <c r="E538" i="2"/>
  <c r="D538" i="2"/>
  <c r="G537" i="2"/>
  <c r="E537" i="2"/>
  <c r="D537" i="2"/>
  <c r="G536" i="2"/>
  <c r="E536" i="2"/>
  <c r="D536" i="2"/>
  <c r="G535" i="2"/>
  <c r="E535" i="2"/>
  <c r="D535" i="2"/>
  <c r="G534" i="2"/>
  <c r="E534" i="2"/>
  <c r="D534" i="2"/>
  <c r="G533" i="2"/>
  <c r="E533" i="2"/>
  <c r="D533" i="2"/>
  <c r="G532" i="2"/>
  <c r="E532" i="2"/>
  <c r="D532" i="2"/>
  <c r="G531" i="2"/>
  <c r="E531" i="2"/>
  <c r="D531" i="2"/>
  <c r="G530" i="2"/>
  <c r="E530" i="2"/>
  <c r="D530" i="2"/>
  <c r="G529" i="2"/>
  <c r="E529" i="2"/>
  <c r="D529" i="2"/>
  <c r="G528" i="2"/>
  <c r="E528" i="2"/>
  <c r="D528" i="2"/>
  <c r="G527" i="2"/>
  <c r="E527" i="2"/>
  <c r="D527" i="2"/>
  <c r="G526" i="2"/>
  <c r="E526" i="2"/>
  <c r="D526" i="2"/>
  <c r="G525" i="2"/>
  <c r="E525" i="2"/>
  <c r="D525" i="2"/>
  <c r="G524" i="2"/>
  <c r="E524" i="2"/>
  <c r="D524" i="2"/>
  <c r="G523" i="2"/>
  <c r="E523" i="2"/>
  <c r="D523" i="2"/>
  <c r="G522" i="2"/>
  <c r="E522" i="2"/>
  <c r="D522" i="2"/>
  <c r="G521" i="2"/>
  <c r="E521" i="2"/>
  <c r="D521" i="2"/>
  <c r="G520" i="2"/>
  <c r="E520" i="2"/>
  <c r="D520" i="2"/>
  <c r="G519" i="2"/>
  <c r="E519" i="2"/>
  <c r="D519" i="2"/>
  <c r="G518" i="2"/>
  <c r="E518" i="2"/>
  <c r="D518" i="2"/>
  <c r="G517" i="2"/>
  <c r="E517" i="2"/>
  <c r="D517" i="2"/>
  <c r="G516" i="2"/>
  <c r="E516" i="2"/>
  <c r="D516" i="2"/>
  <c r="G515" i="2"/>
  <c r="E515" i="2"/>
  <c r="D515" i="2"/>
  <c r="G514" i="2"/>
  <c r="E514" i="2"/>
  <c r="D514" i="2"/>
  <c r="G513" i="2"/>
  <c r="E513" i="2"/>
  <c r="D513" i="2"/>
  <c r="G512" i="2"/>
  <c r="E512" i="2"/>
  <c r="D512" i="2"/>
  <c r="G511" i="2"/>
  <c r="E511" i="2"/>
  <c r="D511" i="2"/>
  <c r="G510" i="2"/>
  <c r="E510" i="2"/>
  <c r="D510" i="2"/>
  <c r="G509" i="2"/>
  <c r="E509" i="2"/>
  <c r="D509" i="2"/>
  <c r="G508" i="2"/>
  <c r="E508" i="2"/>
  <c r="D508" i="2"/>
  <c r="G507" i="2"/>
  <c r="E507" i="2"/>
  <c r="D507" i="2"/>
  <c r="G506" i="2"/>
  <c r="E506" i="2"/>
  <c r="D506" i="2"/>
  <c r="G505" i="2"/>
  <c r="E505" i="2"/>
  <c r="D505" i="2"/>
  <c r="G504" i="2"/>
  <c r="E504" i="2"/>
  <c r="D504" i="2"/>
  <c r="G503" i="2"/>
  <c r="E503" i="2"/>
  <c r="D503" i="2"/>
  <c r="G502" i="2"/>
  <c r="E502" i="2"/>
  <c r="D502" i="2"/>
  <c r="G501" i="2"/>
  <c r="E501" i="2"/>
  <c r="D501" i="2"/>
  <c r="G500" i="2"/>
  <c r="E500" i="2"/>
  <c r="D500" i="2"/>
  <c r="G499" i="2"/>
  <c r="E499" i="2"/>
  <c r="D499" i="2"/>
  <c r="G498" i="2"/>
  <c r="E498" i="2"/>
  <c r="D498" i="2"/>
  <c r="G497" i="2"/>
  <c r="E497" i="2"/>
  <c r="D497" i="2"/>
  <c r="G496" i="2"/>
  <c r="E496" i="2"/>
  <c r="D496" i="2"/>
  <c r="G495" i="2"/>
  <c r="E495" i="2"/>
  <c r="D495" i="2"/>
  <c r="G494" i="2"/>
  <c r="E494" i="2"/>
  <c r="D494" i="2"/>
  <c r="G493" i="2"/>
  <c r="E493" i="2"/>
  <c r="D493" i="2"/>
  <c r="G492" i="2"/>
  <c r="E492" i="2"/>
  <c r="D492" i="2"/>
  <c r="G491" i="2"/>
  <c r="E491" i="2"/>
  <c r="D491" i="2"/>
  <c r="G490" i="2"/>
  <c r="E490" i="2"/>
  <c r="D490" i="2"/>
  <c r="G489" i="2"/>
  <c r="E489" i="2"/>
  <c r="D489" i="2"/>
  <c r="G488" i="2"/>
  <c r="E488" i="2"/>
  <c r="D488" i="2"/>
  <c r="G487" i="2"/>
  <c r="E487" i="2"/>
  <c r="D487" i="2"/>
  <c r="G486" i="2"/>
  <c r="E486" i="2"/>
  <c r="D486" i="2"/>
  <c r="G485" i="2"/>
  <c r="E485" i="2"/>
  <c r="D485" i="2"/>
  <c r="G484" i="2"/>
  <c r="E484" i="2"/>
  <c r="D484" i="2"/>
  <c r="G483" i="2"/>
  <c r="E483" i="2"/>
  <c r="D483" i="2"/>
  <c r="G482" i="2"/>
  <c r="E482" i="2"/>
  <c r="D482" i="2"/>
  <c r="G481" i="2"/>
  <c r="E481" i="2"/>
  <c r="D481" i="2"/>
  <c r="G480" i="2"/>
  <c r="E480" i="2"/>
  <c r="D480" i="2"/>
  <c r="G479" i="2"/>
  <c r="E479" i="2"/>
  <c r="D479" i="2"/>
  <c r="G478" i="2"/>
  <c r="E478" i="2"/>
  <c r="D478" i="2"/>
  <c r="G477" i="2"/>
  <c r="E477" i="2"/>
  <c r="D477" i="2"/>
  <c r="G476" i="2"/>
  <c r="E476" i="2"/>
  <c r="D476" i="2"/>
  <c r="G475" i="2"/>
  <c r="E475" i="2"/>
  <c r="D475" i="2"/>
  <c r="G474" i="2"/>
  <c r="E474" i="2"/>
  <c r="D474" i="2"/>
  <c r="G473" i="2"/>
  <c r="E473" i="2"/>
  <c r="D473" i="2"/>
  <c r="G472" i="2"/>
  <c r="E472" i="2"/>
  <c r="D472" i="2"/>
  <c r="G471" i="2"/>
  <c r="E471" i="2"/>
  <c r="D471" i="2"/>
  <c r="G470" i="2"/>
  <c r="E470" i="2"/>
  <c r="D470" i="2"/>
  <c r="G469" i="2"/>
  <c r="E469" i="2"/>
  <c r="D469" i="2"/>
  <c r="G468" i="2"/>
  <c r="E468" i="2"/>
  <c r="D468" i="2"/>
  <c r="G467" i="2"/>
  <c r="E467" i="2"/>
  <c r="D467" i="2"/>
  <c r="G466" i="2"/>
  <c r="E466" i="2"/>
  <c r="D466" i="2"/>
  <c r="G465" i="2"/>
  <c r="E465" i="2"/>
  <c r="D465" i="2"/>
  <c r="G464" i="2"/>
  <c r="E464" i="2"/>
  <c r="D464" i="2"/>
  <c r="G463" i="2"/>
  <c r="E463" i="2"/>
  <c r="D463" i="2"/>
  <c r="G462" i="2"/>
  <c r="E462" i="2"/>
  <c r="D462" i="2"/>
  <c r="G461" i="2"/>
  <c r="E461" i="2"/>
  <c r="D461" i="2"/>
  <c r="G460" i="2"/>
  <c r="E460" i="2"/>
  <c r="D460" i="2"/>
  <c r="G459" i="2"/>
  <c r="E459" i="2"/>
  <c r="D459" i="2"/>
  <c r="G458" i="2"/>
  <c r="E458" i="2"/>
  <c r="D458" i="2"/>
  <c r="G457" i="2"/>
  <c r="E457" i="2"/>
  <c r="D457" i="2"/>
  <c r="G456" i="2"/>
  <c r="E456" i="2"/>
  <c r="D456" i="2"/>
  <c r="G455" i="2"/>
  <c r="E455" i="2"/>
  <c r="D455" i="2"/>
  <c r="G454" i="2"/>
  <c r="E454" i="2"/>
  <c r="D454" i="2"/>
  <c r="G453" i="2"/>
  <c r="E453" i="2"/>
  <c r="D453" i="2"/>
  <c r="G452" i="2"/>
  <c r="E452" i="2"/>
  <c r="D452" i="2"/>
  <c r="G451" i="2"/>
  <c r="E451" i="2"/>
  <c r="D451" i="2"/>
  <c r="G450" i="2"/>
  <c r="E450" i="2"/>
  <c r="D450" i="2"/>
  <c r="G449" i="2"/>
  <c r="E449" i="2"/>
  <c r="D449" i="2"/>
  <c r="G448" i="2"/>
  <c r="E448" i="2"/>
  <c r="D448" i="2"/>
  <c r="G447" i="2"/>
  <c r="E447" i="2"/>
  <c r="D447" i="2"/>
  <c r="G446" i="2"/>
  <c r="E446" i="2"/>
  <c r="D446" i="2"/>
  <c r="G445" i="2"/>
  <c r="E445" i="2"/>
  <c r="D445" i="2"/>
  <c r="G444" i="2"/>
  <c r="E444" i="2"/>
  <c r="D444" i="2"/>
  <c r="G443" i="2"/>
  <c r="E443" i="2"/>
  <c r="D443" i="2"/>
  <c r="G442" i="2"/>
  <c r="E442" i="2"/>
  <c r="D442" i="2"/>
  <c r="G441" i="2"/>
  <c r="E441" i="2"/>
  <c r="D441" i="2"/>
  <c r="G440" i="2"/>
  <c r="E440" i="2"/>
  <c r="D440" i="2"/>
  <c r="G439" i="2"/>
  <c r="E439" i="2"/>
  <c r="D439" i="2"/>
  <c r="G438" i="2"/>
  <c r="E438" i="2"/>
  <c r="D438" i="2"/>
  <c r="G437" i="2"/>
  <c r="E437" i="2"/>
  <c r="D437" i="2"/>
  <c r="G436" i="2"/>
  <c r="E436" i="2"/>
  <c r="D436" i="2"/>
  <c r="G435" i="2"/>
  <c r="E435" i="2"/>
  <c r="D435" i="2"/>
  <c r="G434" i="2"/>
  <c r="E434" i="2"/>
  <c r="D434" i="2"/>
  <c r="G433" i="2"/>
  <c r="E433" i="2"/>
  <c r="D433" i="2"/>
  <c r="G432" i="2"/>
  <c r="E432" i="2"/>
  <c r="D432" i="2"/>
  <c r="G431" i="2"/>
  <c r="E431" i="2"/>
  <c r="D431" i="2"/>
  <c r="G430" i="2"/>
  <c r="E430" i="2"/>
  <c r="D430" i="2"/>
  <c r="G429" i="2"/>
  <c r="E429" i="2"/>
  <c r="D429" i="2"/>
  <c r="G428" i="2"/>
  <c r="E428" i="2"/>
  <c r="D428" i="2"/>
  <c r="G427" i="2"/>
  <c r="E427" i="2"/>
  <c r="D427" i="2"/>
  <c r="G426" i="2"/>
  <c r="E426" i="2"/>
  <c r="D426" i="2"/>
  <c r="G425" i="2"/>
  <c r="E425" i="2"/>
  <c r="D425" i="2"/>
  <c r="G424" i="2"/>
  <c r="E424" i="2"/>
  <c r="D424" i="2"/>
  <c r="G423" i="2"/>
  <c r="E423" i="2"/>
  <c r="D423" i="2"/>
  <c r="G422" i="2"/>
  <c r="E422" i="2"/>
  <c r="D422" i="2"/>
  <c r="G421" i="2"/>
  <c r="E421" i="2"/>
  <c r="D421" i="2"/>
  <c r="G420" i="2"/>
  <c r="E420" i="2"/>
  <c r="D420" i="2"/>
  <c r="G419" i="2"/>
  <c r="E419" i="2"/>
  <c r="D419" i="2"/>
  <c r="G418" i="2"/>
  <c r="E418" i="2"/>
  <c r="D418" i="2"/>
  <c r="G417" i="2"/>
  <c r="E417" i="2"/>
  <c r="D417" i="2"/>
  <c r="G416" i="2"/>
  <c r="E416" i="2"/>
  <c r="D416" i="2"/>
  <c r="G415" i="2"/>
  <c r="E415" i="2"/>
  <c r="D415" i="2"/>
  <c r="G414" i="2"/>
  <c r="E414" i="2"/>
  <c r="D414" i="2"/>
  <c r="G413" i="2"/>
  <c r="E413" i="2"/>
  <c r="D413" i="2"/>
  <c r="G412" i="2"/>
  <c r="E412" i="2"/>
  <c r="D412" i="2"/>
  <c r="G411" i="2"/>
  <c r="E411" i="2"/>
  <c r="D411" i="2"/>
  <c r="G410" i="2"/>
  <c r="E410" i="2"/>
  <c r="D410" i="2"/>
  <c r="G409" i="2"/>
  <c r="E409" i="2"/>
  <c r="D409" i="2"/>
  <c r="G408" i="2"/>
  <c r="E408" i="2"/>
  <c r="D408" i="2"/>
  <c r="G407" i="2"/>
  <c r="E407" i="2"/>
  <c r="D407" i="2"/>
  <c r="G406" i="2"/>
  <c r="E406" i="2"/>
  <c r="D406" i="2"/>
  <c r="G405" i="2"/>
  <c r="E405" i="2"/>
  <c r="D405" i="2"/>
  <c r="G404" i="2"/>
  <c r="E404" i="2"/>
  <c r="D404" i="2"/>
  <c r="G403" i="2"/>
  <c r="E403" i="2"/>
  <c r="D403" i="2"/>
  <c r="G402" i="2"/>
  <c r="E402" i="2"/>
  <c r="D402" i="2"/>
  <c r="G401" i="2"/>
  <c r="E401" i="2"/>
  <c r="D401" i="2"/>
  <c r="G400" i="2"/>
  <c r="E400" i="2"/>
  <c r="D400" i="2"/>
  <c r="G399" i="2"/>
  <c r="E399" i="2"/>
  <c r="D399" i="2"/>
  <c r="G398" i="2"/>
  <c r="E398" i="2"/>
  <c r="D398" i="2"/>
  <c r="G397" i="2"/>
  <c r="E397" i="2"/>
  <c r="D397" i="2"/>
  <c r="G396" i="2"/>
  <c r="E396" i="2"/>
  <c r="D396" i="2"/>
  <c r="G395" i="2"/>
  <c r="E395" i="2"/>
  <c r="D395" i="2"/>
  <c r="G394" i="2"/>
  <c r="E394" i="2"/>
  <c r="D394" i="2"/>
  <c r="G393" i="2"/>
  <c r="E393" i="2"/>
  <c r="D393" i="2"/>
  <c r="G392" i="2"/>
  <c r="E392" i="2"/>
  <c r="D392" i="2"/>
  <c r="G391" i="2"/>
  <c r="E391" i="2"/>
  <c r="D391" i="2"/>
  <c r="G390" i="2"/>
  <c r="E390" i="2"/>
  <c r="D390" i="2"/>
  <c r="G389" i="2"/>
  <c r="E389" i="2"/>
  <c r="D389" i="2"/>
  <c r="G388" i="2"/>
  <c r="E388" i="2"/>
  <c r="D388" i="2"/>
  <c r="G387" i="2"/>
  <c r="E387" i="2"/>
  <c r="D387" i="2"/>
  <c r="G386" i="2"/>
  <c r="E386" i="2"/>
  <c r="D386" i="2"/>
  <c r="G385" i="2"/>
  <c r="E385" i="2"/>
  <c r="D385" i="2"/>
  <c r="G384" i="2"/>
  <c r="E384" i="2"/>
  <c r="D384" i="2"/>
  <c r="G383" i="2"/>
  <c r="E383" i="2"/>
  <c r="D383" i="2"/>
  <c r="G382" i="2"/>
  <c r="E382" i="2"/>
  <c r="D382" i="2"/>
  <c r="G381" i="2"/>
  <c r="E381" i="2"/>
  <c r="D381" i="2"/>
  <c r="G380" i="2"/>
  <c r="E380" i="2"/>
  <c r="D380" i="2"/>
  <c r="G379" i="2"/>
  <c r="E379" i="2"/>
  <c r="D379" i="2"/>
  <c r="G378" i="2"/>
  <c r="E378" i="2"/>
  <c r="D378" i="2"/>
  <c r="G377" i="2"/>
  <c r="E377" i="2"/>
  <c r="D377" i="2"/>
  <c r="G376" i="2"/>
  <c r="E376" i="2"/>
  <c r="D376" i="2"/>
  <c r="G375" i="2"/>
  <c r="E375" i="2"/>
  <c r="D375" i="2"/>
  <c r="G374" i="2"/>
  <c r="E374" i="2"/>
  <c r="D374" i="2"/>
  <c r="G373" i="2"/>
  <c r="E373" i="2"/>
  <c r="D373" i="2"/>
  <c r="G372" i="2"/>
  <c r="E372" i="2"/>
  <c r="D372" i="2"/>
  <c r="G371" i="2"/>
  <c r="E371" i="2"/>
  <c r="D371" i="2"/>
  <c r="G370" i="2"/>
  <c r="E370" i="2"/>
  <c r="D370" i="2"/>
  <c r="G369" i="2"/>
  <c r="E369" i="2"/>
  <c r="D369" i="2"/>
  <c r="G368" i="2"/>
  <c r="E368" i="2"/>
  <c r="D368" i="2"/>
  <c r="G367" i="2"/>
  <c r="E367" i="2"/>
  <c r="D367" i="2"/>
  <c r="G366" i="2"/>
  <c r="E366" i="2"/>
  <c r="D366" i="2"/>
  <c r="G365" i="2"/>
  <c r="E365" i="2"/>
  <c r="D365" i="2"/>
  <c r="G364" i="2"/>
  <c r="E364" i="2"/>
  <c r="D364" i="2"/>
  <c r="G363" i="2"/>
  <c r="E363" i="2"/>
  <c r="D363" i="2"/>
  <c r="G362" i="2"/>
  <c r="E362" i="2"/>
  <c r="D362" i="2"/>
  <c r="G361" i="2"/>
  <c r="E361" i="2"/>
  <c r="D361" i="2"/>
  <c r="G360" i="2"/>
  <c r="E360" i="2"/>
  <c r="D360" i="2"/>
  <c r="G359" i="2"/>
  <c r="E359" i="2"/>
  <c r="D359" i="2"/>
  <c r="G358" i="2"/>
  <c r="E358" i="2"/>
  <c r="D358" i="2"/>
  <c r="G357" i="2"/>
  <c r="E357" i="2"/>
  <c r="D357" i="2"/>
  <c r="G356" i="2"/>
  <c r="E356" i="2"/>
  <c r="D356" i="2"/>
  <c r="G355" i="2"/>
  <c r="E355" i="2"/>
  <c r="D355" i="2"/>
  <c r="G354" i="2"/>
  <c r="E354" i="2"/>
  <c r="D354" i="2"/>
  <c r="G353" i="2"/>
  <c r="E353" i="2"/>
  <c r="D353" i="2"/>
  <c r="G352" i="2"/>
  <c r="E352" i="2"/>
  <c r="D352" i="2"/>
  <c r="G351" i="2"/>
  <c r="E351" i="2"/>
  <c r="D351" i="2"/>
  <c r="G350" i="2"/>
  <c r="E350" i="2"/>
  <c r="D350" i="2"/>
  <c r="G349" i="2"/>
  <c r="E349" i="2"/>
  <c r="D349" i="2"/>
  <c r="G348" i="2"/>
  <c r="E348" i="2"/>
  <c r="D348" i="2"/>
  <c r="G347" i="2"/>
  <c r="E347" i="2"/>
  <c r="D347" i="2"/>
  <c r="G346" i="2"/>
  <c r="E346" i="2"/>
  <c r="D346" i="2"/>
  <c r="G345" i="2"/>
  <c r="E345" i="2"/>
  <c r="D345" i="2"/>
  <c r="G344" i="2"/>
  <c r="E344" i="2"/>
  <c r="D344" i="2"/>
  <c r="G343" i="2"/>
  <c r="E343" i="2"/>
  <c r="D343" i="2"/>
  <c r="G342" i="2"/>
  <c r="E342" i="2"/>
  <c r="D342" i="2"/>
  <c r="G341" i="2"/>
  <c r="E341" i="2"/>
  <c r="D341" i="2"/>
  <c r="G340" i="2"/>
  <c r="E340" i="2"/>
  <c r="D340" i="2"/>
  <c r="G339" i="2"/>
  <c r="E339" i="2"/>
  <c r="D339" i="2"/>
  <c r="G338" i="2"/>
  <c r="E338" i="2"/>
  <c r="D338" i="2"/>
  <c r="G337" i="2"/>
  <c r="E337" i="2"/>
  <c r="D337" i="2"/>
  <c r="G336" i="2"/>
  <c r="E336" i="2"/>
  <c r="D336" i="2"/>
  <c r="G335" i="2"/>
  <c r="E335" i="2"/>
  <c r="D335" i="2"/>
  <c r="G334" i="2"/>
  <c r="E334" i="2"/>
  <c r="D334" i="2"/>
  <c r="G333" i="2"/>
  <c r="E333" i="2"/>
  <c r="D333" i="2"/>
  <c r="G332" i="2"/>
  <c r="E332" i="2"/>
  <c r="D332" i="2"/>
  <c r="G331" i="2"/>
  <c r="E331" i="2"/>
  <c r="D331" i="2"/>
  <c r="G330" i="2"/>
  <c r="E330" i="2"/>
  <c r="D330" i="2"/>
  <c r="G329" i="2"/>
  <c r="E329" i="2"/>
  <c r="D329" i="2"/>
  <c r="G328" i="2"/>
  <c r="E328" i="2"/>
  <c r="D328" i="2"/>
  <c r="G327" i="2"/>
  <c r="E327" i="2"/>
  <c r="D327" i="2"/>
  <c r="G326" i="2"/>
  <c r="E326" i="2"/>
  <c r="D326" i="2"/>
  <c r="G325" i="2"/>
  <c r="E325" i="2"/>
  <c r="D325" i="2"/>
  <c r="G324" i="2"/>
  <c r="E324" i="2"/>
  <c r="D324" i="2"/>
  <c r="G323" i="2"/>
  <c r="E323" i="2"/>
  <c r="D323" i="2"/>
  <c r="G322" i="2"/>
  <c r="E322" i="2"/>
  <c r="D322" i="2"/>
  <c r="G321" i="2"/>
  <c r="E321" i="2"/>
  <c r="D321" i="2"/>
  <c r="G320" i="2"/>
  <c r="E320" i="2"/>
  <c r="D320" i="2"/>
  <c r="G319" i="2"/>
  <c r="E319" i="2"/>
  <c r="D319" i="2"/>
  <c r="G318" i="2"/>
  <c r="E318" i="2"/>
  <c r="D318" i="2"/>
  <c r="G317" i="2"/>
  <c r="E317" i="2"/>
  <c r="D317" i="2"/>
  <c r="G316" i="2"/>
  <c r="E316" i="2"/>
  <c r="D316" i="2"/>
  <c r="G315" i="2"/>
  <c r="E315" i="2"/>
  <c r="D315" i="2"/>
  <c r="G314" i="2"/>
  <c r="E314" i="2"/>
  <c r="D314" i="2"/>
  <c r="G313" i="2"/>
  <c r="E313" i="2"/>
  <c r="D313" i="2"/>
  <c r="G312" i="2"/>
  <c r="E312" i="2"/>
  <c r="D312" i="2"/>
  <c r="G311" i="2"/>
  <c r="E311" i="2"/>
  <c r="D311" i="2"/>
  <c r="G310" i="2"/>
  <c r="E310" i="2"/>
  <c r="D310" i="2"/>
  <c r="G309" i="2"/>
  <c r="E309" i="2"/>
  <c r="D309" i="2"/>
  <c r="G308" i="2"/>
  <c r="E308" i="2"/>
  <c r="D308" i="2"/>
  <c r="G307" i="2"/>
  <c r="E307" i="2"/>
  <c r="D307" i="2"/>
  <c r="G306" i="2"/>
  <c r="E306" i="2"/>
  <c r="D306" i="2"/>
  <c r="G305" i="2"/>
  <c r="E305" i="2"/>
  <c r="D305" i="2"/>
  <c r="G304" i="2"/>
  <c r="E304" i="2"/>
  <c r="D304" i="2"/>
  <c r="G303" i="2"/>
  <c r="E303" i="2"/>
  <c r="D303" i="2"/>
  <c r="G302" i="2"/>
  <c r="E302" i="2"/>
  <c r="D302" i="2"/>
  <c r="G301" i="2"/>
  <c r="E301" i="2"/>
  <c r="D301" i="2"/>
  <c r="G300" i="2"/>
  <c r="E300" i="2"/>
  <c r="D300" i="2"/>
  <c r="G299" i="2"/>
  <c r="E299" i="2"/>
  <c r="D299" i="2"/>
  <c r="G298" i="2"/>
  <c r="E298" i="2"/>
  <c r="D298" i="2"/>
  <c r="G297" i="2"/>
  <c r="E297" i="2"/>
  <c r="D297" i="2"/>
  <c r="G296" i="2"/>
  <c r="E296" i="2"/>
  <c r="D296" i="2"/>
  <c r="G295" i="2"/>
  <c r="E295" i="2"/>
  <c r="D295" i="2"/>
  <c r="G294" i="2"/>
  <c r="E294" i="2"/>
  <c r="D294" i="2"/>
  <c r="G293" i="2"/>
  <c r="E293" i="2"/>
  <c r="D293" i="2"/>
  <c r="G292" i="2"/>
  <c r="E292" i="2"/>
  <c r="D292" i="2"/>
  <c r="G291" i="2"/>
  <c r="E291" i="2"/>
  <c r="D291" i="2"/>
  <c r="G290" i="2"/>
  <c r="E290" i="2"/>
  <c r="D290" i="2"/>
  <c r="G289" i="2"/>
  <c r="E289" i="2"/>
  <c r="D289" i="2"/>
  <c r="G288" i="2"/>
  <c r="E288" i="2"/>
  <c r="D288" i="2"/>
  <c r="G287" i="2"/>
  <c r="E287" i="2"/>
  <c r="D287" i="2"/>
  <c r="G286" i="2"/>
  <c r="E286" i="2"/>
  <c r="D286" i="2"/>
  <c r="G285" i="2"/>
  <c r="E285" i="2"/>
  <c r="D285" i="2"/>
  <c r="G284" i="2"/>
  <c r="E284" i="2"/>
  <c r="D284" i="2"/>
  <c r="G283" i="2"/>
  <c r="E283" i="2"/>
  <c r="D283" i="2"/>
  <c r="G282" i="2"/>
  <c r="E282" i="2"/>
  <c r="D282" i="2"/>
  <c r="G281" i="2"/>
  <c r="E281" i="2"/>
  <c r="D281" i="2"/>
  <c r="G280" i="2"/>
  <c r="E280" i="2"/>
  <c r="D280" i="2"/>
  <c r="G279" i="2"/>
  <c r="E279" i="2"/>
  <c r="D279" i="2"/>
  <c r="G278" i="2"/>
  <c r="E278" i="2"/>
  <c r="D278" i="2"/>
  <c r="G277" i="2"/>
  <c r="E277" i="2"/>
  <c r="D277" i="2"/>
  <c r="G276" i="2"/>
  <c r="E276" i="2"/>
  <c r="D276" i="2"/>
  <c r="G275" i="2"/>
  <c r="E275" i="2"/>
  <c r="D275" i="2"/>
  <c r="G274" i="2"/>
  <c r="E274" i="2"/>
  <c r="D274" i="2"/>
  <c r="E273" i="2"/>
  <c r="D273" i="2"/>
  <c r="E272" i="2"/>
  <c r="D272" i="2"/>
  <c r="G271" i="2"/>
  <c r="E271" i="2"/>
  <c r="D271" i="2"/>
  <c r="E270" i="2"/>
  <c r="D270" i="2"/>
  <c r="G269" i="2"/>
  <c r="E269" i="2"/>
  <c r="D269" i="2"/>
  <c r="E268" i="2"/>
  <c r="D268" i="2"/>
  <c r="G267" i="2"/>
  <c r="E267" i="2"/>
  <c r="D267" i="2"/>
  <c r="G266" i="2"/>
  <c r="E266" i="2"/>
  <c r="D266" i="2"/>
  <c r="G265" i="2"/>
  <c r="E265" i="2"/>
  <c r="D265" i="2"/>
  <c r="G264" i="2"/>
  <c r="E264" i="2"/>
  <c r="D264" i="2"/>
  <c r="G263" i="2"/>
  <c r="E263" i="2"/>
  <c r="D263" i="2"/>
  <c r="G262" i="2"/>
  <c r="E262" i="2"/>
  <c r="D262" i="2"/>
  <c r="G261" i="2"/>
  <c r="E261" i="2"/>
  <c r="D261" i="2"/>
  <c r="G260" i="2"/>
  <c r="E260" i="2"/>
  <c r="D260" i="2"/>
  <c r="G259" i="2"/>
  <c r="E259" i="2"/>
  <c r="D259" i="2"/>
  <c r="G258" i="2"/>
  <c r="E258" i="2"/>
  <c r="D258" i="2"/>
  <c r="G257" i="2"/>
  <c r="E257" i="2"/>
  <c r="D257" i="2"/>
  <c r="G256" i="2"/>
  <c r="E256" i="2"/>
  <c r="D256" i="2"/>
  <c r="G255" i="2"/>
  <c r="E255" i="2"/>
  <c r="D255" i="2"/>
  <c r="G254" i="2"/>
  <c r="E254" i="2"/>
  <c r="D254" i="2"/>
  <c r="G253" i="2"/>
  <c r="E253" i="2"/>
  <c r="D253" i="2"/>
  <c r="G252" i="2"/>
  <c r="E252" i="2"/>
  <c r="D252" i="2"/>
  <c r="G251" i="2"/>
  <c r="E251" i="2"/>
  <c r="D251" i="2"/>
  <c r="G250" i="2"/>
  <c r="E250" i="2"/>
  <c r="D250" i="2"/>
  <c r="G249" i="2"/>
  <c r="E249" i="2"/>
  <c r="D249" i="2"/>
  <c r="G248" i="2"/>
  <c r="E248" i="2"/>
  <c r="D248" i="2"/>
  <c r="G247" i="2"/>
  <c r="E247" i="2"/>
  <c r="D247" i="2"/>
  <c r="G246" i="2"/>
  <c r="E246" i="2"/>
  <c r="D246" i="2"/>
  <c r="G245" i="2"/>
  <c r="E245" i="2"/>
  <c r="D245" i="2"/>
  <c r="G244" i="2"/>
  <c r="E244" i="2"/>
  <c r="D244" i="2"/>
  <c r="G243" i="2"/>
  <c r="E243" i="2"/>
  <c r="D243" i="2"/>
  <c r="G242" i="2"/>
  <c r="E242" i="2"/>
  <c r="D242" i="2"/>
  <c r="G241" i="2"/>
  <c r="E241" i="2"/>
  <c r="D241" i="2"/>
  <c r="G240" i="2"/>
  <c r="E240" i="2"/>
  <c r="D240" i="2"/>
  <c r="G239" i="2"/>
  <c r="E239" i="2"/>
  <c r="D239" i="2"/>
  <c r="G238" i="2"/>
  <c r="E238" i="2"/>
  <c r="D238" i="2"/>
  <c r="G237" i="2"/>
  <c r="E237" i="2"/>
  <c r="D237" i="2"/>
  <c r="G236" i="2"/>
  <c r="E236" i="2"/>
  <c r="D236" i="2"/>
  <c r="G235" i="2"/>
  <c r="E235" i="2"/>
  <c r="D235" i="2"/>
  <c r="G234" i="2"/>
  <c r="E234" i="2"/>
  <c r="D234" i="2"/>
  <c r="G233" i="2"/>
  <c r="E233" i="2"/>
  <c r="D233" i="2"/>
  <c r="G232" i="2"/>
  <c r="E232" i="2"/>
  <c r="D232" i="2"/>
  <c r="G231" i="2"/>
  <c r="E231" i="2"/>
  <c r="D231" i="2"/>
  <c r="G230" i="2"/>
  <c r="E230" i="2"/>
  <c r="D230" i="2"/>
  <c r="G229" i="2"/>
  <c r="E229" i="2"/>
  <c r="D229" i="2"/>
  <c r="G228" i="2"/>
  <c r="E228" i="2"/>
  <c r="D228" i="2"/>
  <c r="G227" i="2"/>
  <c r="E227" i="2"/>
  <c r="D227" i="2"/>
  <c r="G226" i="2"/>
  <c r="E226" i="2"/>
  <c r="D226" i="2"/>
  <c r="G225" i="2"/>
  <c r="E225" i="2"/>
  <c r="D225" i="2"/>
  <c r="G224" i="2"/>
  <c r="E224" i="2"/>
  <c r="D224" i="2"/>
  <c r="G223" i="2"/>
  <c r="E223" i="2"/>
  <c r="D223" i="2"/>
  <c r="G222" i="2"/>
  <c r="E222" i="2"/>
  <c r="D222" i="2"/>
  <c r="G221" i="2"/>
  <c r="E221" i="2"/>
  <c r="D221" i="2"/>
  <c r="G220" i="2"/>
  <c r="E220" i="2"/>
  <c r="D220" i="2"/>
  <c r="G219" i="2"/>
  <c r="E219" i="2"/>
  <c r="D219" i="2"/>
  <c r="G218" i="2"/>
  <c r="E218" i="2"/>
  <c r="D218" i="2"/>
  <c r="G217" i="2"/>
  <c r="E217" i="2"/>
  <c r="D217" i="2"/>
  <c r="G216" i="2"/>
  <c r="E216" i="2"/>
  <c r="D216" i="2"/>
  <c r="G215" i="2"/>
  <c r="E215" i="2"/>
  <c r="D215" i="2"/>
  <c r="G214" i="2"/>
  <c r="E214" i="2"/>
  <c r="D214" i="2"/>
  <c r="G213" i="2"/>
  <c r="E213" i="2"/>
  <c r="D213" i="2"/>
  <c r="G212" i="2"/>
  <c r="E212" i="2"/>
  <c r="D212" i="2"/>
  <c r="G211" i="2"/>
  <c r="E211" i="2"/>
  <c r="D211" i="2"/>
  <c r="G210" i="2"/>
  <c r="E210" i="2"/>
  <c r="D210" i="2"/>
  <c r="G209" i="2"/>
  <c r="E209" i="2"/>
  <c r="D209" i="2"/>
  <c r="G208" i="2"/>
  <c r="E208" i="2"/>
  <c r="D208" i="2"/>
  <c r="G207" i="2"/>
  <c r="E207" i="2"/>
  <c r="D207" i="2"/>
  <c r="G206" i="2"/>
  <c r="E206" i="2"/>
  <c r="D206" i="2"/>
  <c r="G205" i="2"/>
  <c r="E205" i="2"/>
  <c r="D205" i="2"/>
  <c r="G204" i="2"/>
  <c r="E204" i="2"/>
  <c r="D204" i="2"/>
  <c r="G203" i="2"/>
  <c r="E203" i="2"/>
  <c r="D203" i="2"/>
  <c r="G202" i="2"/>
  <c r="E202" i="2"/>
  <c r="D202" i="2"/>
  <c r="G201" i="2"/>
  <c r="E201" i="2"/>
  <c r="D201" i="2"/>
  <c r="G200" i="2"/>
  <c r="E200" i="2"/>
  <c r="D200" i="2"/>
  <c r="G199" i="2"/>
  <c r="E199" i="2"/>
  <c r="D199" i="2"/>
  <c r="G198" i="2"/>
  <c r="E198" i="2"/>
  <c r="D198" i="2"/>
  <c r="G197" i="2"/>
  <c r="E197" i="2"/>
  <c r="D197" i="2"/>
  <c r="G196" i="2"/>
  <c r="E196" i="2"/>
  <c r="D196" i="2"/>
  <c r="G195" i="2"/>
  <c r="E195" i="2"/>
  <c r="D195" i="2"/>
  <c r="G194" i="2"/>
  <c r="E194" i="2"/>
  <c r="D194" i="2"/>
  <c r="G193" i="2"/>
  <c r="E193" i="2"/>
  <c r="D193" i="2"/>
  <c r="G192" i="2"/>
  <c r="E192" i="2"/>
  <c r="D192" i="2"/>
  <c r="G191" i="2"/>
  <c r="E191" i="2"/>
  <c r="D191" i="2"/>
  <c r="G190" i="2"/>
  <c r="E190" i="2"/>
  <c r="D190" i="2"/>
  <c r="G189" i="2"/>
  <c r="E189" i="2"/>
  <c r="D189" i="2"/>
  <c r="G188" i="2"/>
  <c r="E188" i="2"/>
  <c r="D188" i="2"/>
  <c r="G187" i="2"/>
  <c r="E187" i="2"/>
  <c r="D187" i="2"/>
  <c r="G186" i="2"/>
  <c r="E186" i="2"/>
  <c r="D186" i="2"/>
  <c r="G185" i="2"/>
  <c r="E185" i="2"/>
  <c r="D185" i="2"/>
  <c r="G184" i="2"/>
  <c r="E184" i="2"/>
  <c r="D184" i="2"/>
  <c r="G183" i="2"/>
  <c r="E183" i="2"/>
  <c r="D183" i="2"/>
  <c r="G182" i="2"/>
  <c r="E182" i="2"/>
  <c r="D182" i="2"/>
  <c r="G181" i="2"/>
  <c r="E181" i="2"/>
  <c r="D181" i="2"/>
  <c r="G180" i="2"/>
  <c r="E180" i="2"/>
  <c r="D180" i="2"/>
  <c r="G179" i="2"/>
  <c r="E179" i="2"/>
  <c r="D179" i="2"/>
  <c r="G178" i="2"/>
  <c r="E178" i="2"/>
  <c r="D178" i="2"/>
  <c r="G177" i="2"/>
  <c r="E177" i="2"/>
  <c r="D177" i="2"/>
  <c r="G176" i="2"/>
  <c r="E176" i="2"/>
  <c r="D176" i="2"/>
  <c r="G175" i="2"/>
  <c r="E175" i="2"/>
  <c r="D175" i="2"/>
  <c r="G174" i="2"/>
  <c r="E174" i="2"/>
  <c r="D174" i="2"/>
  <c r="G173" i="2"/>
  <c r="E173" i="2"/>
  <c r="D173" i="2"/>
  <c r="G172" i="2"/>
  <c r="E172" i="2"/>
  <c r="D172" i="2"/>
  <c r="G171" i="2"/>
  <c r="E171" i="2"/>
  <c r="D171" i="2"/>
  <c r="G170" i="2"/>
  <c r="E170" i="2"/>
  <c r="D170" i="2"/>
  <c r="G169" i="2"/>
  <c r="E169" i="2"/>
  <c r="D169" i="2"/>
  <c r="G168" i="2"/>
  <c r="E168" i="2"/>
  <c r="D168" i="2"/>
  <c r="G167" i="2"/>
  <c r="E167" i="2"/>
  <c r="D167" i="2"/>
  <c r="G166" i="2"/>
  <c r="E166" i="2"/>
  <c r="D166" i="2"/>
  <c r="G165" i="2"/>
  <c r="E165" i="2"/>
  <c r="D165" i="2"/>
  <c r="G164" i="2"/>
  <c r="E164" i="2"/>
  <c r="D164" i="2"/>
  <c r="G163" i="2"/>
  <c r="E163" i="2"/>
  <c r="D163" i="2"/>
  <c r="G162" i="2"/>
  <c r="E162" i="2"/>
  <c r="D162" i="2"/>
  <c r="G161" i="2"/>
  <c r="E161" i="2"/>
  <c r="D161" i="2"/>
  <c r="G160" i="2"/>
  <c r="E160" i="2"/>
  <c r="D160" i="2"/>
  <c r="G159" i="2"/>
  <c r="E159" i="2"/>
  <c r="D159" i="2"/>
  <c r="G158" i="2"/>
  <c r="E158" i="2"/>
  <c r="D158" i="2"/>
  <c r="G157" i="2"/>
  <c r="E157" i="2"/>
  <c r="D157" i="2"/>
  <c r="G156" i="2"/>
  <c r="E156" i="2"/>
  <c r="D156" i="2"/>
  <c r="G155" i="2"/>
  <c r="E155" i="2"/>
  <c r="D155" i="2"/>
  <c r="G154" i="2"/>
  <c r="E154" i="2"/>
  <c r="D154" i="2"/>
  <c r="G153" i="2"/>
  <c r="E153" i="2"/>
  <c r="D153" i="2"/>
  <c r="G152" i="2"/>
  <c r="E152" i="2"/>
  <c r="D152" i="2"/>
  <c r="G151" i="2"/>
  <c r="E151" i="2"/>
  <c r="D151" i="2"/>
  <c r="G150" i="2"/>
  <c r="E150" i="2"/>
  <c r="D150" i="2"/>
  <c r="G149" i="2"/>
  <c r="E149" i="2"/>
  <c r="D149" i="2"/>
  <c r="G148" i="2"/>
  <c r="E148" i="2"/>
  <c r="D148" i="2"/>
  <c r="G147" i="2"/>
  <c r="E147" i="2"/>
  <c r="D147" i="2"/>
  <c r="G146" i="2"/>
  <c r="E146" i="2"/>
  <c r="D146" i="2"/>
  <c r="G145" i="2"/>
  <c r="E145" i="2"/>
  <c r="D145" i="2"/>
  <c r="G144" i="2"/>
  <c r="E144" i="2"/>
  <c r="D144" i="2"/>
  <c r="G143" i="2"/>
  <c r="E143" i="2"/>
  <c r="D143" i="2"/>
  <c r="G142" i="2"/>
  <c r="E142" i="2"/>
  <c r="D142" i="2"/>
  <c r="G141" i="2"/>
  <c r="E141" i="2"/>
  <c r="D141" i="2"/>
  <c r="G140" i="2"/>
  <c r="E140" i="2"/>
  <c r="D140" i="2"/>
  <c r="G139" i="2"/>
  <c r="E139" i="2"/>
  <c r="D139" i="2"/>
  <c r="G138" i="2"/>
  <c r="E138" i="2"/>
  <c r="D138" i="2"/>
  <c r="G137" i="2"/>
  <c r="E137" i="2"/>
  <c r="D137" i="2"/>
  <c r="G136" i="2"/>
  <c r="E136" i="2"/>
  <c r="D136" i="2"/>
  <c r="G135" i="2"/>
  <c r="E135" i="2"/>
  <c r="D135" i="2"/>
  <c r="G134" i="2"/>
  <c r="E134" i="2"/>
  <c r="D134" i="2"/>
  <c r="G133" i="2"/>
  <c r="E133" i="2"/>
  <c r="D133" i="2"/>
  <c r="G132" i="2"/>
  <c r="E132" i="2"/>
  <c r="D132" i="2"/>
  <c r="G131" i="2"/>
  <c r="E131" i="2"/>
  <c r="D131" i="2"/>
  <c r="G130" i="2"/>
  <c r="E130" i="2"/>
  <c r="D130" i="2"/>
  <c r="G129" i="2"/>
  <c r="E129" i="2"/>
  <c r="D129" i="2"/>
  <c r="G128" i="2"/>
  <c r="E128" i="2"/>
  <c r="D128" i="2"/>
  <c r="G127" i="2"/>
  <c r="E127" i="2"/>
  <c r="D127" i="2"/>
  <c r="G126" i="2"/>
  <c r="E126" i="2"/>
  <c r="D126" i="2"/>
  <c r="G125" i="2"/>
  <c r="E125" i="2"/>
  <c r="D125" i="2"/>
  <c r="G124" i="2"/>
  <c r="E124" i="2"/>
  <c r="D124" i="2"/>
  <c r="G123" i="2"/>
  <c r="E123" i="2"/>
  <c r="D123" i="2"/>
  <c r="G122" i="2"/>
  <c r="E122" i="2"/>
  <c r="D122" i="2"/>
  <c r="G121" i="2"/>
  <c r="E121" i="2"/>
  <c r="D121" i="2"/>
  <c r="G120" i="2"/>
  <c r="E120" i="2"/>
  <c r="D120" i="2"/>
  <c r="G119" i="2"/>
  <c r="E119" i="2"/>
  <c r="D119" i="2"/>
  <c r="G118" i="2"/>
  <c r="E118" i="2"/>
  <c r="D118" i="2"/>
  <c r="G117" i="2"/>
  <c r="E117" i="2"/>
  <c r="D117" i="2"/>
  <c r="G116" i="2"/>
  <c r="E116" i="2"/>
  <c r="D116" i="2"/>
  <c r="G115" i="2"/>
  <c r="E115" i="2"/>
  <c r="D115" i="2"/>
  <c r="G114" i="2"/>
  <c r="E114" i="2"/>
  <c r="D114" i="2"/>
  <c r="G113" i="2"/>
  <c r="E113" i="2"/>
  <c r="D113" i="2"/>
  <c r="G112" i="2"/>
  <c r="E112" i="2"/>
  <c r="D112" i="2"/>
  <c r="G111" i="2"/>
  <c r="E111" i="2"/>
  <c r="D111" i="2"/>
  <c r="G110" i="2"/>
  <c r="E110" i="2"/>
  <c r="D110" i="2"/>
  <c r="G109" i="2"/>
  <c r="E109" i="2"/>
  <c r="D109" i="2"/>
  <c r="G108" i="2"/>
  <c r="E108" i="2"/>
  <c r="D108" i="2"/>
  <c r="G107" i="2"/>
  <c r="E107" i="2"/>
  <c r="D107" i="2"/>
  <c r="G106" i="2"/>
  <c r="E106" i="2"/>
  <c r="D106" i="2"/>
  <c r="G105" i="2"/>
  <c r="E105" i="2"/>
  <c r="D105" i="2"/>
  <c r="G104" i="2"/>
  <c r="E104" i="2"/>
  <c r="D104" i="2"/>
  <c r="G103" i="2"/>
  <c r="E103" i="2"/>
  <c r="D103" i="2"/>
  <c r="G102" i="2"/>
  <c r="E102" i="2"/>
  <c r="D102" i="2"/>
  <c r="G101" i="2"/>
  <c r="E101" i="2"/>
  <c r="D101" i="2"/>
  <c r="G100" i="2"/>
  <c r="E100" i="2"/>
  <c r="D100" i="2"/>
  <c r="G99" i="2"/>
  <c r="E99" i="2"/>
  <c r="D99" i="2"/>
  <c r="G98" i="2"/>
  <c r="E98" i="2"/>
  <c r="D98" i="2"/>
  <c r="G97" i="2"/>
  <c r="E97" i="2"/>
  <c r="D97" i="2"/>
  <c r="G96" i="2"/>
  <c r="E96" i="2"/>
  <c r="D96" i="2"/>
  <c r="G95" i="2"/>
  <c r="E95" i="2"/>
  <c r="D95" i="2"/>
  <c r="G94" i="2"/>
  <c r="E94" i="2"/>
  <c r="D94" i="2"/>
  <c r="G93" i="2"/>
  <c r="E93" i="2"/>
  <c r="D93" i="2"/>
  <c r="G92" i="2"/>
  <c r="E92" i="2"/>
  <c r="D92" i="2"/>
  <c r="G91" i="2"/>
  <c r="E91" i="2"/>
  <c r="D91" i="2"/>
  <c r="G90" i="2"/>
  <c r="E90" i="2"/>
  <c r="D90" i="2"/>
  <c r="G89" i="2"/>
  <c r="E89" i="2"/>
  <c r="D89" i="2"/>
  <c r="G88" i="2"/>
  <c r="E88" i="2"/>
  <c r="D88" i="2"/>
  <c r="G87" i="2"/>
  <c r="E87" i="2"/>
  <c r="D87" i="2"/>
  <c r="G86" i="2"/>
  <c r="E86" i="2"/>
  <c r="D86" i="2"/>
  <c r="G85" i="2"/>
  <c r="E85" i="2"/>
  <c r="D85" i="2"/>
  <c r="G84" i="2"/>
  <c r="E84" i="2"/>
  <c r="D84" i="2"/>
  <c r="G83" i="2"/>
  <c r="E83" i="2"/>
  <c r="D83" i="2"/>
  <c r="G82" i="2"/>
  <c r="E82" i="2"/>
  <c r="D82" i="2"/>
  <c r="G81" i="2"/>
  <c r="E81" i="2"/>
  <c r="D81" i="2"/>
  <c r="G80" i="2"/>
  <c r="E80" i="2"/>
  <c r="D80" i="2"/>
  <c r="G79" i="2"/>
  <c r="E79" i="2"/>
  <c r="D79" i="2"/>
  <c r="G78" i="2"/>
  <c r="E78" i="2"/>
  <c r="D78" i="2"/>
  <c r="G77" i="2"/>
  <c r="E77" i="2"/>
  <c r="D77" i="2"/>
  <c r="G76" i="2"/>
  <c r="E76" i="2"/>
  <c r="D76" i="2"/>
  <c r="G75" i="2"/>
  <c r="E75" i="2"/>
  <c r="D75" i="2"/>
  <c r="G74" i="2"/>
  <c r="E74" i="2"/>
  <c r="D74" i="2"/>
  <c r="G73" i="2"/>
  <c r="E73" i="2"/>
  <c r="D73" i="2"/>
  <c r="E72" i="2"/>
  <c r="D72" i="2"/>
  <c r="G71" i="2"/>
  <c r="E71" i="2"/>
  <c r="D71" i="2"/>
  <c r="G70" i="2"/>
  <c r="E70" i="2"/>
  <c r="D70" i="2"/>
  <c r="E69" i="2"/>
  <c r="D69" i="2"/>
  <c r="G68" i="2"/>
  <c r="E68" i="2"/>
  <c r="D68" i="2"/>
  <c r="G67" i="2"/>
  <c r="E67" i="2"/>
  <c r="D67" i="2"/>
  <c r="G66" i="2"/>
  <c r="E66" i="2"/>
  <c r="D66" i="2"/>
  <c r="G65" i="2"/>
  <c r="E65" i="2"/>
  <c r="D65" i="2"/>
  <c r="G64" i="2"/>
  <c r="E64" i="2"/>
  <c r="D64" i="2"/>
  <c r="G63" i="2"/>
  <c r="E63" i="2"/>
  <c r="D63" i="2"/>
  <c r="G62" i="2"/>
  <c r="E62" i="2"/>
  <c r="D62" i="2"/>
  <c r="G61" i="2"/>
  <c r="E61" i="2"/>
  <c r="D61" i="2"/>
  <c r="G60" i="2"/>
  <c r="E60" i="2"/>
  <c r="D60" i="2"/>
  <c r="G59" i="2"/>
  <c r="E59" i="2"/>
  <c r="D59" i="2"/>
  <c r="G58" i="2"/>
  <c r="E58" i="2"/>
  <c r="D58" i="2"/>
  <c r="G57" i="2"/>
  <c r="E57" i="2"/>
  <c r="D57" i="2"/>
  <c r="G56" i="2"/>
  <c r="E56" i="2"/>
  <c r="D56" i="2"/>
  <c r="G55" i="2"/>
  <c r="E55" i="2"/>
  <c r="D55" i="2"/>
  <c r="G54" i="2"/>
  <c r="E54" i="2"/>
  <c r="D54" i="2"/>
  <c r="G53" i="2"/>
  <c r="E53" i="2"/>
  <c r="D53" i="2"/>
  <c r="G52" i="2"/>
  <c r="E52" i="2"/>
  <c r="D52" i="2"/>
  <c r="G51" i="2"/>
  <c r="E51" i="2"/>
  <c r="D51" i="2"/>
  <c r="G50" i="2"/>
  <c r="E50" i="2"/>
  <c r="D50" i="2"/>
  <c r="G49" i="2"/>
  <c r="E49" i="2"/>
  <c r="D49" i="2"/>
  <c r="G48" i="2"/>
  <c r="E48" i="2"/>
  <c r="D48" i="2"/>
  <c r="G47" i="2"/>
  <c r="E47" i="2"/>
  <c r="D47" i="2"/>
  <c r="G46" i="2"/>
  <c r="E46" i="2"/>
  <c r="D46" i="2"/>
  <c r="G45" i="2"/>
  <c r="E45" i="2"/>
  <c r="D45" i="2"/>
  <c r="G44" i="2"/>
  <c r="E44" i="2"/>
  <c r="D44" i="2"/>
  <c r="G43" i="2"/>
  <c r="E43" i="2"/>
  <c r="D43" i="2"/>
  <c r="G42" i="2"/>
  <c r="E42" i="2"/>
  <c r="D42" i="2"/>
  <c r="G41" i="2"/>
  <c r="E41" i="2"/>
  <c r="D41" i="2"/>
  <c r="G40" i="2"/>
  <c r="E40" i="2"/>
  <c r="D40" i="2"/>
  <c r="G39" i="2"/>
  <c r="E39" i="2"/>
  <c r="D39" i="2"/>
  <c r="E38" i="2"/>
  <c r="D38" i="2"/>
  <c r="G37" i="2"/>
  <c r="E37" i="2"/>
  <c r="D37" i="2"/>
  <c r="G36" i="2"/>
  <c r="E36" i="2"/>
  <c r="D36" i="2"/>
  <c r="G35" i="2"/>
  <c r="E35" i="2"/>
  <c r="D35" i="2"/>
  <c r="G34" i="2"/>
  <c r="E34" i="2"/>
  <c r="D34" i="2"/>
  <c r="G33" i="2"/>
  <c r="E33" i="2"/>
  <c r="D33" i="2"/>
  <c r="G32" i="2"/>
  <c r="E32" i="2"/>
  <c r="D32" i="2"/>
  <c r="G31" i="2"/>
  <c r="E31" i="2"/>
  <c r="D31" i="2"/>
  <c r="E30" i="2"/>
  <c r="D30" i="2"/>
  <c r="E29" i="2"/>
  <c r="D29" i="2"/>
  <c r="G28" i="2"/>
  <c r="E28" i="2"/>
  <c r="D28" i="2"/>
  <c r="G27" i="2"/>
  <c r="E27" i="2"/>
  <c r="D27" i="2"/>
  <c r="G26" i="2"/>
  <c r="E26" i="2"/>
  <c r="D26" i="2"/>
  <c r="G25" i="2"/>
  <c r="E25" i="2"/>
  <c r="D25" i="2"/>
  <c r="G24" i="2"/>
  <c r="E24" i="2"/>
  <c r="D24" i="2"/>
  <c r="G23" i="2"/>
  <c r="E23" i="2"/>
  <c r="D23" i="2"/>
  <c r="G22" i="2"/>
  <c r="E22" i="2"/>
  <c r="D22" i="2"/>
  <c r="E21" i="2"/>
  <c r="D21" i="2"/>
  <c r="E20" i="2"/>
  <c r="D20" i="2"/>
  <c r="G19" i="2"/>
  <c r="E19" i="2"/>
  <c r="D19" i="2"/>
  <c r="G18" i="2"/>
  <c r="E18" i="2"/>
  <c r="D18" i="2"/>
  <c r="G17" i="2"/>
  <c r="E17" i="2"/>
  <c r="D17" i="2"/>
  <c r="G16" i="2"/>
  <c r="E16" i="2"/>
  <c r="D16" i="2"/>
  <c r="G15" i="2"/>
  <c r="E15" i="2"/>
  <c r="D15" i="2"/>
  <c r="G14" i="2"/>
  <c r="E14" i="2"/>
  <c r="D14" i="2"/>
  <c r="E13" i="2"/>
  <c r="D13" i="2"/>
  <c r="G12" i="2"/>
  <c r="E12" i="2"/>
  <c r="D12" i="2"/>
  <c r="E11" i="2"/>
  <c r="D11" i="2"/>
  <c r="G10" i="2"/>
  <c r="E10" i="2"/>
  <c r="D10" i="2"/>
  <c r="G9" i="2"/>
  <c r="E9" i="2"/>
  <c r="D9" i="2"/>
  <c r="G8" i="2"/>
  <c r="E8" i="2"/>
  <c r="D8" i="2"/>
  <c r="G7" i="2"/>
  <c r="E7" i="2"/>
  <c r="D7" i="2"/>
  <c r="G6" i="2"/>
  <c r="E6" i="2"/>
  <c r="D6" i="2"/>
  <c r="G5" i="2"/>
  <c r="E5" i="2"/>
  <c r="D5" i="2"/>
  <c r="E4" i="2"/>
  <c r="D4" i="2"/>
  <c r="E3" i="2"/>
  <c r="D3" i="2"/>
  <c r="G2" i="2"/>
  <c r="E2" i="2"/>
  <c r="D2" i="2"/>
  <c r="R266" i="2" l="1"/>
  <c r="F266" i="2" s="1"/>
  <c r="R267" i="2"/>
  <c r="F267" i="2" s="1"/>
  <c r="F265" i="2"/>
  <c r="F68" i="2"/>
  <c r="R69" i="2"/>
  <c r="F69" i="2" s="1"/>
  <c r="R70" i="2"/>
  <c r="F70" i="2" s="1"/>
  <c r="R71" i="2"/>
  <c r="F71" i="2" s="1"/>
  <c r="R268" i="2" l="1"/>
  <c r="R72" i="2"/>
  <c r="F72" i="2" s="1"/>
  <c r="F268" i="2" l="1"/>
  <c r="R269" i="2"/>
  <c r="F269" i="2" s="1"/>
  <c r="R73" i="2"/>
  <c r="F73" i="2" s="1"/>
  <c r="R270" i="2" l="1"/>
  <c r="F270" i="2" s="1"/>
  <c r="R271" i="2" l="1"/>
  <c r="F271" i="2" l="1"/>
  <c r="R272" i="2"/>
  <c r="R273" i="2" s="1"/>
  <c r="F273" i="2" s="1"/>
  <c r="F272" i="2" l="1"/>
  <c r="R274" i="2"/>
  <c r="F274" i="2" s="1"/>
</calcChain>
</file>

<file path=xl/sharedStrings.xml><?xml version="1.0" encoding="utf-8"?>
<sst xmlns="http://schemas.openxmlformats.org/spreadsheetml/2006/main" count="7614" uniqueCount="1291">
  <si>
    <t>Date</t>
  </si>
  <si>
    <t>Fund</t>
  </si>
  <si>
    <t>Cash</t>
  </si>
  <si>
    <t>Treasury</t>
  </si>
  <si>
    <t>Equity</t>
  </si>
  <si>
    <t>Option DAN</t>
  </si>
  <si>
    <t>Option MV</t>
  </si>
  <si>
    <t>Total Assets</t>
  </si>
  <si>
    <t>Total Net Assets</t>
  </si>
  <si>
    <t>Fund Registration</t>
  </si>
  <si>
    <t>Condition 40 Act 1</t>
  </si>
  <si>
    <t>Condition 40 Act 2a</t>
  </si>
  <si>
    <t>Condition 40 Act 2b</t>
  </si>
  <si>
    <t>Condition 2a OCC</t>
  </si>
  <si>
    <t>Non-Qualifying Assets Weight</t>
  </si>
  <si>
    <t>Net Assets</t>
  </si>
  <si>
    <t>Expenses</t>
  </si>
  <si>
    <t>Issuer Limited Assets (Condition 2a) Sum</t>
  </si>
  <si>
    <t>Issuer Limited Assets (Condition 2a) (Ticker, Shares, Mkt Value)</t>
  </si>
  <si>
    <t>Excluded Securities (25% Bucket)</t>
  </si>
  <si>
    <t>Cumulative Weight of Excluded Securities</t>
  </si>
  <si>
    <t>Cumulative Weight of Remaining Securities</t>
  </si>
  <si>
    <t>Remaining Securities (Ticker, Shares Held, Vest Weight, Vest Ownership of Float)</t>
  </si>
  <si>
    <t>Max Ownership % of Float in 75% bucket</t>
  </si>
  <si>
    <t>OCC Market Value</t>
  </si>
  <si>
    <t>OCC Weight</t>
  </si>
  <si>
    <t>Notes</t>
  </si>
  <si>
    <t>R21126</t>
  </si>
  <si>
    <t>Non-diversified</t>
  </si>
  <si>
    <t>None</t>
  </si>
  <si>
    <t>P2726</t>
  </si>
  <si>
    <t>P21026</t>
  </si>
  <si>
    <t>HE3B2</t>
  </si>
  <si>
    <t>P31027</t>
  </si>
  <si>
    <t>TR2B2</t>
  </si>
  <si>
    <t>TR2B1</t>
  </si>
  <si>
    <t>P20127</t>
  </si>
  <si>
    <t>P30128</t>
  </si>
  <si>
    <t>HE3B1</t>
  </si>
  <si>
    <t>P3727</t>
  </si>
  <si>
    <t>META, MSFT, EBAY, BKNG, AMAT, BK, EWBC, JPM, BLK, AXP, V, UNM</t>
  </si>
  <si>
    <t>(MLI, 12,389, 1.89%, 0.01%), (RJF, 6,613, 1.88%, 0.00%), (GOOGL, 5,721, 1.81%, 0.00%), (EA, 6,600, 1.81%, 0.00%), (ADP, 3,162, 1.75%, 0.00%), (KLAC, 1,047, 1.73%, 0.00%), (HIG, 7,925, 1.73%, 0.00%), (TRV, 3,765, 1.72%, 0.00%), (CTSH, 11,962, 1.72%, 0.00%), (PHM, 8,398, 1.71%, 0.00%), (SNA, 2,951, 1.68%, 0.01%), (CB, 3,339, 1.68%, 0.00%), (PCAR, 9,359, 1.66%, 0.00%), (CRM, 3,391, 1.65%, 0.00%), (NVDA, 5,530, 1.62%, 0.00%), (SYF, 12,359, 1.56%, 0.00%), (ROST, 6,594, 1.55%, 0.00%), (PAYC, 3,621, 1.52%, 0.01%), (ACN, 2,820, 1.50%, 0.00%), (LEN, 6,987, 1.45%, 0.00%), (ELV, 2,267, 1.41%, 0.00%), (QCOM, 4,775, 1.37%, 0.00%), (WSM, 4,185, 1.30%, 0.00%), (BKR, 17,603, 1.24%, 0.00%), (ODFL, 4,055, 1.22%, 0.00%), (AFL, 6,538, 1.20%, 0.00%), (AAPL, 3,082, 1.17%, 0.00%), (DHI, 4,643, 1.15%, 0.00%), (CSCO, 8,856, 1.10%, 0.00%), (LRCX, 6,097, 1.09%, 0.00%), (MPWR, 755, 1.02%, 0.00%), (CF, 5,610, 0.99%, 0.00%), (STT, 4,908, 0.96%, 0.00%), (GE, 2,137, 0.96%, 0.00%), (MTB, 2,612, 0.94%, 0.00%), (AMP, 956, 0.93%, 0.00%), (PNC, 2,628, 0.92%, 0.00%), (COST, 491, 0.87%, 0.00%), (ABT, 3,533, 0.84%, 0.00%), (XOM, 4,109, 0.84%, 0.00%), (CSL, 1,101, 0.82%, 0.00%), (EOG, 3,697, 0.81%, 0.00%), (EG, 1,243, 0.76%, 0.00%), (NTRS, 2,278, 0.52%, 0.00%), (MA, 475, 0.48%, 0.00%), (GEV, 501, 0.48%, 0.00%), (CRBG, 7,827, 0.48%, 0.00%), (DOV, 1,332, 0.45%, 0.00%), (ACM, 2,156, 0.45%, 0.00%), (WTFC, 1,835, 0.44%, 0.00%), (SLM, 7,315, 0.44%, 0.00%), (MCK, 329, 0.43%, 0.00%), (JNJ, 1,526, 0.43%, 0.00%), (MTG, 8,952, 0.43%, 0.00%), (EQH, 4,417, 0.42%, 0.00%), (CINF, 1,585, 0.42%, 0.00%), (JXN, 2,572, 0.40%, 0.00%), (ALL, 1,128, 0.39%, 0.00%), (LNC, 6,231, 0.38%, 0.00%), (NUE, 1,523, 0.38%, 0.00%), (PGR, 831, 0.37%, 0.00%), (ADM, 3,794, 0.37%, 0.00%), (NKE, 2,777, 0.37%, 0.00%), (FANG, 1,186, 0.30%, 0.00%), (SC13N61B, nan, nan%, 0.00%), (SC13N63B, nan, nan%, 0.00%), (SP13N62B, nan, nan%, 0.00%), (SP13N65B, nan, nan%, 0.00%), (SP13N64B, nan, nan%, 0.00%), (SPX Index, nan, nan%, 0.00%), (XP13N65B, nan, nan%, 0.00%)</t>
  </si>
  <si>
    <t>NVDA, MSFT, AAPL, AMZN</t>
  </si>
  <si>
    <t>(AVGO, 3,974, 3.16%, 0.00%), (META, 1,412, 2.95%, 0.00%), (BRK/B, 1,642, 2.26%, 0.00%), (CSCO, 9,972, 1.98%, 0.00%), (GOOGL, 3,784, 1.92%, 0.00%), (LIN, 1,411, 1.91%, 0.00%), (AMT, 2,862, 1.82%, 0.00%), (JPM, 2,080, 1.69%, 0.00%), (XOM, 5,034, 1.64%, 0.00%), (TSLA, 1,889, 1.60%, 0.00%), (V, 1,548, 1.59%, 0.00%), (GOOG, 3,082, 1.57%, 0.00%), (LLY, 593, 1.33%, 0.00%), (CB, 1,580, 1.27%, 0.00%), (MA, 734, 1.19%, 0.00%), (WM, 1,769, 1.15%, 0.00%), (GE, 1,473, 1.05%, 0.00%), (NFLX, 277, 1.02%, 0.00%), (ORCL, 1,482, 1.00%, 0.00%), (NEE, 4,545, 0.96%, 0.00%), (UNH, 1,103, 0.96%, 0.00%), (COST, 308, 0.87%, 0.00%), (PG, 1,906, 0.86%, 0.00%), (WMT, 3,015, 0.84%, 0.00%), (CVX, 1,914, 0.83%, 0.00%), (JNJ, 1,811, 0.81%, 0.00%), (ABT, 2,078, 0.79%, 0.00%), (PLTR, 1,890, 0.76%, 0.00%), (RTX, 1,811, 0.76%, 0.00%), (MCD, 901, 0.76%, 0.00%), (CAT, 657, 0.76%, 0.00%), (ABBV, 1,330, 0.73%, 0.00%), (HD, 681, 0.72%, 0.00%), (IBM, 852, 0.71%, 0.00%), (PM, 1,382, 0.71%, 0.00%), (KO, 3,446, 0.69%, 0.00%), (CRM, 881, 0.68%, 0.00%), (BKNG, 42, 0.68%, 0.00%), (BAC, 4,931, 0.66%, 0.00%), (BA, 1,017, 0.65%, 0.00%), (ISRG, 427, 0.65%, 0.00%), (SO, 2,422, 0.64%, 0.00%), (NKE, 2,944, 0.62%, 0.00%), (HON, 885, 0.61%, 0.00%), (UBER, 2,191, 0.60%, 0.00%), (WFC, 2,459, 0.58%, 0.00%), (DUK, 1,707, 0.57%, 0.00%), (INTU, 258, 0.57%, 0.00%), (GS, 281, 0.56%, 0.00%), (ETN, 538, 0.55%, 0.00%), (NOW, 190, 0.55%, 0.00%), (MET, 2,451, 0.55%, 0.00%), (AMD, 1,381, 0.55%, 0.00%), (DE, 346, 0.51%, 0.00%), (ACN, 576, 0.49%, 0.00%), (TXN, 776, 0.48%, 0.00%), (T, 5,869, 0.47%, 0.00%), (PEP, 1,220, 0.47%, 0.00%), (AXP, 499, 0.45%, 0.00%), (MRK, 1,903, 0.45%, 0.00%), (MS, 1,112, 0.45%, 0.00%), (ADBE, 406, 0.44%, 0.00%), (QCOM, 945, 0.43%, 0.00%), (SPGI, 284, 0.43%, 0.00%), (UNP, 631, 0.43%, 0.00%), (VZ, 3,443, 0.42%, 0.00%), (BLK, 130, 0.41%, 0.00%), (DIS, 1,173, 0.41%, 0.00%), (COP, 1,482, 0.40%, 0.00%), (MDT, 1,537, 0.39%, 0.00%), (AMAT, 701, 0.39%, 0.00%), (SBUX, 1,425, 0.39%, 0.00%), (LMT, 287, 0.38%, 0.00%), (SCHW, 1,339, 0.35%, 0.00%), (TMO, 288, 0.35%, 0.00%), (C, 1,397, 0.34%, 0.00%), (AMGN, 404, 0.34%, 0.00%), (MMM, 741, 0.33%, 0.00%), (PFE, 4,264, 0.31%, 0.00%), (EMR, 776, 0.31%, 0.00%), (GILD, 938, 0.30%, 0.00%), (CVS, 1,508, 0.29%, 0.00%), (DHR, 484, 0.28%, 0.00%), (TJX, 774, 0.28%, 0.00%), (ELV, 278, 0.28%, 0.00%), (CMCSA, 2,472, 0.25%, 0.00%), (LOW, 389, 0.25%, 0.00%), (MO, 1,507, 0.25%, 0.00%), (INTC, 3,670, 0.24%, 0.00%), (MDLZ, 1,189, 0.23%, 0.00%), (UPS, 761, 0.22%, 0.00%), (BMY, 1,526, 0.21%, 0.00%), (PYPL, 898, 0.19%, 0.00%), (CL, 661, 0.17%, 0.00%), (FDX, 234, 0.16%, 0.00%), (USB, 1,152, 0.16%, 0.00%), (TGT, 320, 0.09%, 0.00%), (SC31761B, nan, nan%, 0.00%), (SC31763B, nan, nan%, 0.00%), (SP31762B, nan, nan%, 0.00%), (SP31765B, nan, nan%, 0.00%), (SP31764B, nan, nan%, 0.00%), (XP31765B, nan, nan%, 0.00%)</t>
  </si>
  <si>
    <t>(AVGO, 2,615, 3.04%, 0.00%), (META, 929, 2.84%, 0.00%), (BRK/B, 1,081, 2.17%, 0.00%), (CSCO, 6,563, 1.90%, 0.00%), (GOOGL, 2,490, 1.84%, 0.00%), (LIN, 928, 1.84%, 0.00%), (AMT, 1,884, 1.76%, 0.00%), (JPM, 1,369, 1.63%, 0.00%), (XOM, 3,313, 1.58%, 0.00%), (TSLA, 1,243, 1.54%, 0.00%), (V, 1,019, 1.53%, 0.00%), (GOOG, 2,028, 1.51%, 0.00%), (LLY, 390, 1.28%, 0.00%), (CB, 1,040, 1.22%, 0.00%), (MA, 483, 1.15%, 0.00%), (WM, 1,164, 1.10%, 0.00%), (GE, 969, 1.01%, 0.00%), (NFLX, 182, 0.98%, 0.00%), (ORCL, 975, 0.96%, 0.00%), (NEE, 2,991, 0.92%, 0.00%), (UNH, 726, 0.92%, 0.00%), (COST, 203, 0.83%, 0.00%), (PG, 1,254, 0.83%, 0.00%), (WMT, 1,984, 0.81%, 0.00%), (CVX, 1,260, 0.80%, 0.00%), (JNJ, 1,192, 0.78%, 0.00%), (ABT, 1,368, 0.76%, 0.00%), (PLTR, 1,244, 0.73%, 0.00%), (RTX, 1,192, 0.73%, 0.00%), (MCD, 593, 0.73%, 0.00%), (CAT, 432, 0.73%, 0.00%), (ABBV, 875, 0.70%, 0.00%), (HD, 448, 0.70%, 0.00%), (IBM, 561, 0.68%, 0.00%), (PM, 910, 0.68%, 0.00%), (KO, 2,268, 0.66%, 0.00%), (CRM, 580, 0.66%, 0.00%), (BKNG, 27, 0.64%, 0.00%), (BAC, 3,245, 0.64%, 0.00%), (BA, 670, 0.63%, 0.00%), (ISRG, 281, 0.62%, 0.00%), (SO, 1,594, 0.61%, 0.00%), (NKE, 1,938, 0.60%, 0.00%), (HON, 582, 0.58%, 0.00%), (UBER, 1,442, 0.58%, 0.00%), (WFC, 1,619, 0.56%, 0.00%), (DUK, 1,124, 0.55%, 0.00%), (INTU, 170, 0.55%, 0.00%), (GS, 185, 0.54%, 0.00%), (ETN, 354, 0.53%, 0.00%), (NOW, 125, 0.53%, 0.00%), (MET, 1,613, 0.53%, 0.00%), (AMD, 909, 0.53%, 0.00%), (DE, 228, 0.49%, 0.00%), (ACN, 379, 0.47%, 0.00%), (TXN, 511, 0.46%, 0.00%), (T, 3,862, 0.46%, 0.00%), (PEP, 803, 0.45%, 0.00%), (AXP, 328, 0.44%, 0.00%), (MRK, 1,253, 0.44%, 0.00%), (MS, 731, 0.43%, 0.00%), (ADBE, 267, 0.42%, 0.00%), (QCOM, 622, 0.42%, 0.00%), (SPGI, 187, 0.41%, 0.00%), (UNP, 415, 0.41%, 0.00%), (VZ, 2,266, 0.41%, 0.00%), (BLK, 86, 0.39%, 0.00%), (DIS, 772, 0.39%, 0.00%), (COP, 975, 0.39%, 0.00%), (AMAT, 462, 0.38%, 0.00%), (MDT, 1,011, 0.38%, 0.00%), (SBUX, 937, 0.37%, 0.00%), (LMT, 189, 0.37%, 0.00%), (SCHW, 881, 0.34%, 0.00%), (TMO, 189, 0.33%, 0.00%), (C, 919, 0.33%, 0.00%), (AMGN, 266, 0.33%, 0.00%), (MMM, 488, 0.32%, 0.00%), (PFE, 2,806, 0.30%, 0.00%), (EMR, 511, 0.30%, 0.00%), (GILD, 617, 0.29%, 0.00%), (CVS, 992, 0.28%, 0.00%), (DHR, 318, 0.27%, 0.00%), (TJX, 509, 0.27%, 0.00%), (ELV, 183, 0.27%, 0.00%), (CMCSA, 1,627, 0.24%, 0.00%), (LOW, 256, 0.24%, 0.00%), (MO, 991, 0.24%, 0.00%), (INTC, 2,415, 0.23%, 0.00%), (MDLZ, 782, 0.22%, 0.00%), (UPS, 501, 0.21%, 0.00%), (BMY, 1,004, 0.20%, 0.00%), (PYPL, 591, 0.19%, 0.00%), (CL, 435, 0.17%, 0.00%), (FDX, 154, 0.15%, 0.00%), (USB, 758, 0.15%, 0.00%), (TGT, 211, 0.09%, 0.00%), (SC9061B, nan, nan%, 0.00%), (SC9063B, nan, nan%, 0.00%), (SP9062B, nan, nan%, 0.00%), (SP9065B, nan, nan%, 0.00%), (SP9064B, nan, nan%, 0.00%), (XP9065B, nan, nan%, 0.00%)</t>
  </si>
  <si>
    <t>NVDA</t>
  </si>
  <si>
    <t>NVDA, MSFT, AAPL, AMZN, AVGO</t>
  </si>
  <si>
    <t>(META, 587, 2.76%, 0.00%), (BRK/B, 683, 2.12%, 0.00%), (CSCO, 4,148, 1.86%, 0.00%), (GOOGL, 1,574, 1.80%, 0.00%), (LIN, 587, 1.79%, 0.00%), (AMT, 1,191, 1.71%, 0.00%), (JPM, 865, 1.59%, 0.00%), (XOM, 2,094, 1.54%, 0.00%), (TSLA, 786, 1.50%, 0.00%), (V, 644, 1.49%, 0.00%), (GOOG, 1,282, 1.47%, 0.00%), (LLY, 247, 1.25%, 0.00%), (CB, 657, 1.19%, 0.00%), (MA, 305, 1.11%, 0.00%), (WM, 736, 1.08%, 0.00%), (GE, 613, 0.99%, 0.00%), (NFLX, 115, 0.96%, 0.00%), (ORCL, 616, 0.94%, 0.00%), (NEE, 1,891, 0.90%, 0.00%), (UNH, 459, 0.90%, 0.00%), (COST, 128, 0.81%, 0.00%), (PG, 793, 0.81%, 0.00%), (WMT, 1,254, 0.79%, 0.00%), (CVX, 796, 0.78%, 0.00%), (JNJ, 753, 0.76%, 0.00%), (ABT, 864, 0.74%, 0.00%), (PLTR, 786, 0.72%, 0.00%), (RTX, 753, 0.71%, 0.00%), (MCD, 375, 0.71%, 0.00%), (CAT, 273, 0.71%, 0.00%), (ABBV, 553, 0.68%, 0.00%), (HD, 283, 0.68%, 0.00%), (IBM, 355, 0.67%, 0.00%), (PM, 575, 0.66%, 0.00%), (KO, 1,433, 0.64%, 0.00%), (CRM, 367, 0.64%, 0.00%), (BKNG, 17, 0.62%, 0.00%), (BAC, 2,051, 0.62%, 0.00%), (BA, 423, 0.61%, 0.00%), (ISRG, 177, 0.60%, 0.00%), (SO, 1,007, 0.60%, 0.00%), (NKE, 1,225, 0.58%, 0.00%), (HON, 368, 0.57%, 0.00%), (UBER, 911, 0.57%, 0.00%), (WFC, 1,023, 0.54%, 0.00%), (DUK, 710, 0.54%, 0.00%), (INTU, 107, 0.53%, 0.00%), (GS, 117, 0.53%, 0.00%), (ETN, 224, 0.52%, 0.00%), (NOW, 79, 0.52%, 0.00%), (MET, 1,019, 0.52%, 0.00%), (AMD, 574, 0.51%, 0.00%), (DE, 144, 0.47%, 0.00%), (ACN, 240, 0.46%, 0.00%), (TXN, 323, 0.45%, 0.00%), (T, 2,441, 0.44%, 0.00%), (PEP, 507, 0.44%, 0.00%), (MRK, 792, 0.43%, 0.00%), (AXP, 207, 0.43%, 0.00%), (MS, 462, 0.42%, 0.00%), (ADBE, 169, 0.41%, 0.00%), (QCOM, 393, 0.41%, 0.00%), (SPGI, 118, 0.40%, 0.00%), (UNP, 262, 0.40%, 0.00%), (VZ, 1,432, 0.39%, 0.00%), (DIS, 488, 0.38%, 0.00%), (BLK, 54, 0.38%, 0.00%), (COP, 616, 0.38%, 0.00%), (MDT, 639, 0.37%, 0.00%), (AMAT, 292, 0.37%, 0.00%), (SBUX, 593, 0.36%, 0.00%), (LMT, 119, 0.36%, 0.00%), (SCHW, 557, 0.33%, 0.00%), (TMO, 120, 0.33%, 0.00%), (C, 581, 0.32%, 0.00%), (AMGN, 168, 0.32%, 0.00%), (MMM, 308, 0.31%, 0.00%), (PFE, 1,773, 0.29%, 0.00%), (EMR, 323, 0.29%, 0.00%), (GILD, 390, 0.28%, 0.00%), (CVS, 627, 0.27%, 0.00%), (TJX, 322, 0.26%, 0.00%), (DHR, 201, 0.26%, 0.00%), (ELV, 116, 0.26%, 0.00%), (CMCSA, 1,028, 0.24%, 0.00%), (LOW, 162, 0.24%, 0.00%), (MO, 627, 0.23%, 0.00%), (INTC, 1,526, 0.23%, 0.00%), (MDLZ, 494, 0.21%, 0.00%), (UPS, 317, 0.21%, 0.00%), (BMY, 635, 0.19%, 0.00%), (PYPL, 374, 0.18%, 0.00%), (CL, 275, 0.16%, 0.00%), (FDX, 97, 0.15%, 0.00%), (USB, 479, 0.15%, 0.00%), (TGT, 133, 0.09%, 0.00%), (SC8071B, nan, nan%, 0.00%), (SC8073B, nan, nan%, 0.00%), (SP8072B, nan, nan%, 0.00%), (SP8075B, nan, nan%, 0.00%), (SP8074B, nan, nan%, 0.00%), (XP8075B, nan, nan%, 0.00%)</t>
  </si>
  <si>
    <t>(AVGO, 15,031, 3.04%, 0.00%), (META, 5,340, 2.84%, 0.00%), (BRK/B, 6,212, 2.17%, 0.00%), (CSCO, 37,719, 1.90%, 0.00%), (GOOGL, 14,311, 1.84%, 0.00%), (LIN, 5,337, 1.84%, 0.00%), (AMT, 10,826, 1.75%, 0.00%), (JPM, 7,866, 1.63%, 0.00%), (XOM, 19,040, 1.57%, 0.00%), (TSLA, 7,145, 1.54%, 0.00%), (V, 5,857, 1.53%, 0.00%), (GOOG, 11,657, 1.51%, 0.00%), (LLY, 2,242, 1.28%, 0.00%), (CB, 5,975, 1.22%, 0.00%), (MA, 2,778, 1.15%, 0.00%), (WM, 6,693, 1.10%, 0.00%), (GE, 5,571, 1.01%, 0.00%), (NFLX, 1,047, 0.98%, 0.00%), (ORCL, 5,604, 0.96%, 0.00%), (NEE, 17,192, 0.92%, 0.00%), (UNH, 4,170, 0.92%, 0.00%), (COST, 1,164, 0.83%, 0.00%), (PG, 7,209, 0.83%, 0.00%), (WMT, 11,406, 0.81%, 0.00%), (CVX, 7,240, 0.80%, 0.00%), (JNJ, 6,852, 0.78%, 0.00%), (ABT, 7,860, 0.76%, 0.00%), (PLTR, 7,148, 0.73%, 0.00%), (RTX, 6,851, 0.73%, 0.00%), (MCD, 3,407, 0.73%, 0.00%), (CAT, 2,485, 0.73%, 0.00%), (ABBV, 5,029, 0.70%, 0.00%), (HD, 2,578, 0.70%, 0.00%), (IBM, 3,224, 0.68%, 0.00%), (PM, 5,228, 0.68%, 0.00%), (KO, 13,035, 0.66%, 0.00%), (CRM, 3,334, 0.66%, 0.00%), (BKNG, 157, 0.65%, 0.00%), (BAC, 18,651, 0.64%, 0.00%), (BA, 3,848, 0.63%, 0.00%), (ISRG, 1,614, 0.62%, 0.00%), (SO, 9,160, 0.61%, 0.00%), (NKE, 11,136, 0.60%, 0.00%), (HON, 3,347, 0.58%, 0.00%), (UBER, 8,288, 0.58%, 0.00%), (WFC, 9,303, 0.56%, 0.00%), (DUK, 6,458, 0.55%, 0.00%), (INTU, 977, 0.55%, 0.00%), (GS, 1,064, 0.54%, 0.00%), (ETN, 2,034, 0.53%, 0.00%), (NOW, 718, 0.53%, 0.00%), (MET, 9,270, 0.53%, 0.00%), (AMD, 5,223, 0.53%, 0.00%), (DE, 1,310, 0.49%, 0.00%), (ACN, 2,179, 0.47%, 0.00%), (TXN, 2,936, 0.46%, 0.00%), (T, 22,197, 0.46%, 0.00%), (PEP, 4,613, 0.45%, 0.00%), (AXP, 1,886, 0.44%, 0.00%), (MRK, 7,199, 0.44%, 0.00%), (MS, 4,204, 0.43%, 0.00%), (ADBE, 1,535, 0.42%, 0.00%), (QCOM, 3,576, 0.42%, 0.00%), (SPGI, 1,076, 0.42%, 0.00%), (UNP, 2,386, 0.41%, 0.00%), (VZ, 13,023, 0.41%, 0.00%), (BLK, 493, 0.39%, 0.00%), (DIS, 4,436, 0.39%, 0.00%), (COP, 5,604, 0.39%, 0.00%), (MDT, 5,812, 0.38%, 0.00%), (AMAT, 2,653, 0.38%, 0.00%), (SBUX, 5,388, 0.37%, 0.00%), (LMT, 1,086, 0.37%, 0.00%), (SCHW, 5,066, 0.34%, 0.00%), (TMO, 1,089, 0.33%, 0.00%), (AMGN, 1,530, 0.33%, 0.00%), (C, 5,284, 0.33%, 0.00%), (MMM, 2,803, 0.32%, 0.00%), (PFE, 16,127, 0.30%, 0.00%), (EMR, 2,935, 0.30%, 0.00%), (GILD, 3,547, 0.29%, 0.00%), (CVS, 5,703, 0.28%, 0.00%), (DHR, 1,829, 0.27%, 0.00%), (TJX, 2,927, 0.27%, 0.00%), (ELV, 1,051, 0.27%, 0.00%), (CMCSA, 9,349, 0.24%, 0.00%), (LOW, 1,472, 0.24%, 0.00%), (MO, 5,698, 0.24%, 0.00%), (INTC, 13,880, 0.23%, 0.00%), (MDLZ, 4,496, 0.22%, 0.00%), (UPS, 2,879, 0.21%, 0.00%), (BMY, 5,772, 0.20%, 0.00%), (PYPL, 3,398, 0.19%, 0.00%), (CL, 2,501, 0.17%, 0.00%), (FDX, 885, 0.15%, 0.00%), (USB, 4,359, 0.15%, 0.00%), (TGT, 1,210, 0.09%, 0.00%), (SC23471B, nan, nan%, 0.00%), (SC23473B, nan, nan%, 0.00%), (SP23472B, nan, nan%, 0.00%), (SP23475B, nan, nan%, 0.00%), (SP23474B, nan, nan%, 0.00%), (XP23475B, nan, nan%, 0.00%)</t>
  </si>
  <si>
    <t>(AVGO, 11,157, 3.00%, 0.00%), (META, 3,963, 2.81%, 0.00%), (BRK/B, 4,611, 2.15%, 0.00%), (CSCO, 27,998, 1.88%, 0.00%), (GOOGL, 10,623, 1.82%, 0.00%), (LIN, 3,961, 1.82%, 0.00%), (AMT, 8,036, 1.74%, 0.00%), (JPM, 5,839, 1.61%, 0.00%), (XOM, 14,133, 1.56%, 0.00%), (TSLA, 5,304, 1.53%, 0.00%), (V, 4,347, 1.51%, 0.00%), (GOOG, 8,653, 1.50%, 0.00%), (LLY, 1,664, 1.27%, 0.00%), (CB, 4,435, 1.21%, 0.00%), (MA, 2,062, 1.13%, 0.00%), (WM, 4,968, 1.09%, 0.00%), (GE, 4,135, 1.00%, 0.00%), (NFLX, 777, 0.97%, 0.00%), (ORCL, 4,160, 0.95%, 0.00%), (NEE, 12,762, 0.91%, 0.00%), (UNH, 3,096, 0.91%, 0.00%), (COST, 864, 0.82%, 0.00%), (PG, 5,351, 0.82%, 0.00%), (WMT, 8,466, 0.80%, 0.00%), (CVX, 5,374, 0.79%, 0.00%), (JNJ, 5,086, 0.77%, 0.00%), (ABT, 5,834, 0.76%, 0.00%), (PLTR, 5,306, 0.73%, 0.00%), (RTX, 5,086, 0.72%, 0.00%), (MCD, 2,529, 0.72%, 0.00%), (CAT, 1,845, 0.72%, 0.00%), (ABBV, 3,733, 0.69%, 0.00%), (HD, 1,913, 0.69%, 0.00%), (IBM, 2,393, 0.68%, 0.00%), (PM, 3,880, 0.67%, 0.00%), (KO, 9,676, 0.65%, 0.00%), (CRM, 2,474, 0.65%, 0.00%), (BKNG, 117, 0.65%, 0.00%), (BAC, 13,844, 0.63%, 0.00%), (BA, 2,856, 0.62%, 0.00%), (ISRG, 1,198, 0.62%, 0.00%), (SO, 6,800, 0.61%, 0.00%), (NKE, 8,266, 0.59%, 0.00%), (HON, 2,485, 0.58%, 0.00%), (UBER, 6,152, 0.57%, 0.00%), (WFC, 6,905, 0.55%, 0.00%), (DUK, 4,794, 0.55%, 0.00%), (INTU, 725, 0.54%, 0.00%), (GS, 790, 0.54%, 0.00%), (ETN, 1,510, 0.53%, 0.00%), (NOW, 533, 0.53%, 0.00%), (MET, 6,881, 0.52%, 0.00%), (AMD, 3,877, 0.52%, 0.00%), (DE, 972, 0.48%, 0.00%), (ACN, 1,617, 0.47%, 0.00%), (TXN, 2,179, 0.46%, 0.00%), (T, 16,476, 0.45%, 0.00%), (PEP, 3,424, 0.45%, 0.00%), (AXP, 1,400, 0.43%, 0.00%), (MRK, 5,344, 0.43%, 0.00%), (MS, 3,121, 0.43%, 0.00%), (ADBE, 1,139, 0.41%, 0.00%), (QCOM, 2,654, 0.41%, 0.00%), (SPGI, 799, 0.41%, 0.00%), (UNP, 1,771, 0.41%, 0.00%), (VZ, 9,666, 0.40%, 0.00%), (BLK, 366, 0.39%, 0.00%), (DIS, 3,292, 0.39%, 0.00%), (COP, 4,160, 0.38%, 0.00%), (MDT, 4,314, 0.37%, 0.00%), (AMAT, 1,969, 0.37%, 0.00%), (SBUX, 4,000, 0.37%, 0.00%), (LMT, 806, 0.36%, 0.00%), (SCHW, 3,761, 0.34%, 0.00%), (TMO, 808, 0.33%, 0.00%), (C, 3,922, 0.33%, 0.00%), (AMGN, 1,135, 0.33%, 0.00%), (MMM, 2,081, 0.31%, 0.00%), (PFE, 11,971, 0.30%, 0.00%), (EMR, 2,179, 0.30%, 0.00%), (GILD, 2,633, 0.29%, 0.00%), (CVS, 4,233, 0.27%, 0.00%), (DHR, 1,358, 0.27%, 0.00%), (TJX, 2,173, 0.27%, 0.00%), (ELV, 780, 0.26%, 0.00%), (CMCSA, 6,940, 0.24%, 0.00%), (LOW, 1,093, 0.24%, 0.00%), (MO, 4,230, 0.24%, 0.00%), (INTC, 10,303, 0.23%, 0.00%), (MDLZ, 3,337, 0.22%, 0.00%), (UPS, 2,137, 0.21%, 0.00%), (BMY, 4,284, 0.20%, 0.00%), (PYPL, 2,522, 0.18%, 0.00%), (CL, 1,856, 0.17%, 0.00%), (FDX, 657, 0.15%, 0.00%), (USB, 3,235, 0.15%, 0.00%), (TGT, 899, 0.09%, 0.00%), (SC22171B, nan, nan%, 0.00%), (SC22173B, nan, nan%, 0.00%), (SP22172B, nan, nan%, 0.00%), (SP22175B, nan, nan%, 0.00%), (SP22174B, nan, nan%, 0.00%), (XP22175B, nan, nan%, 0.00%)</t>
  </si>
  <si>
    <t>(META, 1,490, 2.68%, 0.00%), (BRK/B, 1,734, 2.05%, 0.00%), (CSCO, 10,528, 1.80%, 0.00%), (GOOGL, 3,995, 1.74%, 0.00%), (LIN, 1,490, 1.73%, 0.00%), (AMT, 3,022, 1.65%, 0.00%), (JPM, 2,196, 1.53%, 0.00%), (XOM, 5,315, 1.49%, 0.00%), (TSLA, 1,994, 1.46%, 0.00%), (V, 1,635, 1.44%, 0.00%), (GOOG, 3,254, 1.43%, 0.00%), (LLY, 626, 1.21%, 0.00%), (CB, 1,668, 1.15%, 0.00%), (MA, 775, 1.08%, 0.00%), (WM, 1,868, 1.04%, 0.00%), (GE, 1,555, 0.96%, 0.00%), (NFLX, 292, 0.93%, 0.00%), (ORCL, 1,564, 0.91%, 0.00%), (NEE, 4,799, 0.87%, 0.00%), (UNH, 1,164, 0.87%, 0.00%), (COST, 325, 0.79%, 0.00%), (PG, 2,012, 0.78%, 0.00%), (WMT, 3,184, 0.76%, 0.00%), (CVX, 2,021, 0.76%, 0.00%), (JNJ, 1,912, 0.74%, 0.00%), (ABT, 2,194, 0.72%, 0.00%), (PLTR, 1,995, 0.69%, 0.00%), (RTX, 1,912, 0.69%, 0.00%), (MCD, 951, 0.69%, 0.00%), (CAT, 694, 0.69%, 0.00%), (ABBV, 1,404, 0.66%, 0.00%), (HD, 719, 0.66%, 0.00%), (IBM, 900, 0.64%, 0.00%), (PM, 1,459, 0.64%, 0.00%), (KO, 3,639, 0.62%, 0.00%), (CRM, 930, 0.62%, 0.00%), (BKNG, 44, 0.62%, 0.00%), (BAC, 5,206, 0.60%, 0.00%), (BA, 1,074, 0.59%, 0.00%), (ISRG, 451, 0.59%, 0.00%), (SO, 2,557, 0.58%, 0.00%), (NKE, 3,108, 0.56%, 0.00%), (HON, 934, 0.55%, 0.00%), (UBER, 2,313, 0.55%, 0.00%), (WFC, 2,597, 0.52%, 0.00%), (DUK, 1,803, 0.52%, 0.00%), (INTU, 273, 0.52%, 0.00%), (GS, 297, 0.51%, 0.00%), (ETN, 568, 0.50%, 0.00%), (NOW, 201, 0.50%, 0.00%), (MET, 2,588, 0.50%, 0.00%), (AMD, 1,458, 0.50%, 0.00%), (DE, 366, 0.46%, 0.00%), (ACN, 608, 0.45%, 0.00%), (TXN, 819, 0.44%, 0.00%), (T, 6,196, 0.43%, 0.00%), (PEP, 1,288, 0.43%, 0.00%), (AXP, 526, 0.41%, 0.00%), (MRK, 2,009, 0.41%, 0.00%), (MS, 1,173, 0.41%, 0.00%), (ADBE, 428, 0.39%, 0.00%), (QCOM, 998, 0.39%, 0.00%), (SPGI, 300, 0.39%, 0.00%), (UNP, 666, 0.39%, 0.00%), (VZ, 3,635, 0.38%, 0.00%), (BLK, 138, 0.37%, 0.00%), (DIS, 1,238, 0.37%, 0.00%), (COP, 1,564, 0.36%, 0.00%), (MDT, 1,622, 0.35%, 0.00%), (AMAT, 741, 0.35%, 0.00%), (SBUX, 1,504, 0.35%, 0.00%), (LMT, 303, 0.35%, 0.00%), (SCHW, 1,414, 0.32%, 0.00%), (TMO, 304, 0.31%, 0.00%), (AMGN, 427, 0.31%, 0.00%), (C, 1,475, 0.31%, 0.00%), (MMM, 782, 0.30%, 0.00%), (PFE, 4,502, 0.28%, 0.00%), (EMR, 819, 0.28%, 0.00%), (GILD, 990, 0.28%, 0.00%), (CVS, 1,592, 0.26%, 0.00%), (DHR, 511, 0.25%, 0.00%), (TJX, 817, 0.25%, 0.00%), (ELV, 293, 0.25%, 0.00%), (CMCSA, 2,610, 0.23%, 0.00%), (LOW, 411, 0.23%, 0.00%), (MO, 1,591, 0.23%, 0.00%), (INTC, 3,874, 0.22%, 0.00%), (MDLZ, 1,255, 0.21%, 0.00%), (UPS, 804, 0.20%, 0.00%), (BMY, 1,611, 0.19%, 0.00%), (PYPL, 948, 0.17%, 0.00%), (CL, 698, 0.16%, 0.00%), (FDX, 247, 0.14%, 0.00%), (USB, 1,217, 0.14%, 0.00%), (TGT, 338, 0.09%, 0.00%), (SC28181B, nan, nan%, 0.00%), (SC28183B, nan, nan%, 0.00%), (SP28182B, nan, nan%, 0.00%), (SP28185B, nan, nan%, 0.00%), (SP28184B, nan, nan%, 0.00%), (XP28185B, nan, nan%, 0.00%)</t>
  </si>
  <si>
    <t>(META, 1,831, 2.72%, 0.00%), (BRK/B, 2,130, 2.08%, 0.00%), (CSCO, 12,931, 1.82%, 0.00%), (GOOGL, 4,906, 1.76%, 0.00%), (LIN, 1,830, 1.76%, 0.00%), (AMT, 3,712, 1.68%, 0.00%), (JPM, 2,697, 1.56%, 0.00%), (XOM, 6,528, 1.51%, 0.00%), (TSLA, 2,450, 1.48%, 0.00%), (V, 2,008, 1.46%, 0.00%), (GOOG, 3,996, 1.45%, 0.00%), (LLY, 769, 1.23%, 0.00%), (CB, 2,048, 1.17%, 0.00%), (MA, 952, 1.10%, 0.00%), (WM, 2,294, 1.06%, 0.00%), (GE, 1,910, 0.97%, 0.00%), (NFLX, 359, 0.94%, 0.00%), (ORCL, 1,921, 0.92%, 0.00%), (NEE, 5,894, 0.88%, 0.00%), (UNH, 1,430, 0.88%, 0.00%), (COST, 399, 0.80%, 0.00%), (PG, 2,472, 0.79%, 0.00%), (WMT, 3,910, 0.77%, 0.00%), (CVX, 2,482, 0.77%, 0.00%), (JNJ, 2,349, 0.75%, 0.00%), (ABT, 2,695, 0.73%, 0.00%), (PLTR, 2,450, 0.70%, 0.00%), (RTX, 2,349, 0.70%, 0.00%), (MCD, 1,168, 0.70%, 0.00%), (CAT, 852, 0.70%, 0.00%), (ABBV, 1,724, 0.67%, 0.00%), (HD, 884, 0.67%, 0.00%), (IBM, 1,105, 0.65%, 0.00%), (PM, 1,792, 0.65%, 0.00%), (KO, 4,469, 0.63%, 0.00%), (CRM, 1,143, 0.63%, 0.00%), (BKNG, 54, 0.62%, 0.00%), (BAC, 6,394, 0.61%, 0.00%), (BA, 1,319, 0.60%, 0.00%), (ISRG, 553, 0.60%, 0.00%), (SO, 3,140, 0.59%, 0.00%), (NKE, 3,818, 0.57%, 0.00%), (HON, 1,148, 0.56%, 0.00%), (UBER, 2,841, 0.56%, 0.00%), (WFC, 3,189, 0.53%, 0.00%), (DUK, 2,214, 0.53%, 0.00%), (INTU, 335, 0.53%, 0.00%), (GS, 365, 0.52%, 0.00%), (ETN, 697, 0.51%, 0.00%), (NOW, 246, 0.51%, 0.00%), (MET, 3,178, 0.51%, 0.00%), (AMD, 1,790, 0.50%, 0.00%), (DE, 449, 0.47%, 0.00%), (ACN, 747, 0.45%, 0.00%), (TXN, 1,006, 0.44%, 0.00%), (T, 7,610, 0.44%, 0.00%), (PEP, 1,581, 0.43%, 0.00%), (AXP, 647, 0.42%, 0.00%), (MRK, 2,468, 0.42%, 0.00%), (MS, 1,441, 0.42%, 0.00%), (ADBE, 526, 0.40%, 0.00%), (QCOM, 1,226, 0.40%, 0.00%), (SPGI, 369, 0.40%, 0.00%), (UNP, 818, 0.39%, 0.00%), (VZ, 4,465, 0.39%, 0.00%), (BLK, 169, 0.38%, 0.00%), (DIS, 1,521, 0.37%, 0.00%), (COP, 1,921, 0.37%, 0.00%), (MDT, 1,992, 0.36%, 0.00%), (AMAT, 910, 0.36%, 0.00%), (SBUX, 1,847, 0.36%, 0.00%), (LMT, 372, 0.35%, 0.00%), (SCHW, 1,737, 0.33%, 0.00%), (TMO, 373, 0.32%, 0.00%), (C, 1,812, 0.32%, 0.00%), (AMGN, 524, 0.32%, 0.00%), (MMM, 961, 0.30%, 0.00%), (PFE, 5,529, 0.29%, 0.00%), (EMR, 1,006, 0.29%, 0.00%), (GILD, 1,216, 0.28%, 0.00%), (CVS, 1,955, 0.27%, 0.00%), (DHR, 627, 0.26%, 0.00%), (TJX, 1,003, 0.26%, 0.00%), (ELV, 360, 0.25%, 0.00%), (CMCSA, 3,205, 0.23%, 0.00%), (LOW, 505, 0.23%, 0.00%), (MO, 1,954, 0.23%, 0.00%), (INTC, 4,759, 0.23%, 0.00%), (MDLZ, 1,541, 0.21%, 0.00%), (UPS, 987, 0.21%, 0.00%), (BMY, 1,979, 0.19%, 0.00%), (PYPL, 1,165, 0.18%, 0.00%), (CL, 857, 0.16%, 0.00%), (FDX, 303, 0.15%, 0.00%), (USB, 1,494, 0.14%, 0.00%), (TGT, 415, 0.09%, 0.00%), (SC13481B, nan, nan%, 0.00%), (SC13483B, nan, nan%, 0.00%), (SP13482B, nan, nan%, 0.00%), (SP13485B, nan, nan%, 0.00%), (SP13484B, nan, nan%, 0.00%), (XP13485B, nan, nan%, 0.00%)</t>
  </si>
  <si>
    <t>(AVGO, 8,589, 3.01%, 0.00%), (META, 3,051, 2.82%, 0.00%), (BRK/B, 3,550, 2.15%, 0.00%), (CSCO, 21,553, 1.89%, 0.00%), (GOOGL, 8,178, 1.83%, 0.00%), (LIN, 3,049, 1.82%, 0.00%), (AMT, 6,186, 1.74%, 0.00%), (JPM, 4,495, 1.61%, 0.00%), (XOM, 10,880, 1.56%, 0.00%), (TSLA, 4,083, 1.53%, 0.00%), (V, 3,347, 1.52%, 0.00%), (GOOG, 6,661, 1.50%, 0.00%), (LLY, 1,281, 1.27%, 0.00%), (CB, 3,414, 1.21%, 0.00%), (MA, 1,587, 1.14%, 0.00%), (WM, 3,824, 1.09%, 0.00%), (GE, 3,183, 1.01%, 0.00%), (NFLX, 598, 0.98%, 0.00%), (ORCL, 3,202, 0.96%, 0.00%), (NEE, 9,824, 0.92%, 0.00%), (UNH, 2,383, 0.91%, 0.00%), (COST, 665, 0.83%, 0.00%), (PG, 4,119, 0.82%, 0.00%), (WMT, 6,517, 0.80%, 0.00%), (CVX, 4,137, 0.80%, 0.00%), (JNJ, 3,915, 0.77%, 0.00%), (ABT, 4,491, 0.76%, 0.00%), (PLTR, 4,084, 0.73%, 0.00%), (RTX, 3,915, 0.72%, 0.00%), (MCD, 1,947, 0.72%, 0.00%), (CAT, 1,420, 0.72%, 0.00%), (ABBV, 2,874, 0.69%, 0.00%), (HD, 1,473, 0.69%, 0.00%), (IBM, 1,842, 0.68%, 0.00%), (PM, 2,987, 0.67%, 0.00%), (KO, 7,448, 0.66%, 0.00%), (CRM, 1,905, 0.65%, 0.00%), (BKNG, 90, 0.65%, 0.00%), (BAC, 10,657, 0.63%, 0.00%), (BA, 2,199, 0.62%, 0.00%), (ISRG, 922, 0.62%, 0.00%), (SO, 5,234, 0.61%, 0.00%), (NKE, 6,363, 0.59%, 0.00%), (HON, 1,913, 0.58%, 0.00%), (UBER, 4,736, 0.58%, 0.00%), (WFC, 5,316, 0.55%, 0.00%), (DUK, 3,690, 0.55%, 0.00%), (INTU, 558, 0.54%, 0.00%), (GS, 608, 0.54%, 0.00%), (ETN, 1,162, 0.53%, 0.00%), (NOW, 410, 0.53%, 0.00%), (MET, 5,297, 0.53%, 0.00%), (AMD, 2,984, 0.52%, 0.00%), (DE, 748, 0.48%, 0.00%), (ACN, 1,245, 0.47%, 0.00%), (TXN, 1,678, 0.46%, 0.00%), (T, 12,683, 0.45%, 0.00%), (PEP, 2,636, 0.45%, 0.00%), (AXP, 1,078, 0.43%, 0.00%), (MRK, 4,113, 0.43%, 0.00%), (MS, 2,402, 0.43%, 0.00%), (ADBE, 877, 0.41%, 0.00%), (QCOM, 2,043, 0.41%, 0.00%), (SPGI, 615, 0.41%, 0.00%), (UNP, 1,364, 0.41%, 0.00%), (VZ, 7,441, 0.40%, 0.00%), (BLK, 282, 0.39%, 0.00%), (DIS, 2,534, 0.39%, 0.00%), (COP, 3,202, 0.38%, 0.00%), (MDT, 3,321, 0.37%, 0.00%), (AMAT, 1,516, 0.37%, 0.00%), (SBUX, 3,079, 0.37%, 0.00%), (LMT, 620, 0.36%, 0.00%), (SCHW, 2,895, 0.34%, 0.00%), (TMO, 622, 0.33%, 0.00%), (AMGN, 874, 0.33%, 0.00%), (C, 3,019, 0.33%, 0.00%), (MMM, 1,602, 0.31%, 0.00%), (PFE, 9,215, 0.30%, 0.00%), (EMR, 1,677, 0.30%, 0.00%), (GILD, 2,027, 0.29%, 0.00%), (CVS, 3,259, 0.28%, 0.00%), (DHR, 1,045, 0.27%, 0.00%), (TJX, 1,672, 0.27%, 0.00%), (ELV, 601, 0.26%, 0.00%), (CMCSA, 5,342, 0.24%, 0.00%), (LOW, 841, 0.24%, 0.00%), (MO, 3,256, 0.24%, 0.00%), (INTC, 7,931, 0.23%, 0.00%), (MDLZ, 2,569, 0.22%, 0.00%), (UPS, 1,645, 0.21%, 0.00%), (BMY, 3,298, 0.20%, 0.00%), (PYPL, 1,941, 0.18%, 0.00%), (CL, 1,429, 0.17%, 0.00%), (FDX, 506, 0.15%, 0.00%), (USB, 2,491, 0.15%, 0.00%), (TGT, 692, 0.09%, 0.00%), (SC26771B, nan, nan%, 0.00%), (SC26773B, nan, nan%, 0.00%), (SP26772B, nan, nan%, 0.00%), (SP26775B, nan, nan%, 0.00%), (SP26774B, nan, nan%, 0.00%), (XP26775B, nan, nan%, 0.00%)</t>
  </si>
  <si>
    <t>META, EBAY, MSFT, BKNG, AMAT, BK, JPM, EWBC, BLK, AXP, UNM, MLI</t>
  </si>
  <si>
    <t>(RJF, 6,613, 1.90%, 0.00%), (V, 2,959, 1.89%, 0.00%), (GOOGL, 5,721, 1.82%, 0.00%), (EA, 6,600, 1.79%, 0.00%), (KLAC, 1,047, 1.74%, 0.00%), (PHM, 8,398, 1.73%, 0.00%), (ADP, 3,162, 1.73%, 0.00%), (HIG, 7,925, 1.73%, 0.00%), (TRV, 3,765, 1.73%, 0.00%), (SNA, 2,951, 1.70%, 0.01%), (CB, 3,339, 1.68%, 0.00%), (PCAR, 9,359, 1.66%, 0.00%), (CTSH, 11,962, 1.65%, 0.00%), (NVDA, 5,530, 1.63%, 0.00%), (CRM, 3,391, 1.60%, 0.00%), (SYF, 12,359, 1.58%, 0.00%), (ROST, 6,594, 1.55%, 0.00%), (PAYC, 3,621, 1.49%, 0.01%), (LEN, 6,987, 1.46%, 0.00%), (ACN, 2,820, 1.46%, 0.00%), (ELV, 2,267, 1.41%, 0.00%), (QCOM, 4,775, 1.36%, 0.00%), (WSM, 4,185, 1.32%, 0.00%), (BKR, 17,603, 1.25%, 0.00%), (ODFL, 4,055, 1.24%, 0.00%), (AFL, 6,538, 1.20%, 0.00%), (AAPL, 3,082, 1.17%, 0.00%), (DHI, 4,643, 1.16%, 0.00%), (LRCX, 6,097, 1.10%, 0.00%), (CSCO, 8,856, 1.09%, 0.00%), (MPWR, 755, 1.00%, 0.00%), (STT, 4,908, 0.97%, 0.00%), (GE, 2,137, 0.97%, 0.00%), (CF, 5,610, 0.96%, 0.00%), (MTB, 2,612, 0.96%, 0.00%), (PNC, 2,628, 0.93%, 0.00%), (AMP, 956, 0.93%, 0.00%), (COST, 491, 0.85%, 0.00%), (XOM, 4,109, 0.85%, 0.00%), (ABT, 3,533, 0.85%, 0.00%), (CSL, 1,101, 0.82%, 0.00%), (EOG, 3,697, 0.81%, 0.00%), (EG, 1,243, 0.76%, 0.00%), (NTRS, 2,278, 0.52%, 0.00%), (CRBG, 7,827, 0.48%, 0.00%), (GEV, 501, 0.48%, 0.00%), (MA, 475, 0.48%, 0.00%), (DOV, 1,332, 0.45%, 0.00%), (ACM, 2,156, 0.45%, 0.00%), (SLM, 7,315, 0.44%, 0.00%), (WTFC, 1,835, 0.44%, 0.00%), (JNJ, 1,526, 0.43%, 0.00%), (EQH, 4,417, 0.43%, 0.00%), (MCK, 329, 0.42%, 0.00%), (CINF, 1,585, 0.42%, 0.00%), (MTG, 8,952, 0.42%, 0.00%), (JXN, 2,572, 0.41%, 0.00%), (ALL, 1,128, 0.39%, 0.00%), (NUE, 1,523, 0.39%, 0.00%), (LNC, 6,231, 0.38%, 0.00%), (ADM, 3,794, 0.37%, 0.00%), (PGR, 831, 0.37%, 0.00%), (NKE, 2,777, 0.37%, 0.00%), (FANG, 1,186, 0.30%, 0.00%), (SC13N61B, nan, nan%, 0.00%), (SC13N63B, nan, nan%, 0.00%), (SP13N62B, nan, nan%, 0.00%), (SP13N65B, nan, nan%, 0.00%), (SP13N64B, nan, nan%, 0.00%), (SPX Index, nan, nan%, 0.00%), (XP13N65B, nan, nan%, 0.00%)</t>
  </si>
  <si>
    <t>(AVGO, 3,974, 3.14%, 0.00%), (META, 1,412, 2.94%, 0.00%), (BRK/B, 1,642, 2.26%, 0.00%), (CSCO, 9,972, 1.97%, 0.00%), (GOOGL, 3,784, 1.93%, 0.00%), (LIN, 1,411, 1.91%, 0.00%), (AMT, 2,862, 1.82%, 0.00%), (JPM, 2,080, 1.72%, 0.00%), (TSLA, 1,889, 1.68%, 0.00%), (XOM, 5,034, 1.65%, 0.00%), (V, 1,548, 1.58%, 0.00%), (GOOG, 3,082, 1.58%, 0.00%), (LLY, 593, 1.34%, 0.00%), (CB, 1,580, 1.27%, 0.00%), (MA, 734, 1.19%, 0.00%), (WM, 1,769, 1.15%, 0.00%), (GE, 1,473, 1.06%, 0.00%), (ORCL, 1,482, 1.00%, 0.00%), (NFLX, 277, 1.00%, 0.00%), (NEE, 4,545, 0.97%, 0.00%), (UNH, 1,103, 0.95%, 0.00%), (PG, 1,906, 0.87%, 0.00%), (COST, 308, 0.86%, 0.00%), (CVX, 1,914, 0.84%, 0.00%), (WMT, 3,015, 0.82%, 0.00%), (JNJ, 1,811, 0.82%, 0.00%), (ABT, 2,078, 0.80%, 0.00%), (MCD, 901, 0.77%, 0.00%), (CAT, 657, 0.76%, 0.00%), (RTX, 1,811, 0.76%, 0.00%), (PLTR, 1,890, 0.76%, 0.00%), (ABBV, 1,330, 0.74%, 0.00%), (HD, 681, 0.73%, 0.00%), (PM, 1,382, 0.72%, 0.00%), (IBM, 852, 0.70%, 0.00%), (KO, 3,446, 0.69%, 0.00%), (BKNG, 42, 0.69%, 0.00%), (CRM, 881, 0.67%, 0.00%), (BAC, 4,931, 0.67%, 0.00%), (BA, 1,017, 0.65%, 0.00%), (SO, 2,422, 0.65%, 0.00%), (ISRG, 427, 0.65%, 0.00%), (NKE, 2,944, 0.63%, 0.00%), (HON, 885, 0.60%, 0.00%), (UBER, 2,191, 0.60%, 0.00%), (WFC, 2,459, 0.58%, 0.00%), (DUK, 1,707, 0.58%, 0.00%), (GS, 281, 0.57%, 0.00%), (AMD, 1,381, 0.56%, 0.00%), (INTU, 258, 0.55%, 0.00%), (ETN, 538, 0.55%, 0.00%), (MET, 2,451, 0.55%, 0.00%), (NOW, 190, 0.53%, 0.00%), (DE, 346, 0.52%, 0.00%), (TXN, 776, 0.49%, 0.00%), (ACN, 576, 0.48%, 0.00%), (PEP, 1,220, 0.48%, 0.00%), (AXP, 499, 0.47%, 0.00%), (T, 5,869, 0.47%, 0.00%), (MS, 1,112, 0.46%, 0.00%), (MRK, 1,903, 0.45%, 0.00%), (ADBE, 406, 0.43%, 0.00%), (QCOM, 945, 0.43%, 0.00%), (SPGI, 284, 0.43%, 0.00%), (UNP, 631, 0.43%, 0.00%), (VZ, 3,443, 0.42%, 0.00%), (BLK, 130, 0.41%, 0.00%), (DIS, 1,173, 0.41%, 0.00%), (COP, 1,482, 0.40%, 0.00%), (AMAT, 701, 0.39%, 0.00%), (MDT, 1,537, 0.39%, 0.00%), (SBUX, 1,425, 0.39%, 0.00%), (LMT, 287, 0.38%, 0.00%), (SCHW, 1,339, 0.36%, 0.00%), (TMO, 288, 0.36%, 0.00%), (C, 1,397, 0.35%, 0.00%), (AMGN, 404, 0.35%, 0.00%), (MMM, 741, 0.33%, 0.00%), (PFE, 4,264, 0.31%, 0.00%), (EMR, 776, 0.31%, 0.00%), (GILD, 938, 0.31%, 0.00%), (DHR, 484, 0.28%, 0.00%), (CVS, 1,508, 0.28%, 0.00%), (ELV, 278, 0.28%, 0.00%), (TJX, 774, 0.28%, 0.00%), (LOW, 389, 0.25%, 0.00%), (MO, 1,507, 0.25%, 0.00%), (CMCSA, 2,472, 0.25%, 0.00%), (INTC, 3,670, 0.25%, 0.00%), (MDLZ, 1,189, 0.23%, 0.00%), (UPS, 761, 0.23%, 0.00%), (BMY, 1,526, 0.21%, 0.00%), (PYPL, 898, 0.20%, 0.00%), (CL, 661, 0.17%, 0.00%), (FDX, 234, 0.16%, 0.00%), (USB, 1,152, 0.16%, 0.00%), (TGT, 320, 0.10%, 0.00%), (SC31761B, nan, nan%, 0.00%), (SC31763B, nan, nan%, 0.00%), (SP31762B, nan, nan%, 0.00%), (SP31765B, nan, nan%, 0.00%), (SP31764B, nan, nan%, 0.00%), (XP31765B, nan, nan%, 0.00%)</t>
  </si>
  <si>
    <t>(AVGO, 2,615, 3.02%, 0.00%), (META, 929, 2.83%, 0.00%), (BRK/B, 1,081, 2.17%, 0.00%), (CSCO, 6,563, 1.90%, 0.00%), (GOOGL, 2,490, 1.86%, 0.00%), (LIN, 928, 1.84%, 0.00%), (AMT, 1,884, 1.75%, 0.00%), (JPM, 1,369, 1.66%, 0.00%), (TSLA, 1,243, 1.62%, 0.00%), (XOM, 3,313, 1.59%, 0.00%), (V, 1,019, 1.52%, 0.00%), (GOOG, 2,028, 1.52%, 0.00%), (LLY, 390, 1.29%, 0.00%), (CB, 1,040, 1.23%, 0.00%), (MA, 483, 1.14%, 0.00%), (WM, 1,164, 1.10%, 0.00%), (GE, 969, 1.02%, 0.00%), (ORCL, 975, 0.96%, 0.00%), (NFLX, 182, 0.96%, 0.00%), (NEE, 2,991, 0.94%, 0.00%), (UNH, 726, 0.91%, 0.00%), (PG, 1,254, 0.84%, 0.00%), (COST, 203, 0.83%, 0.00%), (CVX, 1,260, 0.81%, 0.00%), (WMT, 1,984, 0.79%, 0.00%), (JNJ, 1,192, 0.79%, 0.00%), (ABT, 1,368, 0.77%, 0.00%), (MCD, 593, 0.74%, 0.00%), (CAT, 432, 0.74%, 0.00%), (RTX, 1,192, 0.73%, 0.00%), (PLTR, 1,244, 0.73%, 0.00%), (ABBV, 875, 0.71%, 0.00%), (HD, 448, 0.70%, 0.00%), (PM, 910, 0.69%, 0.00%), (IBM, 561, 0.68%, 0.00%), (KO, 2,268, 0.67%, 0.00%), (BKNG, 27, 0.65%, 0.00%), (CRM, 580, 0.64%, 0.00%), (BAC, 3,245, 0.64%, 0.00%), (BA, 670, 0.63%, 0.00%), (SO, 1,594, 0.62%, 0.00%), (ISRG, 281, 0.62%, 0.00%), (NKE, 1,938, 0.61%, 0.00%), (HON, 582, 0.58%, 0.00%), (UBER, 1,442, 0.58%, 0.00%), (WFC, 1,619, 0.56%, 0.00%), (DUK, 1,124, 0.56%, 0.00%), (GS, 185, 0.55%, 0.00%), (AMD, 909, 0.54%, 0.00%), (INTU, 170, 0.53%, 0.00%), (ETN, 354, 0.53%, 0.00%), (MET, 1,613, 0.53%, 0.00%), (NOW, 125, 0.51%, 0.00%), (DE, 228, 0.50%, 0.00%), (TXN, 511, 0.47%, 0.00%), (ACN, 379, 0.46%, 0.00%), (PEP, 803, 0.46%, 0.00%), (T, 3,862, 0.45%, 0.00%), (AXP, 328, 0.45%, 0.00%), (MS, 731, 0.44%, 0.00%), (MRK, 1,253, 0.44%, 0.00%), (ADBE, 267, 0.42%, 0.00%), (QCOM, 622, 0.42%, 0.00%), (SPGI, 187, 0.42%, 0.00%), (UNP, 415, 0.41%, 0.00%), (VZ, 2,266, 0.40%, 0.00%), (BLK, 86, 0.40%, 0.00%), (DIS, 772, 0.39%, 0.00%), (COP, 975, 0.39%, 0.00%), (AMAT, 462, 0.38%, 0.00%), (MDT, 1,011, 0.38%, 0.00%), (SBUX, 937, 0.37%, 0.00%), (LMT, 189, 0.37%, 0.00%), (SCHW, 881, 0.34%, 0.00%), (TMO, 189, 0.34%, 0.00%), (C, 919, 0.34%, 0.00%), (AMGN, 266, 0.34%, 0.00%), (MMM, 488, 0.32%, 0.00%), (PFE, 2,806, 0.30%, 0.00%), (EMR, 511, 0.30%, 0.00%), (GILD, 617, 0.29%, 0.00%), (CVS, 992, 0.27%, 0.00%), (DHR, 318, 0.27%, 0.00%), (ELV, 183, 0.27%, 0.00%), (TJX, 509, 0.27%, 0.00%), (LOW, 256, 0.24%, 0.00%), (MO, 991, 0.24%, 0.00%), (CMCSA, 1,627, 0.24%, 0.00%), (INTC, 2,415, 0.24%, 0.00%), (MDLZ, 782, 0.22%, 0.00%), (UPS, 501, 0.22%, 0.00%), (BMY, 1,004, 0.20%, 0.00%), (PYPL, 591, 0.19%, 0.00%), (CL, 435, 0.17%, 0.00%), (FDX, 154, 0.15%, 0.00%), (USB, 758, 0.15%, 0.00%), (TGT, 211, 0.09%, 0.00%), (SC9061B, nan, nan%, 0.00%), (SC9063B, nan, nan%, 0.00%), (SP9062B, nan, nan%, 0.00%), (SP9065B, nan, nan%, 0.00%), (SP9064B, nan, nan%, 0.00%), (XP9065B, nan, nan%, 0.00%)</t>
  </si>
  <si>
    <t>(META, 589, 2.76%, 0.00%), (BRK/B, 685, 2.12%, 0.00%), (CSCO, 4,162, 1.85%, 0.00%), (GOOGL, 1,579, 1.81%, 0.00%), (LIN, 589, 1.79%, 0.00%), (AMT, 1,195, 1.71%, 0.00%), (JPM, 868, 1.62%, 0.00%), (TSLA, 788, 1.58%, 0.00%), (XOM, 2,101, 1.56%, 0.00%), (V, 646, 1.49%, 0.00%), (GOOG, 1,286, 1.49%, 0.00%), (LLY, 247, 1.26%, 0.00%), (CB, 659, 1.20%, 0.00%), (MA, 307, 1.12%, 0.00%), (WM, 738, 1.08%, 0.00%), (GE, 615, 1.00%, 0.00%), (ORCL, 618, 0.94%, 0.00%), (NFLX, 116, 0.94%, 0.00%), (NEE, 1,897, 0.91%, 0.00%), (UNH, 460, 0.89%, 0.00%), (PG, 795, 0.82%, 0.00%), (COST, 128, 0.80%, 0.00%), (CVX, 799, 0.79%, 0.00%), (WMT, 1,259, 0.77%, 0.00%), (JNJ, 756, 0.77%, 0.00%), (ABT, 867, 0.75%, 0.00%), (MCD, 376, 0.72%, 0.00%), (CAT, 274, 0.72%, 0.00%), (PLTR, 789, 0.72%, 0.00%), (RTX, 756, 0.72%, 0.00%), (ABBV, 555, 0.70%, 0.00%), (HD, 284, 0.69%, 0.00%), (PM, 577, 0.67%, 0.00%), (IBM, 356, 0.66%, 0.00%), (KO, 1,438, 0.65%, 0.00%), (BKNG, 17, 0.63%, 0.00%), (CRM, 368, 0.63%, 0.00%), (BAC, 2,058, 0.63%, 0.00%), (BA, 425, 0.62%, 0.00%), (SO, 1,011, 0.61%, 0.00%), (ISRG, 178, 0.61%, 0.00%), (NKE, 1,229, 0.59%, 0.00%), (UBER, 915, 0.57%, 0.00%), (HON, 369, 0.57%, 0.00%), (WFC, 1,026, 0.55%, 0.00%), (DUK, 713, 0.55%, 0.00%), (GS, 117, 0.54%, 0.00%), (AMD, 576, 0.53%, 0.00%), (INTU, 108, 0.52%, 0.00%), (MET, 1,023, 0.52%, 0.00%), (ETN, 224, 0.52%, 0.00%), (NOW, 79, 0.50%, 0.00%), (DE, 145, 0.49%, 0.00%), (TXN, 324, 0.46%, 0.00%), (ACN, 240, 0.45%, 0.00%), (PEP, 509, 0.45%, 0.00%), (T, 2,449, 0.44%, 0.00%), (AXP, 208, 0.44%, 0.00%), (MS, 464, 0.43%, 0.00%), (MRK, 794, 0.43%, 0.00%), (SPGI, 119, 0.41%, 0.00%), (QCOM, 395, 0.41%, 0.00%), (ADBE, 169, 0.41%, 0.00%), (UNP, 263, 0.40%, 0.00%), (VZ, 1,437, 0.39%, 0.00%), (BLK, 54, 0.39%, 0.00%), (DIS, 489, 0.39%, 0.00%), (COP, 618, 0.38%, 0.00%), (AMAT, 293, 0.37%, 0.00%), (MDT, 641, 0.37%, 0.00%), (SBUX, 595, 0.37%, 0.00%), (LMT, 120, 0.36%, 0.00%), (SCHW, 559, 0.34%, 0.00%), (TMO, 120, 0.33%, 0.00%), (AMGN, 169, 0.33%, 0.00%), (C, 583, 0.33%, 0.00%), (MMM, 309, 0.31%, 0.00%), (PFE, 1,780, 0.30%, 0.00%), (EMR, 324, 0.29%, 0.00%), (GILD, 391, 0.29%, 0.00%), (CVS, 629, 0.27%, 0.00%), (DHR, 202, 0.27%, 0.00%), (ELV, 116, 0.26%, 0.00%), (TJX, 323, 0.26%, 0.00%), (LOW, 162, 0.24%, 0.00%), (MO, 629, 0.24%, 0.00%), (CMCSA, 1,032, 0.24%, 0.00%), (INTC, 1,532, 0.23%, 0.00%), (MDLZ, 496, 0.22%, 0.00%), (UPS, 318, 0.21%, 0.00%), (BMY, 637, 0.20%, 0.00%), (PYPL, 375, 0.18%, 0.00%), (CL, 276, 0.16%, 0.00%), (FDX, 98, 0.15%, 0.00%), (USB, 481, 0.15%, 0.00%), (TGT, 134, 0.09%, 0.00%), (SC8071B, nan, nan%, 0.00%), (SC8073B, nan, nan%, 0.00%), (SP8072B, nan, nan%, 0.00%), (SP8075B, nan, nan%, 0.00%), (SP8074B, nan, nan%, 0.00%), (XP8075B, nan, nan%, 0.00%)</t>
  </si>
  <si>
    <t>(AVGO, 14,995, 3.01%, 0.00%), (META, 5,327, 2.82%, 0.00%), (BRK/B, 6,197, 2.16%, 0.00%), (CSCO, 37,628, 1.89%, 0.00%), (GOOGL, 14,277, 1.85%, 0.00%), (LIN, 5,324, 1.83%, 0.00%), (AMT, 10,800, 1.74%, 0.00%), (JPM, 7,847, 1.65%, 0.00%), (TSLA, 7,128, 1.61%, 0.00%), (XOM, 18,995, 1.58%, 0.00%), (V, 5,843, 1.52%, 0.00%), (GOOG, 11,629, 1.52%, 0.00%), (LLY, 2,237, 1.28%, 0.00%), (CB, 5,961, 1.22%, 0.00%), (MA, 2,771, 1.14%, 0.00%), (WM, 6,677, 1.10%, 0.00%), (GE, 5,558, 1.02%, 0.00%), (ORCL, 5,591, 0.96%, 0.00%), (NFLX, 1,044, 0.95%, 0.00%), (NEE, 17,151, 0.93%, 0.00%), (UNH, 4,160, 0.91%, 0.00%), (PG, 7,192, 0.83%, 0.00%), (COST, 1,161, 0.82%, 0.00%), (CVX, 7,223, 0.80%, 0.00%), (WMT, 11,378, 0.79%, 0.00%), (JNJ, 6,835, 0.78%, 0.00%), (ABT, 7,841, 0.76%, 0.00%), (MCD, 3,398, 0.74%, 0.00%), (CAT, 2,479, 0.73%, 0.00%), (RTX, 6,835, 0.73%, 0.00%), (PLTR, 7,131, 0.73%, 0.00%), (ABBV, 5,017, 0.71%, 0.00%), (HD, 2,571, 0.70%, 0.00%), (PM, 5,215, 0.69%, 0.00%), (IBM, 3,217, 0.67%, 0.00%), (KO, 13,004, 0.66%, 0.00%), (BKNG, 157, 0.66%, 0.00%), (CRM, 3,326, 0.64%, 0.00%), (BAC, 18,606, 0.64%, 0.00%), (BA, 3,839, 0.62%, 0.00%), (SO, 9,138, 0.62%, 0.00%), (ISRG, 1,610, 0.62%, 0.00%), (NKE, 11,109, 0.60%, 0.00%), (HON, 3,339, 0.58%, 0.00%), (UBER, 8,268, 0.57%, 0.00%), (WFC, 9,280, 0.56%, 0.00%), (DUK, 6,443, 0.56%, 0.00%), (GS, 1,061, 0.55%, 0.00%), (AMD, 5,210, 0.54%, 0.00%), (INTU, 975, 0.53%, 0.00%), (ETN, 2,029, 0.53%, 0.00%), (MET, 9,248, 0.53%, 0.00%), (NOW, 717, 0.51%, 0.00%), (DE, 1,307, 0.49%, 0.00%), (TXN, 2,929, 0.47%, 0.00%), (ACN, 2,174, 0.46%, 0.00%), (PEP, 4,602, 0.46%, 0.00%), (AXP, 1,882, 0.45%, 0.00%), (T, 22,144, 0.45%, 0.00%), (MS, 4,194, 0.44%, 0.00%), (MRK, 7,182, 0.44%, 0.00%), (ADBE, 1,531, 0.41%, 0.00%), (SPGI, 1,073, 0.41%, 0.00%), (QCOM, 3,567, 0.41%, 0.00%), (UNP, 2,381, 0.41%, 0.00%), (VZ, 12,991, 0.40%, 0.00%), (BLK, 492, 0.39%, 0.00%), (DIS, 4,425, 0.39%, 0.00%), (COP, 5,590, 0.39%, 0.00%), (AMAT, 2,647, 0.38%, 0.00%), (MDT, 5,798, 0.38%, 0.00%), (SBUX, 5,375, 0.37%, 0.00%), (LMT, 1,083, 0.37%, 0.00%), (SCHW, 5,054, 0.34%, 0.00%), (TMO, 1,086, 0.34%, 0.00%), (C, 5,272, 0.34%, 0.00%), (AMGN, 1,526, 0.33%, 0.00%), (MMM, 2,796, 0.32%, 0.00%), (PFE, 16,088, 0.30%, 0.00%), (EMR, 2,928, 0.30%, 0.00%), (GILD, 3,538, 0.29%, 0.00%), (CVS, 5,689, 0.27%, 0.00%), (DHR, 1,825, 0.27%, 0.00%), (TJX, 2,920, 0.26%, 0.00%), (ELV, 1,048, 0.26%, 0.00%), (LOW, 1,469, 0.24%, 0.00%), (MO, 5,685, 0.24%, 0.00%), (CMCSA, 9,327, 0.24%, 0.00%), (INTC, 13,847, 0.24%, 0.00%), (MDLZ, 4,485, 0.22%, 0.00%), (UPS, 2,872, 0.22%, 0.00%), (BMY, 5,758, 0.20%, 0.00%), (PYPL, 3,390, 0.19%, 0.00%), (CL, 2,495, 0.16%, 0.00%), (FDX, 883, 0.15%, 0.00%), (USB, 4,348, 0.15%, 0.00%), (TGT, 1,208, 0.09%, 0.00%), (SC23471B, nan, nan%, 0.00%), (SC23473B, nan, nan%, 0.00%), (SP23472B, nan, nan%, 0.00%), (SP23475B, nan, nan%, 0.00%), (SP23474B, nan, nan%, 0.00%), (XP23475B, nan, nan%, 0.00%)</t>
  </si>
  <si>
    <t>(AVGO, 11,157, 2.99%, 0.00%), (META, 3,963, 2.80%, 0.00%), (BRK/B, 4,611, 2.15%, 0.00%), (CSCO, 27,998, 1.88%, 0.00%), (GOOGL, 10,623, 1.84%, 0.00%), (LIN, 3,961, 1.82%, 0.00%), (AMT, 8,036, 1.73%, 0.00%), (JPM, 5,839, 1.64%, 0.00%), (TSLA, 5,304, 1.60%, 0.00%), (XOM, 14,133, 1.57%, 0.00%), (V, 4,347, 1.51%, 0.00%), (GOOG, 8,653, 1.51%, 0.00%), (LLY, 1,664, 1.28%, 0.00%), (CB, 4,435, 1.21%, 0.00%), (MA, 2,062, 1.13%, 0.00%), (WM, 4,968, 1.09%, 0.00%), (GE, 4,135, 1.01%, 0.00%), (ORCL, 4,160, 0.95%, 0.00%), (NFLX, 777, 0.95%, 0.00%), (NEE, 12,762, 0.93%, 0.00%), (UNH, 3,096, 0.90%, 0.00%), (PG, 5,351, 0.83%, 0.00%), (COST, 864, 0.82%, 0.00%), (CVX, 5,374, 0.80%, 0.00%), (WMT, 8,466, 0.78%, 0.00%), (JNJ, 5,086, 0.78%, 0.00%), (ABT, 5,834, 0.76%, 0.00%), (MCD, 2,529, 0.73%, 0.00%), (CAT, 1,845, 0.73%, 0.00%), (RTX, 5,086, 0.72%, 0.00%), (PLTR, 5,306, 0.72%, 0.00%), (ABBV, 3,733, 0.70%, 0.00%), (HD, 1,913, 0.70%, 0.00%), (PM, 3,880, 0.68%, 0.00%), (IBM, 2,393, 0.67%, 0.00%), (KO, 9,676, 0.66%, 0.00%), (BKNG, 117, 0.65%, 0.00%), (CRM, 2,474, 0.64%, 0.00%), (BAC, 13,844, 0.63%, 0.00%), (BA, 2,856, 0.62%, 0.00%), (SO, 6,800, 0.62%, 0.00%), (ISRG, 1,198, 0.61%, 0.00%), (NKE, 8,266, 0.60%, 0.00%), (HON, 2,485, 0.57%, 0.00%), (UBER, 6,152, 0.57%, 0.00%), (WFC, 6,905, 0.55%, 0.00%), (DUK, 4,794, 0.55%, 0.00%), (GS, 790, 0.55%, 0.00%), (AMD, 3,877, 0.54%, 0.00%), (INTU, 725, 0.53%, 0.00%), (ETN, 1,510, 0.53%, 0.00%), (MET, 6,881, 0.53%, 0.00%), (NOW, 533, 0.50%, 0.00%), (DE, 972, 0.49%, 0.00%), (TXN, 2,179, 0.46%, 0.00%), (ACN, 1,617, 0.45%, 0.00%), (PEP, 3,424, 0.45%, 0.00%), (AXP, 1,400, 0.44%, 0.00%), (T, 16,476, 0.44%, 0.00%), (MS, 3,121, 0.44%, 0.00%), (MRK, 5,344, 0.43%, 0.00%), (ADBE, 1,139, 0.41%, 0.00%), (SPGI, 799, 0.41%, 0.00%), (QCOM, 2,654, 0.41%, 0.00%), (UNP, 1,771, 0.41%, 0.00%), (VZ, 9,666, 0.40%, 0.00%), (BLK, 366, 0.39%, 0.00%), (DIS, 3,292, 0.39%, 0.00%), (COP, 4,160, 0.39%, 0.00%), (AMAT, 1,969, 0.38%, 0.00%), (MDT, 4,314, 0.37%, 0.00%), (SBUX, 4,000, 0.37%, 0.00%), (LMT, 806, 0.36%, 0.00%), (SCHW, 3,761, 0.34%, 0.00%), (TMO, 808, 0.34%, 0.00%), (C, 3,922, 0.33%, 0.00%), (AMGN, 1,135, 0.33%, 0.00%), (MMM, 2,081, 0.32%, 0.00%), (PFE, 11,971, 0.30%, 0.00%), (EMR, 2,179, 0.30%, 0.00%), (GILD, 2,633, 0.29%, 0.00%), (CVS, 4,233, 0.27%, 0.00%), (DHR, 1,358, 0.27%, 0.00%), (ELV, 780, 0.26%, 0.00%), (TJX, 2,173, 0.26%, 0.00%), (LOW, 1,093, 0.24%, 0.00%), (MO, 4,230, 0.24%, 0.00%), (CMCSA, 6,940, 0.24%, 0.00%), (INTC, 10,303, 0.24%, 0.00%), (MDLZ, 3,337, 0.22%, 0.00%), (UPS, 2,137, 0.21%, 0.00%), (BMY, 4,284, 0.20%, 0.00%), (PYPL, 2,522, 0.19%, 0.00%), (CL, 1,856, 0.16%, 0.00%), (FDX, 657, 0.15%, 0.00%), (USB, 3,235, 0.15%, 0.00%), (TGT, 899, 0.09%, 0.00%), (SC22171B, nan, nan%, 0.00%), (SC22173B, nan, nan%, 0.00%), (SP22172B, nan, nan%, 0.00%), (SP22175B, nan, nan%, 0.00%), (SP22174B, nan, nan%, 0.00%), (XP22175B, nan, nan%, 0.00%)</t>
  </si>
  <si>
    <t>(META, 1,490, 2.67%, 0.00%), (BRK/B, 1,734, 2.05%, 0.00%), (CSCO, 10,528, 1.79%, 0.00%), (GOOGL, 3,995, 1.75%, 0.00%), (LIN, 1,490, 1.73%, 0.00%), (AMT, 3,022, 1.65%, 0.00%), (JPM, 2,196, 1.56%, 0.00%), (TSLA, 1,994, 1.52%, 0.00%), (XOM, 5,315, 1.50%, 0.00%), (V, 1,635, 1.44%, 0.00%), (GOOG, 3,254, 1.44%, 0.00%), (LLY, 626, 1.22%, 0.00%), (CB, 1,668, 1.16%, 0.00%), (MA, 775, 1.08%, 0.00%), (WM, 1,868, 1.04%, 0.00%), (GE, 1,555, 0.96%, 0.00%), (ORCL, 1,564, 0.91%, 0.00%), (NFLX, 292, 0.90%, 0.00%), (NEE, 4,799, 0.88%, 0.00%), (UNH, 1,164, 0.86%, 0.00%), (PG, 2,012, 0.79%, 0.00%), (COST, 325, 0.78%, 0.00%), (CVX, 2,021, 0.76%, 0.00%), (WMT, 3,184, 0.75%, 0.00%), (JNJ, 1,912, 0.74%, 0.00%), (ABT, 2,194, 0.72%, 0.00%), (MCD, 951, 0.70%, 0.00%), (CAT, 694, 0.69%, 0.00%), (PLTR, 1,995, 0.69%, 0.00%), (RTX, 1,912, 0.69%, 0.00%), (ABBV, 1,404, 0.67%, 0.00%), (HD, 719, 0.66%, 0.00%), (PM, 1,459, 0.65%, 0.00%), (IBM, 900, 0.64%, 0.00%), (KO, 3,639, 0.63%, 0.00%), (BKNG, 44, 0.62%, 0.00%), (CRM, 930, 0.61%, 0.00%), (BAC, 5,206, 0.60%, 0.00%), (BA, 1,074, 0.59%, 0.00%), (SO, 2,557, 0.59%, 0.00%), (ISRG, 451, 0.59%, 0.00%), (NKE, 3,108, 0.57%, 0.00%), (HON, 934, 0.55%, 0.00%), (UBER, 2,313, 0.55%, 0.00%), (WFC, 2,597, 0.53%, 0.00%), (DUK, 1,803, 0.53%, 0.00%), (GS, 297, 0.52%, 0.00%), (AMD, 1,458, 0.51%, 0.00%), (INTU, 273, 0.50%, 0.00%), (ETN, 568, 0.50%, 0.00%), (MET, 2,588, 0.50%, 0.00%), (NOW, 201, 0.48%, 0.00%), (DE, 366, 0.47%, 0.00%), (TXN, 819, 0.44%, 0.00%), (ACN, 608, 0.43%, 0.00%), (PEP, 1,288, 0.43%, 0.00%), (T, 6,196, 0.42%, 0.00%), (AXP, 526, 0.42%, 0.00%), (MS, 1,173, 0.41%, 0.00%), (MRK, 2,009, 0.41%, 0.00%), (ADBE, 428, 0.39%, 0.00%), (QCOM, 998, 0.39%, 0.00%), (SPGI, 300, 0.39%, 0.00%), (UNP, 666, 0.39%, 0.00%), (VZ, 3,635, 0.38%, 0.00%), (BLK, 138, 0.38%, 0.00%), (DIS, 1,238, 0.37%, 0.00%), (COP, 1,564, 0.37%, 0.00%), (AMAT, 741, 0.36%, 0.00%), (MDT, 1,622, 0.36%, 0.00%), (SBUX, 1,504, 0.35%, 0.00%), (LMT, 303, 0.35%, 0.00%), (SCHW, 1,414, 0.32%, 0.00%), (TMO, 304, 0.32%, 0.00%), (C, 1,475, 0.32%, 0.00%), (AMGN, 427, 0.32%, 0.00%), (MMM, 782, 0.30%, 0.00%), (PFE, 4,502, 0.29%, 0.00%), (EMR, 819, 0.28%, 0.00%), (GILD, 990, 0.28%, 0.00%), (DHR, 511, 0.26%, 0.00%), (CVS, 1,592, 0.26%, 0.00%), (TJX, 817, 0.25%, 0.00%), (ELV, 293, 0.25%, 0.00%), (LOW, 411, 0.23%, 0.00%), (MO, 1,591, 0.23%, 0.00%), (CMCSA, 2,610, 0.23%, 0.00%), (INTC, 3,874, 0.22%, 0.00%), (MDLZ, 1,255, 0.21%, 0.00%), (UPS, 804, 0.20%, 0.00%), (BMY, 1,611, 0.19%, 0.00%), (PYPL, 948, 0.18%, 0.00%), (CL, 698, 0.16%, 0.00%), (FDX, 247, 0.15%, 0.00%), (USB, 1,217, 0.14%, 0.00%), (TGT, 338, 0.09%, 0.00%), (SC28181B, nan, nan%, 0.00%), (SC28183B, nan, nan%, 0.00%), (SP28182B, nan, nan%, 0.00%), (SP28185B, nan, nan%, 0.00%), (SP28184B, nan, nan%, 0.00%), (XP28185B, nan, nan%, 0.00%)</t>
  </si>
  <si>
    <t>(META, 1,831, 2.70%, 0.00%), (BRK/B, 2,130, 2.08%, 0.00%), (CSCO, 12,931, 1.81%, 0.00%), (GOOGL, 4,906, 1.77%, 0.00%), (LIN, 1,830, 1.75%, 0.00%), (AMT, 3,712, 1.67%, 0.00%), (JPM, 2,697, 1.58%, 0.00%), (TSLA, 2,450, 1.55%, 0.00%), (XOM, 6,528, 1.52%, 0.00%), (V, 2,008, 1.46%, 0.00%), (GOOG, 3,996, 1.45%, 0.00%), (LLY, 769, 1.23%, 0.00%), (CB, 2,048, 1.17%, 0.00%), (MA, 952, 1.09%, 0.00%), (WM, 2,294, 1.05%, 0.00%), (GE, 1,910, 0.98%, 0.00%), (ORCL, 1,921, 0.92%, 0.00%), (NFLX, 359, 0.91%, 0.00%), (NEE, 5,894, 0.89%, 0.00%), (UNH, 1,430, 0.87%, 0.00%), (PG, 2,472, 0.80%, 0.00%), (COST, 399, 0.79%, 0.00%), (CVX, 2,482, 0.77%, 0.00%), (WMT, 3,910, 0.76%, 0.00%), (JNJ, 2,349, 0.75%, 0.00%), (ABT, 2,695, 0.73%, 0.00%), (MCD, 1,168, 0.71%, 0.00%), (CAT, 852, 0.70%, 0.00%), (PLTR, 2,450, 0.70%, 0.00%), (RTX, 2,349, 0.70%, 0.00%), (ABBV, 1,724, 0.68%, 0.00%), (HD, 884, 0.67%, 0.00%), (PM, 1,792, 0.66%, 0.00%), (IBM, 1,105, 0.65%, 0.00%), (KO, 4,469, 0.64%, 0.00%), (BKNG, 54, 0.63%, 0.00%), (CRM, 1,143, 0.61%, 0.00%), (BAC, 6,394, 0.61%, 0.00%), (BA, 1,319, 0.60%, 0.00%), (SO, 3,140, 0.59%, 0.00%), (ISRG, 553, 0.59%, 0.00%), (NKE, 3,818, 0.58%, 0.00%), (HON, 1,148, 0.55%, 0.00%), (UBER, 2,841, 0.55%, 0.00%), (WFC, 3,189, 0.53%, 0.00%), (DUK, 2,214, 0.53%, 0.00%), (GS, 365, 0.53%, 0.00%), (AMD, 1,790, 0.52%, 0.00%), (INTU, 335, 0.51%, 0.00%), (MET, 3,178, 0.51%, 0.00%), (ETN, 697, 0.51%, 0.00%), (NOW, 246, 0.49%, 0.00%), (DE, 449, 0.47%, 0.00%), (TXN, 1,006, 0.45%, 0.00%), (ACN, 747, 0.44%, 0.00%), (PEP, 1,581, 0.44%, 0.00%), (AXP, 647, 0.43%, 0.00%), (T, 7,610, 0.43%, 0.00%), (MS, 1,441, 0.42%, 0.00%), (MRK, 2,468, 0.42%, 0.00%), (ADBE, 526, 0.40%, 0.00%), (SPGI, 369, 0.40%, 0.00%), (QCOM, 1,226, 0.40%, 0.00%), (UNP, 818, 0.39%, 0.00%), (VZ, 4,465, 0.38%, 0.00%), (BLK, 169, 0.38%, 0.00%), (DIS, 1,521, 0.38%, 0.00%), (COP, 1,921, 0.37%, 0.00%), (AMAT, 910, 0.36%, 0.00%), (MDT, 1,992, 0.36%, 0.00%), (SBUX, 1,847, 0.36%, 0.00%), (LMT, 372, 0.35%, 0.00%), (SCHW, 1,737, 0.33%, 0.00%), (TMO, 373, 0.33%, 0.00%), (C, 1,812, 0.32%, 0.00%), (AMGN, 524, 0.32%, 0.00%), (MMM, 961, 0.31%, 0.00%), (PFE, 5,529, 0.29%, 0.00%), (EMR, 1,006, 0.29%, 0.00%), (GILD, 1,216, 0.28%, 0.00%), (CVS, 1,955, 0.26%, 0.00%), (DHR, 627, 0.26%, 0.00%), (TJX, 1,003, 0.25%, 0.00%), (ELV, 360, 0.25%, 0.00%), (LOW, 505, 0.23%, 0.00%), (MO, 1,954, 0.23%, 0.00%), (CMCSA, 3,205, 0.23%, 0.00%), (INTC, 4,759, 0.23%, 0.00%), (MDLZ, 1,541, 0.21%, 0.00%), (UPS, 987, 0.21%, 0.00%), (BMY, 1,979, 0.19%, 0.00%), (PYPL, 1,165, 0.18%, 0.00%), (CL, 857, 0.16%, 0.00%), (FDX, 303, 0.15%, 0.00%), (USB, 1,494, 0.14%, 0.00%), (TGT, 415, 0.09%, 0.00%), (SC13481B, nan, nan%, 0.00%), (SC13483B, nan, nan%, 0.00%), (SP13482B, nan, nan%, 0.00%), (SP13485B, nan, nan%, 0.00%), (SP13484B, nan, nan%, 0.00%), (XP13485B, nan, nan%, 0.00%)</t>
  </si>
  <si>
    <t>(AVGO, 8,584, 2.99%, 0.00%), (META, 3,049, 2.80%, 0.00%), (BRK/B, 3,547, 2.15%, 0.00%), (CSCO, 21,539, 1.88%, 0.00%), (GOOGL, 8,172, 1.84%, 0.00%), (LIN, 3,047, 1.82%, 0.00%), (AMT, 6,182, 1.73%, 0.00%), (JPM, 4,492, 1.64%, 0.00%), (TSLA, 4,080, 1.60%, 0.00%), (XOM, 10,873, 1.58%, 0.00%), (V, 3,344, 1.51%, 0.00%), (GOOG, 6,657, 1.51%, 0.00%), (LLY, 1,280, 1.28%, 0.00%), (CB, 3,412, 1.21%, 0.00%), (MA, 1,586, 1.13%, 0.00%), (WM, 3,822, 1.09%, 0.00%), (GE, 3,181, 1.01%, 0.00%), (ORCL, 3,200, 0.95%, 0.00%), (NFLX, 598, 0.95%, 0.00%), (NEE, 9,818, 0.93%, 0.00%), (UNH, 2,382, 0.90%, 0.00%), (PG, 4,117, 0.83%, 0.00%), (COST, 665, 0.82%, 0.00%), (CVX, 4,135, 0.80%, 0.00%), (WMT, 6,513, 0.78%, 0.00%), (JNJ, 3,913, 0.78%, 0.00%), (ABT, 4,488, 0.76%, 0.00%), (MCD, 1,945, 0.73%, 0.00%), (CAT, 1,419, 0.73%, 0.00%), (PLTR, 4,082, 0.73%, 0.00%), (RTX, 3,912, 0.73%, 0.00%), (ABBV, 2,872, 0.71%, 0.00%), (HD, 1,472, 0.70%, 0.00%), (PM, 2,985, 0.68%, 0.00%), (IBM, 1,841, 0.67%, 0.00%), (KO, 7,444, 0.66%, 0.00%), (BKNG, 90, 0.65%, 0.00%), (CRM, 1,904, 0.64%, 0.00%), (BAC, 10,651, 0.63%, 0.00%), (BA, 2,197, 0.62%, 0.00%), (SO, 5,231, 0.62%, 0.00%), (ISRG, 922, 0.62%, 0.00%), (NKE, 6,359, 0.60%, 0.00%), (HON, 1,911, 0.57%, 0.00%), (UBER, 4,733, 0.57%, 0.00%), (WFC, 5,312, 0.55%, 0.00%), (DUK, 3,688, 0.55%, 0.00%), (GS, 608, 0.55%, 0.00%), (AMD, 2,982, 0.54%, 0.00%), (INTU, 558, 0.53%, 0.00%), (ETN, 1,162, 0.53%, 0.00%), (MET, 5,294, 0.53%, 0.00%), (NOW, 410, 0.50%, 0.00%), (DE, 748, 0.49%, 0.00%), (TXN, 1,676, 0.46%, 0.00%), (ACN, 1,244, 0.46%, 0.00%), (PEP, 2,634, 0.45%, 0.00%), (AXP, 1,077, 0.44%, 0.00%), (T, 12,676, 0.44%, 0.00%), (MS, 2,401, 0.44%, 0.00%), (MRK, 4,111, 0.43%, 0.00%), (ADBE, 877, 0.41%, 0.00%), (SPGI, 614, 0.41%, 0.00%), (QCOM, 2,042, 0.41%, 0.00%), (UNP, 1,363, 0.41%, 0.00%), (VZ, 7,437, 0.40%, 0.00%), (BLK, 282, 0.39%, 0.00%), (DIS, 2,533, 0.39%, 0.00%), (COP, 3,200, 0.39%, 0.00%), (AMAT, 1,515, 0.38%, 0.00%), (MDT, 3,319, 0.37%, 0.00%), (SBUX, 3,077, 0.37%, 0.00%), (LMT, 620, 0.36%, 0.00%), (SCHW, 2,893, 0.34%, 0.00%), (TMO, 622, 0.34%, 0.00%), (C, 3,018, 0.33%, 0.00%), (AMGN, 874, 0.33%, 0.00%), (MMM, 1,601, 0.32%, 0.00%), (PFE, 9,209, 0.30%, 0.00%), (EMR, 1,676, 0.30%, 0.00%), (GILD, 2,025, 0.29%, 0.00%), (DHR, 1,045, 0.27%, 0.00%), (CVS, 3,256, 0.27%, 0.00%), (ELV, 600, 0.26%, 0.00%), (TJX, 1,671, 0.26%, 0.00%), (LOW, 841, 0.24%, 0.00%), (MO, 3,254, 0.24%, 0.00%), (CMCSA, 5,339, 0.24%, 0.00%), (INTC, 7,926, 0.24%, 0.00%), (MDLZ, 2,567, 0.22%, 0.00%), (UPS, 1,644, 0.21%, 0.00%), (BMY, 3,296, 0.20%, 0.00%), (PYPL, 1,940, 0.19%, 0.00%), (CL, 1,428, 0.16%, 0.00%), (FDX, 505, 0.15%, 0.00%), (USB, 2,489, 0.15%, 0.00%), (TGT, 691, 0.09%, 0.00%), (SC26771B, nan, nan%, 0.00%), (SC26773B, nan, nan%, 0.00%), (SP26772B, nan, nan%, 0.00%), (SP26775B, nan, nan%, 0.00%), (SP26774B, nan, nan%, 0.00%), (XP26775B, nan, nan%, 0.00%)</t>
  </si>
  <si>
    <t>META, EBAY, MSFT, BKNG, BK, AMAT, JPM, BLK, EWBC, UNM, AXP, MLI</t>
  </si>
  <si>
    <t>(RJF, 6,643, 1.90%, 0.00%), (V, 2,973, 1.88%, 0.00%), (GOOGL, 5,747, 1.87%, 0.00%), (EA, 6,630, 1.79%, 0.00%), (HIG, 7,961, 1.76%, 0.00%), (KLAC, 1,052, 1.74%, 0.00%), (TRV, 3,783, 1.74%, 0.00%), (ADP, 3,176, 1.73%, 0.00%), (PHM, 8,436, 1.70%, 0.00%), (SNA, 2,964, 1.68%, 0.01%), (CB, 3,354, 1.68%, 0.00%), (NVDA, 5,555, 1.64%, 0.00%), (CTSH, 12,016, 1.63%, 0.00%), (PCAR, 9,402, 1.62%, 0.00%), (CRM, 3,406, 1.60%, 0.00%), (SYF, 12,415, 1.58%, 0.00%), (ROST, 6,624, 1.55%, 0.00%), (PAYC, 3,637, 1.46%, 0.01%), (ACN, 2,833, 1.42%, 0.00%), (LEN, 7,018, 1.40%, 0.00%), (ELV, 2,277, 1.38%, 0.00%), (QCOM, 4,796, 1.33%, 0.00%), (WSM, 4,204, 1.30%, 0.00%), (BKR, 17,683, 1.28%, 0.00%), (ODFL, 4,074, 1.21%, 0.00%), (AFL, 6,568, 1.21%, 0.00%), (AAPL, 3,096, 1.16%, 0.00%), (DHI, 4,664, 1.13%, 0.00%), (LRCX, 6,125, 1.10%, 0.00%), (CSCO, 8,896, 1.08%, 0.00%), (GE, 2,147, 1.00%, 0.00%), (CF, 5,635, 0.99%, 0.00%), (STT, 4,930, 0.97%, 0.00%), (MPWR, 759, 0.97%, 0.00%), (MTB, 2,624, 0.95%, 0.00%), (PNC, 2,640, 0.93%, 0.00%), (AMP, 960, 0.93%, 0.00%), (COST, 493, 0.86%, 0.00%), (XOM, 4,128, 0.85%, 0.00%), (ABT, 3,549, 0.84%, 0.00%), (EOG, 3,713, 0.82%, 0.00%), (CSL, 1,106, 0.82%, 0.00%), (EG, 1,249, 0.77%, 0.00%), (NTRS, 2,289, 0.52%, 0.00%), (GEV, 503, 0.50%, 0.00%), (CRBG, 7,863, 0.49%, 0.00%), (MA, 477, 0.48%, 0.00%), (DOV, 1,338, 0.45%, 0.00%), (ACM, 2,165, 0.45%, 0.00%), (WTFC, 1,844, 0.44%, 0.00%), (SLM, 7,348, 0.44%, 0.00%), (JNJ, 1,532, 0.43%, 0.00%), (CINF, 1,592, 0.43%, 0.00%), (MCK, 331, 0.42%, 0.00%), (EQH, 4,437, 0.42%, 0.00%), (MTG, 8,993, 0.41%, 0.00%), (JXN, 2,583, 0.40%, 0.00%), (ALL, 1,133, 0.40%, 0.00%), (NUE, 1,530, 0.39%, 0.00%), (LNC, 6,259, 0.39%, 0.00%), (ADM, 3,811, 0.37%, 0.00%), (PGR, 835, 0.37%, 0.00%), (NKE, 2,790, 0.36%,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</si>
  <si>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3,965, 3.11%, 0.00%), (META, 1,408, 2.91%, 0.00%), (BRK/B, 1,639, 2.24%, 0.00%), (GOOGL, 3,775, 1.95%, 0.00%), (CSCO, 9,950, 1.92%, 0.00%), (LIN, 1,408, 1.89%, 0.00%), (AMT, 2,856, 1.80%, 0.00%), (JPM, 2,075, 1.70%, 0.00%), (TSLA, 1,885, 1.69%, 0.00%), (XOM, 5,023, 1.64%, 0.00%), (GOOG, 3,075, 1.60%, 0.00%), (V, 1,545, 1.55%, 0.00%), (LLY, 591, 1.34%, 0.00%), (CB, 1,576, 1.26%, 0.00%), (MA, 733, 1.16%, 0.00%), (WM, 1,765, 1.15%, 0.00%), (GE, 1,470, 1.08%, 0.00%), (NFLX, 276, 0.98%, 0.00%), (NEE, 4,535, 0.97%, 0.00%), (ORCL, 1,478, 0.96%, 0.00%), (UNH, 1,100, 0.94%, 0.00%), (COST, 307, 0.86%, 0.00%), (PG, 1,902, 0.84%, 0.00%), (CVX, 1,910, 0.84%, 0.00%), (WMT, 3,009, 0.82%, 0.00%), (JNJ, 1,807, 0.81%, 0.00%), (PLTR, 1,885, 0.78%, 0.00%), (ABT, 2,073, 0.78%, 0.00%), (MCD, 899, 0.77%, 0.00%), (RTX, 1,807, 0.77%, 0.00%), (CAT, 656, 0.76%, 0.00%), (ABBV, 1,327, 0.73%, 0.00%), (HD, 680, 0.72%, 0.00%), (PM, 1,379, 0.71%, 0.00%), (BKNG, 42, 0.69%, 0.00%), (IBM, 851, 0.69%, 0.00%), (KO, 3,439, 0.69%, 0.00%), (BA, 1,015, 0.66%, 0.00%), (BAC, 4,920, 0.66%, 0.00%), (CRM, 879, 0.65%, 0.00%), (SO, 2,416, 0.64%, 0.00%), (ISRG, 426, 0.63%, 0.00%), (NKE, 2,938, 0.61%, 0.00%), (HON, 883, 0.60%, 0.00%), (UBER, 2,186, 0.59%, 0.00%), (WFC, 2,454, 0.58%, 0.00%), (DUK, 1,704, 0.58%, 0.00%), (AMD, 1,378, 0.57%, 0.00%), (GS, 281, 0.57%, 0.00%), (INTU, 258, 0.56%, 0.00%), (ETN, 537, 0.55%, 0.00%), (MET, 2,445, 0.54%, 0.00%), (NOW, 189, 0.51%, 0.00%), (DE, 345, 0.50%, 0.00%), (TXN, 774, 0.48%, 0.00%), (ACN, 575, 0.46%, 0.00%), (T, 5,855, 0.46%, 0.00%), (AXP, 498, 0.45%, 0.00%), (MRK, 1,899, 0.45%, 0.00%), (MS, 1,109, 0.45%, 0.00%), (SPGI, 284, 0.43%, 0.00%), (ADBE, 405, 0.42%, 0.00%), (UNP, 629, 0.42%, 0.00%), (QCOM, 943, 0.42%, 0.00%), (BLK, 130, 0.41%, 0.00%), (VZ, 3,435, 0.41%, 0.00%), (DIS, 1,170, 0.40%, 0.00%), (COP, 1,478, 0.40%, 0.00%), (MDT, 1,533, 0.39%, 0.00%), (AMAT, 700, 0.39%, 0.00%), (LMT, 286, 0.39%, 0.00%), (SBUX, 1,421, 0.38%, 0.00%), (SCHW, 1,336, 0.35%, 0.00%), (TMO, 287, 0.35%, 0.00%), (C, 1,394, 0.35%, 0.00%), (AMGN, 404, 0.34%, 0.00%), (MMM, 739, 0.33%, 0.00%), (PEP, 817, 0.31%, 0.00%), (PFE, 4,254, 0.31%, 0.00%), (EMR, 774, 0.31%, 0.00%), (GILD, 936, 0.30%, 0.00%), (CVS, 1,504, 0.28%, 0.00%), (DHR, 483, 0.27%, 0.00%), (TJX, 772, 0.27%, 0.00%), (ELV, 277, 0.27%, 0.00%), (MO, 1,503, 0.25%, 0.00%), (CMCSA, 2,466, 0.25%, 0.00%), (LOW, 388, 0.25%, 0.00%), (INTC, 3,661, 0.24%, 0.00%), (MDLZ, 1,186, 0.23%, 0.00%), (UPS, 759, 0.22%, 0.00%), (BMY, 1,523, 0.21%, 0.00%), (PYPL, 896, 0.19%, 0.00%), (CL, 660, 0.17%, 0.00%), (FDX, 233, 0.16%, 0.00%), (USB, 1,150, 0.15%, 0.00%), (TGT, 319, 0.09%, 0.00%), (SC31761B, nan, nan%, 0.00%), (SC31763B, nan, nan%, 0.00%), (SP31762B, nan, nan%, 0.00%), (SP31765B, nan, nan%, 0.00%), (SP31764B, nan, nan%, 0.00%), (XP31765B, nan, nan%, 0.00%)</t>
  </si>
  <si>
    <t>(AVGO, 2,609, 2.99%, 0.00%), (META, 927, 2.80%, 0.00%), (BRK/B, 1,078, 2.15%, 0.00%), (GOOGL, 2,484, 1.88%, 0.00%), (CSCO, 6,548, 1.85%, 0.00%), (LIN, 926, 1.82%, 0.00%), (AMT, 1,879, 1.74%, 0.00%), (JPM, 1,366, 1.64%, 0.00%), (TSLA, 1,240, 1.63%, 0.00%), (XOM, 3,305, 1.58%, 0.00%), (GOOG, 2,024, 1.54%, 0.00%), (V, 1,017, 1.50%, 0.00%), (LLY, 389, 1.29%, 0.00%), (CB, 1,037, 1.21%, 0.00%), (MA, 482, 1.12%, 0.00%), (WM, 1,162, 1.11%, 0.00%), (GE, 967, 1.04%, 0.00%), (NFLX, 182, 0.97%, 0.00%), (NEE, 2,985, 0.93%, 0.00%), (ORCL, 973, 0.93%, 0.00%), (UNH, 724, 0.91%, 0.00%), (COST, 202, 0.82%, 0.00%), (PG, 1,252, 0.81%, 0.00%), (CVX, 1,257, 0.81%, 0.00%), (WMT, 1,980, 0.79%, 0.00%), (JNJ, 1,189, 0.78%, 0.00%), (PLTR, 1,241, 0.76%, 0.00%), (ABT, 1,364, 0.75%, 0.00%), (MCD, 591, 0.74%, 0.00%), (RTX, 1,189, 0.74%, 0.00%), (CAT, 431, 0.73%, 0.00%), (ABBV, 873, 0.70%, 0.00%), (HD, 447, 0.69%, 0.00%), (PM, 908, 0.68%, 0.00%), (IBM, 560, 0.66%, 0.00%), (KO, 2,263, 0.66%, 0.00%), (BKNG, 27, 0.65%, 0.00%), (BA, 668, 0.64%, 0.00%), (BAC, 3,238, 0.63%, 0.00%), (CRM, 579, 0.63%, 0.00%), (SO, 1,590, 0.62%, 0.00%), (ISRG, 280, 0.60%, 0.00%), (NKE, 1,933, 0.59%, 0.00%), (HON, 581, 0.58%, 0.00%), (UBER, 1,439, 0.57%, 0.00%), (WFC, 1,615, 0.56%, 0.00%), (DUK, 1,121, 0.55%, 0.00%), (AMD, 907, 0.55%, 0.00%), (GS, 185, 0.54%, 0.00%), (INTU, 170, 0.54%, 0.00%), (ETN, 353, 0.53%, 0.00%), (MET, 1,609, 0.52%, 0.00%), (NOW, 125, 0.50%, 0.00%), (DE, 227, 0.48%, 0.00%), (TXN, 510, 0.47%, 0.00%), (ACN, 378, 0.44%, 0.00%), (T, 3,853, 0.44%, 0.00%), (MRK, 1,250, 0.44%, 0.00%), (MS, 730, 0.44%, 0.00%), (AXP, 327, 0.44%, 0.00%), (SPGI, 187, 0.41%, 0.00%), (ADBE, 266, 0.41%, 0.00%), (UNP, 414, 0.41%, 0.00%), (QCOM, 621, 0.40%, 0.00%), (BLK, 86, 0.40%, 0.00%), (VZ, 2,261, 0.40%, 0.00%), (COP, 973, 0.39%, 0.00%), (DIS, 770, 0.39%, 0.00%), (AMAT, 461, 0.38%, 0.00%), (MDT, 1,009, 0.38%, 0.00%), (LMT, 189, 0.37%, 0.00%), (SBUX, 935, 0.36%, 0.00%), (SCHW, 880, 0.34%, 0.00%), (TMO, 189, 0.34%, 0.00%), (PEP, 601, 0.34%, 0.00%), (C, 917, 0.33%, 0.00%), (AMGN, 266, 0.33%, 0.00%), (MMM, 487, 0.32%, 0.00%), (PFE, 2,800, 0.30%, 0.00%), (EMR, 510, 0.30%, 0.00%), (GILD, 616, 0.29%, 0.00%), (CVS, 990, 0.27%, 0.00%), (DHR, 318, 0.26%, 0.00%), (TJX, 508, 0.26%, 0.00%), (ELV, 182, 0.25%, 0.00%), (MO, 989, 0.24%, 0.00%), (CMCSA, 1,623, 0.24%, 0.00%), (LOW, 256, 0.24%, 0.00%), (INTC, 2,410, 0.23%, 0.00%), (MDLZ, 780, 0.22%, 0.00%), (UPS, 500, 0.21%, 0.00%), (BMY, 1,002, 0.20%, 0.00%), (PYPL, 590, 0.18%, 0.00%), (CL, 434, 0.16%, 0.00%), (FDX, 154, 0.15%, 0.00%), (USB, 757, 0.15%, 0.00%), (TGT, 210, 0.09%, 0.00%), (SC9061B, nan, nan%, 0.00%), (SC9063B, nan, nan%, 0.00%), (SP9062B, nan, nan%, 0.00%), (SP9065B, nan, nan%, 0.00%), (SP9064B, nan, nan%, 0.00%), (XP9065B, nan, nan%, 0.00%)</t>
  </si>
  <si>
    <t>(META, 586, 2.73%, 0.00%), (BRK/B, 682, 2.10%, 0.00%), (GOOGL, 1,571, 1.83%, 0.00%), (CSCO, 4,142, 1.81%, 0.00%), (LIN, 586, 1.78%, 0.00%), (AMT, 1,189, 1.69%, 0.00%), (JPM, 864, 1.60%, 0.00%), (TSLA, 785, 1.59%, 0.00%), (XOM, 2,091, 1.54%, 0.00%), (GOOG, 1,280, 1.50%, 0.00%), (V, 643, 1.46%, 0.00%), (LLY, 246, 1.25%, 0.00%), (CB, 656, 1.18%, 0.00%), (MA, 305, 1.09%, 0.00%), (WM, 735, 1.08%, 0.00%), (GE, 612, 1.02%, 0.00%), (NFLX, 115, 0.94%, 0.00%), (NEE, 1,888, 0.91%, 0.00%), (ORCL, 615, 0.90%, 0.00%), (UNH, 458, 0.89%, 0.00%), (COST, 128, 0.81%, 0.00%), (PG, 792, 0.79%, 0.00%), (CVX, 795, 0.79%, 0.00%), (WMT, 1,252, 0.77%, 0.00%), (JNJ, 752, 0.76%, 0.00%), (PLTR, 785, 0.74%, 0.00%), (ABT, 863, 0.74%, 0.00%), (MCD, 374, 0.72%, 0.00%), (RTX, 752, 0.72%, 0.00%), (CAT, 273, 0.71%, 0.00%), (ABBV, 552, 0.68%, 0.00%), (HD, 283, 0.67%, 0.00%), (PM, 574, 0.67%, 0.00%), (IBM, 354, 0.65%, 0.00%), (KO, 1,431, 0.64%, 0.00%), (BKNG, 17, 0.63%, 0.00%), (BA, 423, 0.62%, 0.00%), (BAC, 2,048, 0.62%, 0.00%), (CRM, 366, 0.61%, 0.00%), (SO, 1,006, 0.60%, 0.00%), (ISRG, 177, 0.59%, 0.00%), (NKE, 1,223, 0.57%, 0.00%), (HON, 368, 0.56%, 0.00%), (UBER, 910, 0.56%, 0.00%), (WFC, 1,021, 0.55%, 0.00%), (DUK, 709, 0.54%, 0.00%), (GS, 117, 0.54%, 0.00%), (AMD, 573, 0.54%, 0.00%), (INTU, 107, 0.52%, 0.00%), (ETN, 223, 0.52%, 0.00%), (MET, 1,018, 0.51%, 0.00%), (NOW, 79, 0.49%, 0.00%), (DE, 144, 0.48%, 0.00%), (TXN, 322, 0.45%, 0.00%), (ACN, 239, 0.43%, 0.00%), (T, 2,437, 0.43%, 0.00%), (MRK, 790, 0.43%, 0.00%), (MS, 462, 0.43%, 0.00%), (AXP, 207, 0.42%, 0.00%), (SPGI, 118, 0.40%, 0.00%), (ADBE, 169, 0.40%, 0.00%), (UNP, 262, 0.39%, 0.00%), (QCOM, 393, 0.39%, 0.00%), (BLK, 54, 0.39%, 0.00%), (VZ, 1,430, 0.39%, 0.00%), (DIS, 487, 0.38%, 0.00%), (COP, 615, 0.38%, 0.00%), (MDT, 638, 0.37%, 0.00%), (AMAT, 291, 0.37%, 0.00%), (LMT, 119, 0.36%, 0.00%), (SBUX, 592, 0.36%, 0.00%), (PEP, 406, 0.35%, 0.00%), (TMO, 120, 0.33%, 0.00%), (SCHW, 556, 0.33%, 0.00%), (C, 580, 0.32%, 0.00%), (AMGN, 168, 0.32%, 0.00%), (MMM, 308, 0.31%, 0.00%), (PFE, 1,771, 0.29%, 0.00%), (EMR, 322, 0.29%, 0.00%), (GILD, 389, 0.28%, 0.00%), (CVS, 626, 0.26%, 0.00%), (DHR, 201, 0.26%, 0.00%), (TJX, 321, 0.26%, 0.00%), (ELV, 115, 0.25%, 0.00%), (MO, 626, 0.23%, 0.00%), (CMCSA, 1,027, 0.23%, 0.00%), (LOW, 162, 0.23%, 0.00%), (INTC, 1,524, 0.23%, 0.00%), (MDLZ, 494, 0.22%, 0.00%), (UPS, 316, 0.21%, 0.00%), (BMY, 634, 0.19%, 0.00%), (PYPL, 373, 0.18%, 0.00%), (CL, 275, 0.16%, 0.00%), (FDX, 97, 0.15%, 0.00%), (USB, 479, 0.15%, 0.00%), (TGT, 133, 0.09%, 0.00%), (SC8071B, nan, nan%, 0.00%), (SC8073B, nan, nan%, 0.00%), (SP8072B, nan, nan%, 0.00%), (SP8075B, nan, nan%, 0.00%), (SP8074B, nan, nan%, 0.00%), (XP8075B, nan, nan%, 0.00%)</t>
  </si>
  <si>
    <t>(AVGO, 14,946, 2.98%, 0.00%), (META, 5,309, 2.78%, 0.00%), (BRK/B, 6,177, 2.14%, 0.00%), (GOOGL, 14,230, 1.87%, 0.00%), (CSCO, 37,504, 1.84%, 0.00%), (LIN, 5,306, 1.81%, 0.00%), (AMT, 10,765, 1.73%, 0.00%), (JPM, 7,821, 1.63%, 0.00%), (TSLA, 7,104, 1.62%, 0.00%), (XOM, 18,932, 1.57%, 0.00%), (GOOG, 11,591, 1.53%, 0.00%), (V, 5,823, 1.49%, 0.00%), (LLY, 2,230, 1.28%, 0.00%), (CB, 5,941, 1.21%, 0.00%), (MA, 2,762, 1.11%, 0.00%), (WM, 6,655, 1.10%, 0.00%), (GE, 5,539, 1.04%, 0.00%), (NFLX, 1,041, 0.95%, 0.00%), (NEE, 17,095, 0.93%, 0.00%), (ORCL, 5,573, 0.92%, 0.00%), (UNH, 4,147, 0.90%, 0.00%), (COST, 1,158, 0.82%, 0.00%), (PG, 7,168, 0.80%, 0.00%), (CVX, 7,199, 0.80%, 0.00%), (WMT, 11,341, 0.78%, 0.00%), (JNJ, 6,813, 0.77%, 0.00%), (PLTR, 7,107, 0.75%, 0.00%), (ABT, 7,815, 0.75%, 0.00%), (MCD, 3,387, 0.74%, 0.00%), (RTX, 6,812, 0.74%, 0.00%), (CAT, 2,471, 0.73%, 0.00%), (ABBV, 5,000, 0.70%, 0.00%), (HD, 2,563, 0.69%, 0.00%), (PM, 5,198, 0.68%, 0.00%), (IBM, 3,206, 0.66%, 0.00%), (KO, 12,961, 0.66%, 0.00%), (BKNG, 156, 0.65%, 0.00%), (BA, 3,826, 0.63%, 0.00%), (BAC, 18,545, 0.63%, 0.00%), (CRM, 3,315, 0.63%, 0.00%), (SO, 9,108, 0.61%, 0.00%), (ISRG, 1,605, 0.60%, 0.00%), (NKE, 11,073, 0.58%, 0.00%), (HON, 3,328, 0.58%, 0.00%), (UBER, 8,241, 0.57%, 0.00%), (WFC, 9,250, 0.56%, 0.00%), (DUK, 6,422, 0.55%, 0.00%), (AMD, 5,193, 0.55%, 0.00%), (GS, 1,058, 0.54%, 0.00%), (INTU, 972, 0.53%, 0.00%), (ETN, 2,023, 0.53%, 0.00%), (MET, 9,217, 0.52%, 0.00%), (NOW, 714, 0.49%, 0.00%), (DE, 1,302, 0.48%, 0.00%), (TXN, 2,919, 0.46%, 0.00%), (ACN, 2,167, 0.44%, 0.00%), (T, 22,071, 0.44%, 0.00%), (MRK, 7,158, 0.43%, 0.00%), (AXP, 1,875, 0.43%, 0.00%), (MS, 4,180, 0.43%, 0.00%), (SPGI, 1,070, 0.41%, 0.00%), (ADBE, 1,526, 0.41%, 0.00%), (UNP, 2,373, 0.40%, 0.00%), (QCOM, 3,555, 0.40%, 0.00%), (BLK, 491, 0.39%, 0.00%), (VZ, 12,949, 0.39%, 0.00%), (COP, 5,572, 0.38%, 0.00%), (DIS, 4,410, 0.38%, 0.00%), (MDT, 5,779, 0.38%, 0.00%), (AMAT, 2,638, 0.38%, 0.00%), (LMT, 1,080, 0.37%, 0.00%), (SBUX, 5,358, 0.36%, 0.00%), (SCHW, 5,038, 0.34%, 0.00%), (TMO, 1,082, 0.34%, 0.00%), (C, 5,254, 0.33%, 0.00%), (AMGN, 1,521, 0.33%, 0.00%), (MMM, 2,787, 0.32%, 0.00%), (PEP, 3,187, 0.31%, 0.00%), (PFE, 16,036, 0.30%, 0.00%), (EMR, 2,918, 0.30%, 0.00%), (GILD, 3,526, 0.29%, 0.00%), (CVS, 5,670, 0.27%, 0.00%), (DHR, 1,819, 0.26%, 0.00%), (TJX, 2,910, 0.26%, 0.00%), (ELV, 1,045, 0.25%, 0.00%), (MO, 5,666, 0.24%, 0.00%), (CMCSA, 9,296, 0.24%, 0.00%), (LOW, 1,464, 0.24%, 0.00%), (INTC, 13,802, 0.23%, 0.00%), (MDLZ, 4,470, 0.22%, 0.00%), (UPS, 2,862, 0.21%, 0.00%), (BMY, 5,739, 0.20%, 0.00%), (PYPL, 3,378, 0.18%, 0.00%), (CL, 2,487, 0.16%, 0.00%), (FDX, 880, 0.15%, 0.00%), (USB, 4,334, 0.15%, 0.00%), (TGT, 1,204, 0.09%, 0.00%), (SC23471B, nan, nan%, 0.00%), (SC23473B, nan, nan%, 0.00%), (SP23472B, nan, nan%, 0.00%), (SP23475B, nan, nan%, 0.00%), (SP23474B, nan, nan%, 0.00%), (XP23475B, nan, nan%, 0.00%)</t>
  </si>
  <si>
    <t>(AVGO, 11,131, 2.96%, 0.00%), (META, 3,954, 2.77%, 0.00%), (BRK/B, 4,600, 2.13%, 0.00%), (GOOGL, 10,598, 1.86%, 0.00%), (CSCO, 27,931, 1.83%, 0.00%), (LIN, 3,952, 1.80%, 0.00%), (AMT, 8,017, 1.72%, 0.00%), (JPM, 5,825, 1.62%, 0.00%), (TSLA, 5,291, 1.61%, 0.00%), (XOM, 14,100, 1.57%, 0.00%), (GOOG, 8,632, 1.52%, 0.00%), (V, 4,337, 1.48%, 0.00%), (LLY, 1,660, 1.28%, 0.00%), (CB, 4,424, 1.20%, 0.00%), (MA, 2,057, 1.11%, 0.00%), (WM, 4,956, 1.10%, 0.00%), (GE, 4,125, 1.03%, 0.00%), (NFLX, 775, 0.94%, 0.00%), (NEE, 12,731, 0.92%, 0.00%), (ORCL, 4,150, 0.92%, 0.00%), (UNH, 3,088, 0.90%, 0.00%), (COST, 862, 0.82%, 0.00%), (PG, 5,338, 0.80%, 0.00%), (CVX, 5,362, 0.80%, 0.00%), (WMT, 8,446, 0.78%, 0.00%), (JNJ, 5,074, 0.77%, 0.00%), (PLTR, 5,293, 0.75%, 0.00%), (ABT, 5,820, 0.75%, 0.00%), (MCD, 2,523, 0.74%, 0.00%), (RTX, 5,074, 0.73%, 0.00%), (CAT, 1,840, 0.73%, 0.00%), (ABBV, 3,724, 0.69%, 0.00%), (HD, 1,909, 0.68%, 0.00%), (PM, 3,871, 0.68%, 0.00%), (IBM, 2,388, 0.66%, 0.00%), (KO, 9,653, 0.65%, 0.00%), (BKNG, 117, 0.65%, 0.00%), (BA, 2,850, 0.63%, 0.00%), (BAC, 13,811, 0.63%, 0.00%), (CRM, 2,469, 0.62%, 0.00%), (SO, 6,783, 0.61%, 0.00%), (ISRG, 1,195, 0.60%, 0.00%), (NKE, 8,246, 0.58%, 0.00%), (HON, 2,479, 0.57%, 0.00%), (UBER, 6,137, 0.56%, 0.00%), (WFC, 6,889, 0.55%, 0.00%), (DUK, 4,782, 0.55%, 0.00%), (AMD, 3,867, 0.54%, 0.00%), (GS, 788, 0.54%, 0.00%), (INTU, 724, 0.53%, 0.00%), (ETN, 1,506, 0.53%, 0.00%), (MET, 6,865, 0.52%, 0.00%), (NOW, 532, 0.49%, 0.00%), (DE, 970, 0.48%, 0.00%), (TXN, 2,174, 0.46%, 0.00%), (ACN, 1,613, 0.44%, 0.00%), (T, 16,437, 0.43%, 0.00%), (MRK, 5,331, 0.43%, 0.00%), (AXP, 1,397, 0.43%, 0.00%), (MS, 3,113, 0.43%, 0.00%), (SPGI, 797, 0.41%, 0.00%), (ADBE, 1,137, 0.40%, 0.00%), (UNP, 1,767, 0.40%, 0.00%), (QCOM, 2,648, 0.40%, 0.00%), (BLK, 365, 0.39%, 0.00%), (VZ, 9,643, 0.39%, 0.00%), (COP, 4,150, 0.38%, 0.00%), (DIS, 3,285, 0.38%, 0.00%), (MDT, 4,304, 0.38%, 0.00%), (AMAT, 1,965, 0.38%, 0.00%), (LMT, 804, 0.37%, 0.00%), (SBUX, 3,990, 0.36%, 0.00%), (SCHW, 3,752, 0.34%, 0.00%), (TMO, 806, 0.33%, 0.00%), (C, 3,913, 0.33%, 0.00%), (AMGN, 1,133, 0.33%, 0.00%), (MMM, 2,076, 0.31%, 0.00%), (PEP, 2,316, 0.30%, 0.00%), (PFE, 11,942, 0.30%, 0.00%), (EMR, 2,173, 0.30%, 0.00%), (GILD, 2,626, 0.28%, 0.00%), (CVS, 4,223, 0.26%, 0.00%), (DHR, 1,355, 0.26%, 0.00%), (TJX, 2,167, 0.26%, 0.00%), (ELV, 778, 0.25%, 0.00%), (MO, 4,220, 0.24%, 0.00%), (CMCSA, 6,923, 0.24%, 0.00%), (LOW, 1,090, 0.23%, 0.00%), (INTC, 10,279, 0.23%, 0.00%), (MDLZ, 3,329, 0.22%, 0.00%), (UPS, 2,132, 0.21%, 0.00%), (BMY, 4,274, 0.20%, 0.00%), (PYPL, 2,516, 0.18%, 0.00%), (CL, 1,852, 0.16%, 0.00%), (FDX, 655, 0.15%, 0.00%), (USB, 3,228, 0.15%, 0.00%), (TGT, 896, 0.09%, 0.00%), (SC22171B, nan, nan%, 0.00%), (SC22173B, nan, nan%, 0.00%), (SP22172B, nan, nan%, 0.00%), (SP22175B, nan, nan%, 0.00%), (SP22174B, nan, nan%, 0.00%), (XP22175B, nan, nan%, 0.00%)</t>
  </si>
  <si>
    <t>(META, 1,488, 2.64%, 0.00%), (BRK/B, 1,731, 2.03%, 0.00%), (GOOGL, 3,987, 1.77%, 0.00%), (CSCO, 10,509, 1.75%, 0.00%), (LIN, 1,487, 1.72%, 0.00%), (AMT, 3,016, 1.64%, 0.00%), (JPM, 2,192, 1.55%, 0.00%), (TSLA, 1,991, 1.54%, 0.00%), (XOM, 5,305, 1.49%, 0.00%), (GOOG, 3,248, 1.45%, 0.00%), (V, 1,632, 1.41%, 0.00%), (LLY, 625, 1.22%, 0.00%), (CB, 1,665, 1.14%, 0.00%), (MA, 774, 1.06%, 0.00%), (WM, 1,865, 1.05%, 0.00%), (GE, 1,552, 0.99%, 0.00%), (NFLX, 292, 0.90%, 0.00%), (NEE, 4,790, 0.88%, 0.00%), (ORCL, 1,561, 0.87%, 0.00%), (UNH, 1,162, 0.86%, 0.00%), (COST, 324, 0.78%, 0.00%), (PG, 2,009, 0.76%, 0.00%), (CVX, 2,017, 0.76%, 0.00%), (WMT, 3,178, 0.74%, 0.00%), (JNJ, 1,909, 0.74%, 0.00%), (PLTR, 1,991, 0.71%, 0.00%), (ABT, 2,190, 0.71%, 0.00%), (MCD, 949, 0.70%, 0.00%), (RTX, 1,909, 0.70%, 0.00%), (CAT, 692, 0.69%, 0.00%), (ABBV, 1,401, 0.66%, 0.00%), (HD, 718, 0.65%, 0.00%), (PM, 1,456, 0.65%, 0.00%), (IBM, 898, 0.63%, 0.00%), (KO, 3,632, 0.62%, 0.00%), (BKNG, 44, 0.62%, 0.00%), (BA, 1,072, 0.60%, 0.00%), (BAC, 5,196, 0.60%, 0.00%), (CRM, 929, 0.60%, 0.00%), (SO, 2,552, 0.58%, 0.00%), (ISRG, 450, 0.57%, 0.00%), (NKE, 3,103, 0.55%, 0.00%), (HON, 933, 0.55%, 0.00%), (UBER, 2,309, 0.54%, 0.00%), (WFC, 2,592, 0.53%, 0.00%), (DUK, 1,799, 0.52%, 0.00%), (AMD, 1,455, 0.52%, 0.00%), (GS, 296, 0.51%, 0.00%), (INTU, 272, 0.51%, 0.00%), (ETN, 567, 0.50%, 0.00%), (MET, 2,583, 0.49%, 0.00%), (NOW, 200, 0.47%, 0.00%), (DE, 365, 0.46%, 0.00%), (TXN, 818, 0.44%, 0.00%), (ACN, 607, 0.42%, 0.00%), (T, 6,184, 0.41%, 0.00%), (MRK, 2,006, 0.41%, 0.00%), (AXP, 525, 0.41%, 0.00%), (MS, 1,171, 0.41%, 0.00%), (SPGI, 300, 0.39%, 0.00%), (ADBE, 428, 0.38%, 0.00%), (UNP, 665, 0.38%, 0.00%), (QCOM, 996, 0.38%, 0.00%), (BLK, 137, 0.37%, 0.00%), (VZ, 3,628, 0.37%, 0.00%), (COP, 1,561, 0.37%, 0.00%), (DIS, 1,236, 0.37%, 0.00%), (MDT, 1,619, 0.36%, 0.00%), (AMAT, 739, 0.36%, 0.00%), (LMT, 303, 0.35%, 0.00%), (SBUX, 1,501, 0.34%, 0.00%), (PEP, 985, 0.32%, 0.00%), (SCHW, 1,412, 0.32%, 0.00%), (TMO, 303, 0.32%, 0.00%), (C, 1,472, 0.31%, 0.00%), (AMGN, 426, 0.31%, 0.00%), (MMM, 781, 0.30%, 0.00%), (PFE, 4,493, 0.28%, 0.00%), (EMR, 818, 0.28%, 0.00%), (GILD, 988, 0.27%, 0.00%), (CVS, 1,589, 0.25%, 0.00%), (DHR, 510, 0.25%, 0.00%), (TJX, 815, 0.25%, 0.00%), (ELV, 293, 0.24%, 0.00%), (MO, 1,588, 0.23%, 0.00%), (CMCSA, 2,605, 0.23%, 0.00%), (LOW, 410, 0.22%, 0.00%), (INTC, 3,867, 0.22%, 0.00%), (MDLZ, 1,253, 0.21%, 0.00%), (UPS, 802, 0.20%, 0.00%), (BMY, 1,608, 0.19%, 0.00%), (PYPL, 947, 0.17%, 0.00%), (CL, 697, 0.15%, 0.00%), (FDX, 246, 0.14%, 0.00%), (USB, 1,214, 0.14%, 0.00%), (TGT, 337, 0.09%, 0.00%), (SC28181B, nan, nan%, 0.00%), (SC28183B, nan, nan%, 0.00%), (SP28182B, nan, nan%, 0.00%), (SP28185B, nan, nan%, 0.00%), (SP28184B, nan, nan%, 0.00%), (XP28185B, nan, nan%, 0.00%)</t>
  </si>
  <si>
    <t>(META, 1,827, 2.68%, 0.00%), (BRK/B, 2,126, 2.06%, 0.00%), (GOOGL, 4,897, 1.80%, 0.00%), (CSCO, 12,907, 1.77%, 0.00%), (LIN, 1,826, 1.74%, 0.00%), (AMT, 3,705, 1.66%, 0.00%), (JPM, 2,692, 1.57%, 0.00%), (TSLA, 2,445, 1.56%, 0.00%), (XOM, 6,515, 1.51%, 0.00%), (GOOG, 3,989, 1.47%, 0.00%), (V, 2,004, 1.43%, 0.00%), (LLY, 767, 1.23%, 0.00%), (CB, 2,045, 1.16%, 0.00%), (MA, 951, 1.07%, 0.00%), (WM, 2,290, 1.06%, 0.00%), (GE, 1,906, 1.00%, 0.00%), (NFLX, 358, 0.91%, 0.00%), (NEE, 5,883, 0.89%, 0.00%), (ORCL, 1,918, 0.89%, 0.00%), (UNH, 1,427, 0.87%, 0.00%), (COST, 398, 0.79%, 0.00%), (PG, 2,467, 0.77%, 0.00%), (CVX, 2,478, 0.77%, 0.00%), (WMT, 3,903, 0.75%, 0.00%), (JNJ, 2,345, 0.75%, 0.00%), (PLTR, 2,446, 0.72%, 0.00%), (ABT, 2,690, 0.72%, 0.00%), (MCD, 1,166, 0.71%, 0.00%), (RTX, 2,344, 0.71%, 0.00%), (CAT, 850, 0.70%, 0.00%), (ABBV, 1,721, 0.67%, 0.00%), (HD, 882, 0.66%, 0.00%), (PM, 1,789, 0.65%, 0.00%), (IBM, 1,103, 0.63%, 0.00%), (KO, 4,460, 0.63%, 0.00%), (BKNG, 54, 0.63%, 0.00%), (BA, 1,317, 0.61%, 0.00%), (BAC, 6,382, 0.60%, 0.00%), (CRM, 1,141, 0.60%, 0.00%), (SO, 3,135, 0.59%, 0.00%), (ISRG, 552, 0.58%, 0.00%), (NKE, 3,811, 0.56%, 0.00%), (HON, 1,145, 0.55%, 0.00%), (UBER, 2,836, 0.54%, 0.00%), (WFC, 3,183, 0.53%, 0.00%), (DUK, 2,210, 0.53%, 0.00%), (AMD, 1,787, 0.52%, 0.00%), (GS, 364, 0.52%, 0.00%), (INTU, 334, 0.51%, 0.00%), (ETN, 696, 0.51%, 0.00%), (MET, 3,172, 0.50%, 0.00%), (NOW, 246, 0.47%, 0.00%), (DE, 448, 0.46%, 0.00%), (TXN, 1,005, 0.45%, 0.00%), (ACN, 746, 0.42%, 0.00%), (T, 7,595, 0.42%, 0.00%), (MRK, 2,463, 0.42%, 0.00%), (AXP, 645, 0.42%, 0.00%), (MS, 1,439, 0.42%, 0.00%), (SPGI, 368, 0.40%, 0.00%), (ADBE, 525, 0.39%, 0.00%), (UNP, 817, 0.39%, 0.00%), (QCOM, 1,223, 0.38%, 0.00%), (BLK, 169, 0.38%, 0.00%), (VZ, 4,456, 0.38%, 0.00%), (DIS, 1,518, 0.37%, 0.00%), (COP, 1,918, 0.37%, 0.00%), (MDT, 1,989, 0.36%, 0.00%), (AMAT, 908, 0.36%, 0.00%), (LMT, 372, 0.36%, 0.00%), (SBUX, 1,844, 0.35%, 0.00%), (SCHW, 1,734, 0.32%, 0.00%), (TMO, 372, 0.32%, 0.00%), (PEP, 1,178, 0.32%, 0.00%), (C, 1,808, 0.32%, 0.00%), (AMGN, 523, 0.31%, 0.00%), (MMM, 959, 0.30%, 0.00%), (PFE, 5,518, 0.29%, 0.00%), (EMR, 1,004, 0.29%, 0.00%), (GILD, 1,214, 0.28%, 0.00%), (CVS, 1,951, 0.25%, 0.00%), (DHR, 626, 0.25%, 0.00%), (TJX, 1,002, 0.25%, 0.00%), (ELV, 360, 0.25%, 0.00%), (MO, 1,950, 0.23%, 0.00%), (CMCSA, 3,199, 0.23%, 0.00%), (LOW, 504, 0.23%, 0.00%), (INTC, 4,750, 0.22%, 0.00%), (MDLZ, 1,538, 0.21%, 0.00%), (UPS, 985, 0.20%, 0.00%), (BMY, 1,975, 0.19%, 0.00%), (PYPL, 1,163, 0.17%, 0.00%), (CL, 856, 0.15%, 0.00%), (FDX, 303, 0.14%, 0.00%), (USB, 1,491, 0.14%, 0.00%), (TGT, 414, 0.09%, 0.00%), (SC13481B, nan, nan%, 0.00%), (SC13483B, nan, nan%, 0.00%), (SP13482B, nan, nan%, 0.00%), (SP13485B, nan, nan%, 0.00%), (SP13484B, nan, nan%, 0.00%), (XP13485B, nan, nan%, 0.00%)</t>
  </si>
  <si>
    <t>(AVGO, 8,564, 2.97%, 0.00%), (META, 3,042, 2.77%, 0.00%), (BRK/B, 3,539, 2.13%, 0.00%), (GOOGL, 8,154, 1.86%, 0.00%), (CSCO, 21,489, 1.83%, 0.00%), (LIN, 3,040, 1.80%, 0.00%), (AMT, 6,168, 1.72%, 0.00%), (JPM, 4,481, 1.62%, 0.00%), (TSLA, 4,071, 1.61%, 0.00%), (XOM, 10,848, 1.57%, 0.00%), (GOOG, 6,641, 1.53%, 0.00%), (V, 3,337, 1.48%, 0.00%), (LLY, 1,277, 1.28%, 0.00%), (CB, 3,404, 1.20%, 0.00%), (MA, 1,583, 1.11%, 0.00%), (WM, 3,813, 1.10%, 0.00%), (GE, 3,174, 1.03%, 0.00%), (NFLX, 596, 0.95%, 0.00%), (NEE, 9,795, 0.93%, 0.00%), (ORCL, 3,193, 0.92%, 0.00%), (UNH, 2,376, 0.90%, 0.00%), (COST, 663, 0.82%, 0.00%), (PG, 4,107, 0.80%, 0.00%), (CVX, 4,125, 0.80%, 0.00%), (WMT, 6,498, 0.78%, 0.00%), (JNJ, 3,904, 0.77%, 0.00%), (PLTR, 4,072, 0.75%, 0.00%), (ABT, 4,478, 0.75%, 0.00%), (MCD, 1,941, 0.74%, 0.00%), (RTX, 3,903, 0.73%, 0.00%), (CAT, 1,416, 0.73%, 0.00%), (ABBV, 2,865, 0.69%, 0.00%), (HD, 1,468, 0.69%, 0.00%), (PM, 2,978, 0.68%, 0.00%), (IBM, 1,837, 0.66%, 0.00%), (KO, 7,427, 0.66%, 0.00%), (BKNG, 90, 0.65%, 0.00%), (BA, 2,192, 0.63%, 0.00%), (BAC, 10,626, 0.63%, 0.00%), (CRM, 1,899, 0.62%, 0.00%), (SO, 5,219, 0.61%, 0.00%), (ISRG, 920, 0.60%, 0.00%), (NKE, 6,345, 0.58%, 0.00%), (HON, 1,907, 0.57%, 0.00%), (UBER, 4,722, 0.56%, 0.00%), (WFC, 5,300, 0.55%, 0.00%), (DUK, 3,679, 0.55%, 0.00%), (AMD, 2,975, 0.54%, 0.00%), (GS, 606, 0.54%, 0.00%), (INTU, 557, 0.53%, 0.00%), (ETN, 1,159, 0.53%, 0.00%), (MET, 5,281, 0.52%, 0.00%), (NOW, 409, 0.49%, 0.00%), (DE, 746, 0.48%, 0.00%), (TXN, 1,673, 0.46%, 0.00%), (ACN, 1,241, 0.44%, 0.00%), (T, 12,646, 0.44%, 0.00%), (AXP, 1,075, 0.43%, 0.00%), (MRK, 4,101, 0.43%, 0.00%), (MS, 2,395, 0.43%, 0.00%), (SPGI, 613, 0.41%, 0.00%), (ADBE, 875, 0.40%, 0.00%), (UNP, 1,360, 0.40%, 0.00%), (QCOM, 2,037, 0.40%, 0.00%), (VZ, 7,419, 0.39%, 0.00%), (BLK, 281, 0.39%, 0.00%), (COP, 3,193, 0.38%, 0.00%), (DIS, 2,527, 0.38%, 0.00%), (MDT, 3,311, 0.38%, 0.00%), (AMAT, 1,512, 0.38%, 0.00%), (LMT, 619, 0.37%, 0.00%), (SBUX, 3,070, 0.36%, 0.00%), (SCHW, 2,886, 0.34%, 0.00%), (TMO, 620, 0.33%, 0.00%), (C, 3,011, 0.33%, 0.00%), (AMGN, 872, 0.33%, 0.00%), (PEP, 1,928, 0.33%, 0.00%), (MMM, 1,597, 0.31%, 0.00%), (PFE, 9,188, 0.30%, 0.00%), (EMR, 1,672, 0.30%, 0.00%), (GILD, 2,021, 0.29%, 0.00%), (CVS, 3,249, 0.26%, 0.00%), (DHR, 1,042, 0.26%, 0.00%), (TJX, 1,667, 0.26%, 0.00%), (ELV, 599, 0.25%, 0.00%), (MO, 3,246, 0.24%, 0.00%), (CMCSA, 5,327, 0.24%, 0.00%), (LOW, 839, 0.24%, 0.00%), (INTC, 7,908, 0.23%, 0.00%), (MDLZ, 2,561, 0.22%, 0.00%), (UPS, 1,640, 0.21%, 0.00%), (BMY, 3,288, 0.20%, 0.00%), (PYPL, 1,936, 0.18%, 0.00%), (CL, 1,425, 0.16%, 0.00%), (FDX, 504, 0.15%, 0.00%), (USB, 2,483, 0.15%, 0.00%), (TGT, 690, 0.09%, 0.00%), (SC26771B, nan, nan%, 0.00%), (SC26773B, nan, nan%, 0.00%), (SP26772B, nan, nan%, 0.00%), (SP26775B, nan, nan%, 0.00%), (SP26774B, nan, nan%, 0.00%), (XP26775B, nan, nan%, 0.00%)</t>
  </si>
  <si>
    <t>MSFT, EBAY, META, BK, AMAT, BKNG, JPM, EWBC, UNM, MLI, GOOGL, BLK</t>
  </si>
  <si>
    <t>(AXP, 3,354, 1.90%, 0.00%), (RJF, 6,643, 1.89%, 0.00%), (V, 2,973, 1.88%, 0.00%), (EA, 6,630, 1.79%, 0.00%), (KLAC, 1,052, 1.79%, 0.00%), (HIG, 7,961, 1.73%, 0.00%), (NVDA, 5,555, 1.73%, 0.00%), (TRV, 3,783, 1.73%, 0.00%), (ADP, 3,176, 1.72%, 0.00%), (SNA, 2,964, 1.69%, 0.01%), (CB, 3,354, 1.68%, 0.00%), (PHM, 8,436, 1.66%, 0.00%), (PCAR, 9,402, 1.63%, 0.00%), (CTSH, 12,016, 1.63%, 0.00%), (CRM, 3,406, 1.60%, 0.00%), (SYF, 12,415, 1.55%, 0.00%), (ROST, 6,624, 1.54%, 0.00%), (PAYC, 3,637, 1.47%, 0.01%), (ACN, 2,833, 1.42%, 0.00%), (ELV, 2,277, 1.39%, 0.00%), (LEN, 7,018, 1.38%, 0.00%), (QCOM, 4,796, 1.35%, 0.00%), (BKR, 17,683, 1.25%, 0.00%), (WSM, 4,204, 1.25%, 0.00%), (AFL, 6,568, 1.20%, 0.00%), (ODFL, 4,074, 1.20%, 0.00%), (AAPL, 3,096, 1.18%, 0.00%), (LRCX, 6,125, 1.13%, 0.00%), (DHI, 4,664, 1.10%, 0.00%), (CSCO, 8,896, 1.09%, 0.00%), (GE, 2,147, 1.03%, 0.00%), (MPWR, 759, 0.99%, 0.00%), (CF, 5,635, 0.98%, 0.00%), (MTB, 2,624, 0.94%, 0.00%), (PNC, 2,640, 0.92%, 0.00%), (STT, 4,930, 0.92%, 0.00%), (AMP, 960, 0.91%, 0.00%), (COST, 493, 0.87%, 0.00%), (ABT, 3,549, 0.85%, 0.00%), (XOM, 4,128, 0.85%, 0.00%), (EOG, 3,713, 0.81%, 0.00%), (CSL, 1,106, 0.80%, 0.00%), (EG, 1,249, 0.75%, 0.00%), (NTRS, 2,289, 0.51%, 0.00%), (GEV, 503, 0.51%, 0.00%), (CRBG, 7,863, 0.49%, 0.00%), (MA, 477, 0.48%, 0.00%), (DOV, 1,338, 0.46%, 0.00%), (ACM, 2,165, 0.45%, 0.00%), (SLM, 7,348, 0.44%, 0.00%), (JNJ, 1,532, 0.43%, 0.00%), (WTFC, 1,844, 0.43%, 0.00%), (MCK, 331, 0.43%, 0.00%), (CINF, 1,592, 0.42%, 0.00%), (EQH, 4,437, 0.42%, 0.00%), (MTG, 8,993, 0.41%, 0.00%), (JXN, 2,583, 0.40%, 0.00%), (ALL, 1,133, 0.40%, 0.00%), (NUE, 1,530, 0.39%, 0.00%), (LNC, 6,259, 0.38%, 0.00%), (ADM, 3,811, 0.37%, 0.00%), (PGR, 835,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</si>
  <si>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3,965, 3.18%, 0.00%), (META, 1,408, 2.88%, 0.00%), (BRK/B, 1,639, 2.22%, 0.00%), (GOOGL, 3,775, 1.97%, 0.00%), (CSCO, 9,950, 1.92%, 0.00%), (LIN, 1,408, 1.87%, 0.00%), (AMT, 2,856, 1.80%, 0.00%), (JPM, 2,075, 1.71%, 0.00%), (TSLA, 1,885, 1.68%, 0.00%), (XOM, 5,023, 1.63%, 0.00%), (GOOG, 3,075, 1.62%, 0.00%), (V, 1,545, 1.54%, 0.00%), (LLY, 591, 1.31%, 0.00%), (CB, 1,576, 1.25%, 0.00%), (MA, 733, 1.16%, 0.00%), (WM, 1,765, 1.15%, 0.00%), (GE, 1,470, 1.10%, 0.00%), (ORCL, 1,478, 0.99%, 0.00%), (NFLX, 276, 0.99%, 0.00%), (NEE, 4,535, 0.97%, 0.00%), (UNH, 1,100, 0.92%, 0.00%), (COST, 307, 0.85%, 0.00%), (PG, 1,902, 0.84%, 0.00%), (CVX, 1,910, 0.83%, 0.00%), (WMT, 3,009, 0.82%, 0.00%), (JNJ, 1,807, 0.81%, 0.00%), (PLTR, 1,885, 0.80%, 0.00%), (ABT, 2,073, 0.78%, 0.00%), (MCD, 899, 0.77%, 0.00%), (RTX, 1,807, 0.77%, 0.00%), (CAT, 656, 0.76%, 0.00%), (PM, 1,379, 0.72%, 0.00%), (ABBV, 1,327, 0.71%, 0.00%), (HD, 680, 0.70%, 0.00%), (IBM, 851, 0.69%, 0.00%), (BKNG, 42, 0.69%, 0.00%), (KO, 3,439, 0.69%, 0.00%), (BA, 1,015, 0.67%, 0.00%), (BAC, 4,920, 0.65%, 0.00%), (CRM, 879, 0.65%, 0.00%), (SO, 2,416, 0.64%, 0.00%), (ISRG, 426, 0.63%, 0.00%), (NKE, 2,938, 0.61%, 0.00%), (AMD, 1,378, 0.61%, 0.00%), (HON, 883, 0.60%, 0.00%), (UBER, 2,186, 0.58%, 0.00%), (DUK, 1,704, 0.57%, 0.00%), (GS, 281, 0.57%, 0.00%), (ETN, 537, 0.56%, 0.00%), (WFC, 2,454, 0.56%, 0.00%), (INTU, 258, 0.55%, 0.00%), (MET, 2,445, 0.54%, 0.00%), (NOW, 189, 0.51%, 0.00%), (DE, 345, 0.50%, 0.00%), (TXN, 774, 0.49%, 0.00%), (PEP, 1,217, 0.47%, 0.00%), (ACN, 575, 0.46%, 0.00%), (T, 5,855, 0.45%, 0.00%), (MS, 1,109, 0.45%, 0.00%), (MRK, 1,899, 0.45%, 0.00%), (AXP, 498, 0.44%, 0.00%), (SPGI, 284, 0.43%, 0.00%), (ADBE, 405, 0.42%, 0.00%), (QCOM, 943, 0.42%, 0.00%), (UNP, 629, 0.42%, 0.00%), (VZ, 3,435, 0.41%, 0.00%), (DIS, 1,170, 0.40%, 0.00%), (AMAT, 700, 0.40%, 0.00%), (COP, 1,478, 0.39%, 0.00%), (MDT, 1,533, 0.39%, 0.00%), (BLK, 130, 0.39%, 0.00%), (LMT, 286, 0.39%, 0.00%), (SBUX, 1,421, 0.38%, 0.00%), (C, 1,394, 0.36%, 0.00%), (SCHW, 1,336, 0.35%, 0.00%), (TMO, 287, 0.35%, 0.00%), (AMGN, 404, 0.34%, 0.00%), (MMM, 739, 0.33%, 0.00%), (EMR, 774, 0.31%, 0.00%), (PFE, 4,254, 0.30%, 0.00%), (GILD, 936, 0.29%, 0.00%), (CVS, 1,504, 0.28%, 0.00%), (TJX, 772, 0.27%, 0.00%), (DHR, 483, 0.27%, 0.00%), (ELV, 277, 0.27%, 0.00%), (MO, 1,503, 0.25%, 0.00%), (CMCSA, 2,466, 0.25%, 0.00%), (INTC, 3,661, 0.24%, 0.00%), (LOW, 388, 0.24%, 0.00%), (MDLZ, 1,186, 0.23%, 0.00%), (UPS, 759, 0.22%, 0.00%), (BMY, 1,523, 0.20%, 0.00%), (PYPL, 896, 0.19%, 0.00%), (CL, 660, 0.17%, 0.00%), (FDX, 233, 0.15%, 0.00%), (USB, 1,150, 0.15%, 0.00%), (TGT, 319, 0.09%, 0.00%), (SC31761B, nan, nan%, 0.00%), (SC31763B, nan, nan%, 0.00%), (SP31762B, nan, nan%, 0.00%), (SP31765B, nan, nan%, 0.00%), (SP31764B, nan, nan%, 0.00%), (XP31765B, nan, nan%, 0.00%)</t>
  </si>
  <si>
    <t>(AVGO, 2,609, 3.06%, 0.00%), (META, 927, 2.77%, 0.00%), (BRK/B, 1,078, 2.13%, 0.00%), (GOOGL, 2,484, 1.89%, 0.00%), (CSCO, 6,548, 1.85%, 0.00%), (LIN, 926, 1.79%, 0.00%), (AMT, 1,879, 1.73%, 0.00%), (JPM, 1,366, 1.64%, 0.00%), (TSLA, 1,240, 1.62%, 0.00%), (XOM, 3,305, 1.57%, 0.00%), (GOOG, 2,024, 1.56%, 0.00%), (V, 1,017, 1.48%, 0.00%), (LLY, 389, 1.26%, 0.00%), (CB, 1,037, 1.20%, 0.00%), (MA, 482, 1.11%, 0.00%), (WM, 1,162, 1.10%, 0.00%), (GE, 967, 1.06%, 0.00%), (NFLX, 182, 0.97%, 0.00%), (ORCL, 973, 0.95%, 0.00%), (NEE, 2,985, 0.93%, 0.00%), (UNH, 724, 0.89%, 0.00%), (COST, 202, 0.82%, 0.00%), (PG, 1,252, 0.80%, 0.00%), (CVX, 1,257, 0.80%, 0.00%), (WMT, 1,980, 0.79%, 0.00%), (JNJ, 1,189, 0.78%, 0.00%), (PLTR, 1,241, 0.77%, 0.00%), (ABT, 1,364, 0.75%, 0.00%), (MCD, 591, 0.74%, 0.00%), (RTX, 1,189, 0.74%, 0.00%), (CAT, 431, 0.73%, 0.00%), (PM, 908, 0.69%, 0.00%), (ABBV, 873, 0.68%, 0.00%), (HD, 447, 0.67%, 0.00%), (IBM, 560, 0.67%, 0.00%), (KO, 2,263, 0.66%, 0.00%), (BKNG, 27, 0.65%, 0.00%), (BA, 668, 0.64%, 0.00%), (BAC, 3,238, 0.63%, 0.00%), (CRM, 579, 0.63%, 0.00%), (SO, 1,590, 0.62%, 0.00%), (ISRG, 280, 0.60%, 0.00%), (AMD, 907, 0.59%, 0.00%), (NKE, 1,933, 0.58%, 0.00%), (HON, 581, 0.57%, 0.00%), (UBER, 1,439, 0.56%, 0.00%), (DUK, 1,121, 0.55%, 0.00%), (GS, 185, 0.54%, 0.00%), (WFC, 1,615, 0.54%, 0.00%), (ETN, 353, 0.54%, 0.00%), (INTU, 170, 0.53%, 0.00%), (MET, 1,609, 0.52%, 0.00%), (NOW, 125, 0.50%, 0.00%), (DE, 227, 0.48%, 0.00%), (TXN, 510, 0.47%, 0.00%), (PEP, 801, 0.45%, 0.00%), (ACN, 378, 0.44%, 0.00%), (T, 3,853, 0.44%, 0.00%), (MS, 730, 0.43%, 0.00%), (MRK, 1,250, 0.43%, 0.00%), (AXP, 327, 0.43%, 0.00%), (SPGI, 187, 0.41%, 0.00%), (ADBE, 266, 0.41%, 0.00%), (QCOM, 621, 0.40%, 0.00%), (UNP, 414, 0.40%, 0.00%), (VZ, 2,261, 0.39%, 0.00%), (DIS, 770, 0.39%, 0.00%), (AMAT, 461, 0.39%, 0.00%), (COP, 973, 0.38%, 0.00%), (BLK, 86, 0.38%, 0.00%), (MDT, 1,009, 0.38%, 0.00%), (LMT, 189, 0.37%, 0.00%), (SBUX, 935, 0.36%, 0.00%), (C, 917, 0.35%, 0.00%), (SCHW, 880, 0.34%, 0.00%), (TMO, 189, 0.33%, 0.00%), (AMGN, 266, 0.33%, 0.00%), (MMM, 487, 0.32%, 0.00%), (EMR, 510, 0.30%, 0.00%), (PFE, 2,800, 0.29%, 0.00%), (GILD, 616, 0.28%, 0.00%), (CVS, 990, 0.27%, 0.00%), (TJX, 508, 0.26%, 0.00%), (DHR, 318, 0.26%, 0.00%), (ELV, 182, 0.25%, 0.00%), (MO, 989, 0.24%, 0.00%), (CMCSA, 1,623, 0.24%, 0.00%), (INTC, 2,410, 0.23%, 0.00%), (LOW, 256, 0.23%, 0.00%), (MDLZ, 780, 0.22%, 0.00%), (UPS, 500, 0.21%, 0.00%), (BMY, 1,002, 0.20%, 0.00%), (PYPL, 590, 0.18%, 0.00%), (CL, 434, 0.16%, 0.00%), (FDX, 154, 0.15%, 0.00%), (USB, 757, 0.15%, 0.00%), (TGT, 210, 0.09%, 0.00%), (SC9061B, nan, nan%, 0.00%), (SC9063B, nan, nan%, 0.00%), (SP9062B, nan, nan%, 0.00%), (SP9065B, nan, nan%, 0.00%), (SP9064B, nan, nan%, 0.00%), (XP9065B, nan, nan%, 0.00%)</t>
  </si>
  <si>
    <t>(AVGO, 1,650, 2.99%, 0.00%), (META, 586, 2.70%, 0.00%), (BRK/B, 682, 2.08%, 0.00%), (GOOGL, 1,571, 1.85%, 0.00%), (CSCO, 4,142, 1.80%, 0.00%), (LIN, 586, 1.75%, 0.00%), (AMT, 1,189, 1.69%, 0.00%), (JPM, 864, 1.60%, 0.00%), (TSLA, 785, 1.58%, 0.00%), (XOM, 2,091, 1.53%, 0.00%), (GOOG, 1,280, 1.52%, 0.00%), (V, 643, 1.44%, 0.00%), (LLY, 246, 1.23%, 0.00%), (CB, 656, 1.17%, 0.00%), (MA, 305, 1.09%, 0.00%), (WM, 735, 1.08%, 0.00%), (GE, 612, 1.04%, 0.00%), (NFLX, 115, 0.94%, 0.00%), (ORCL, 615, 0.93%, 0.00%), (NEE, 1,888, 0.91%, 0.00%), (UNH, 458, 0.87%, 0.00%), (COST, 128, 0.80%, 0.00%), (PG, 792, 0.78%, 0.00%), (CVX, 795, 0.78%, 0.00%), (WMT, 1,252, 0.77%, 0.00%), (JNJ, 752, 0.76%, 0.00%), (PLTR, 785, 0.75%, 0.00%), (ABT, 863, 0.73%, 0.00%), (MCD, 374, 0.73%, 0.00%), (RTX, 752, 0.72%, 0.00%), (CAT, 273, 0.72%, 0.00%), (PM, 574, 0.67%, 0.00%), (ABBV, 552, 0.67%, 0.00%), (HD, 283, 0.66%, 0.00%), (IBM, 354, 0.65%, 0.00%), (KO, 1,431, 0.64%, 0.00%), (BA, 423, 0.63%, 0.00%), (BKNG, 17, 0.63%, 0.00%), (BAC, 2,048, 0.61%, 0.00%), (CRM, 366, 0.61%, 0.00%), (SO, 1,006, 0.60%, 0.00%), (ISRG, 177, 0.59%, 0.00%), (AMD, 573, 0.57%, 0.00%), (NKE, 1,223, 0.57%, 0.00%), (HON, 368, 0.56%, 0.00%), (UBER, 910, 0.54%, 0.00%), (DUK, 709, 0.54%, 0.00%), (GS, 117, 0.53%, 0.00%), (WFC, 1,021, 0.52%, 0.00%), (ETN, 223, 0.52%, 0.00%), (INTU, 107, 0.52%, 0.00%), (MET, 1,018, 0.50%, 0.00%), (NOW, 79, 0.49%, 0.00%), (DE, 144, 0.47%, 0.00%), (TXN, 322, 0.46%, 0.00%), (PEP, 506, 0.44%, 0.00%), (ACN, 239, 0.43%, 0.00%), (T, 2,437, 0.43%, 0.00%), (MS, 462, 0.42%, 0.00%), (MRK, 790, 0.42%, 0.00%), (AXP, 207, 0.42%, 0.00%), (SPGI, 118, 0.40%, 0.00%), (ADBE, 169, 0.40%, 0.00%), (QCOM, 393, 0.39%, 0.00%), (UNP, 262, 0.39%, 0.00%), (VZ, 1,430, 0.38%, 0.00%), (DIS, 487, 0.38%, 0.00%), (AMAT, 291, 0.37%, 0.00%), (COP, 615, 0.37%, 0.00%), (MDT, 638, 0.37%, 0.00%), (BLK, 54, 0.37%, 0.00%), (LMT, 119, 0.36%, 0.00%), (SBUX, 592, 0.36%, 0.00%), (C, 580, 0.34%, 0.00%), (SCHW, 556, 0.33%, 0.00%), (TMO, 120, 0.33%, 0.00%), (AMGN, 168, 0.32%, 0.00%), (MMM, 308, 0.31%, 0.00%), (EMR, 322, 0.29%, 0.00%), (PFE, 1,771, 0.28%, 0.00%), (GILD, 389, 0.27%, 0.00%), (CVS, 626, 0.26%, 0.00%), (TJX, 321, 0.25%, 0.00%), (DHR, 201, 0.25%, 0.00%), (ELV, 115, 0.25%, 0.00%), (MO, 626, 0.24%, 0.00%), (CMCSA, 1,027, 0.23%, 0.00%), (INTC, 1,524, 0.23%, 0.00%), (LOW, 162, 0.23%, 0.00%), (MDLZ, 494, 0.21%, 0.00%), (UPS, 316, 0.20%, 0.00%), (BMY, 634, 0.19%, 0.00%), (PYPL, 373, 0.17%, 0.00%), (CL, 275, 0.16%, 0.00%), (FDX, 97, 0.15%, 0.00%), (USB, 479, 0.14%, 0.00%), (TGT, 133, 0.09%, 0.00%), (SC8071B, nan, nan%, 0.00%), (SC8073B, nan, nan%, 0.00%), (SP8072B, nan, nan%, 0.00%), (SP8075B, nan, nan%, 0.00%), (SP8074B, nan, nan%, 0.00%), (XP8075B, nan, nan%, 0.00%)</t>
  </si>
  <si>
    <t>(AVGO, 14,946, 3.05%, 0.00%), (META, 5,309, 2.75%, 0.00%), (BRK/B, 6,177, 2.12%, 0.00%), (GOOGL, 14,230, 1.89%, 0.00%), (CSCO, 37,504, 1.84%, 0.00%), (LIN, 5,306, 1.79%, 0.00%), (AMT, 10,765, 1.72%, 0.00%), (JPM, 7,821, 1.63%, 0.00%), (TSLA, 7,104, 1.61%, 0.00%), (XOM, 18,932, 1.56%, 0.00%), (GOOG, 11,591, 1.55%, 0.00%), (V, 5,823, 1.47%, 0.00%), (LLY, 2,230, 1.26%, 0.00%), (CB, 5,941, 1.20%, 0.00%), (MA, 2,762, 1.11%, 0.00%), (WM, 6,655, 1.10%, 0.00%), (GE, 5,539, 1.06%, 0.00%), (ORCL, 5,573, 0.95%, 0.00%), (NFLX, 1,041, 0.95%, 0.00%), (NEE, 17,095, 0.93%, 0.00%), (UNH, 4,147, 0.88%, 0.00%), (COST, 1,158, 0.82%, 0.00%), (PG, 7,168, 0.80%, 0.00%), (CVX, 7,199, 0.79%, 0.00%), (WMT, 11,341, 0.79%, 0.00%), (JNJ, 6,813, 0.77%, 0.00%), (PLTR, 7,107, 0.76%, 0.00%), (ABT, 7,815, 0.75%, 0.00%), (MCD, 3,387, 0.74%, 0.00%), (RTX, 6,812, 0.74%, 0.00%), (CAT, 2,471, 0.73%, 0.00%), (PM, 5,198, 0.69%, 0.00%), (ABBV, 5,000, 0.68%, 0.00%), (HD, 2,563, 0.67%, 0.00%), (IBM, 3,206, 0.66%, 0.00%), (KO, 12,961, 0.66%, 0.00%), (BKNG, 156, 0.65%, 0.00%), (BA, 3,826, 0.64%, 0.00%), (BAC, 18,545, 0.62%, 0.00%), (CRM, 3,315, 0.62%, 0.00%), (SO, 9,108, 0.61%, 0.00%), (ISRG, 1,605, 0.60%, 0.00%), (NKE, 11,073, 0.58%, 0.00%), (AMD, 5,193, 0.58%, 0.00%), (HON, 3,328, 0.57%, 0.00%), (UBER, 8,241, 0.56%, 0.00%), (DUK, 6,422, 0.55%, 0.00%), (GS, 1,058, 0.54%, 0.00%), (WFC, 9,250, 0.53%, 0.00%), (ETN, 2,023, 0.53%, 0.00%), (INTU, 972, 0.53%, 0.00%), (MET, 9,217, 0.51%, 0.00%), (NOW, 714, 0.50%, 0.00%), (DE, 1,302, 0.48%, 0.00%), (TXN, 2,919, 0.47%, 0.00%), (PEP, 4,587, 0.45%, 0.00%), (ACN, 2,167, 0.44%, 0.00%), (T, 22,071, 0.44%, 0.00%), (MS, 4,180, 0.43%, 0.00%), (MRK, 7,158, 0.43%, 0.00%), (AXP, 1,875, 0.42%, 0.00%), (SPGI, 1,070, 0.41%, 0.00%), (ADBE, 1,526, 0.40%, 0.00%), (UNP, 2,373, 0.40%, 0.00%), (QCOM, 3,555, 0.40%, 0.00%), (VZ, 12,949, 0.39%, 0.00%), (DIS, 4,410, 0.38%, 0.00%), (AMAT, 2,638, 0.38%, 0.00%), (COP, 5,572, 0.38%, 0.00%), (MDT, 5,779, 0.38%, 0.00%), (BLK, 491, 0.38%, 0.00%), (LMT, 1,080, 0.37%, 0.00%), (SBUX, 5,358, 0.36%, 0.00%), (C, 5,254, 0.34%, 0.00%), (SCHW, 5,038, 0.34%, 0.00%), (TMO, 1,082, 0.33%, 0.00%), (AMGN, 1,521, 0.32%, 0.00%), (MMM, 2,787, 0.32%, 0.00%), (EMR, 2,918, 0.30%, 0.00%), (PFE, 16,036, 0.29%, 0.00%), (GILD, 3,526, 0.28%, 0.00%), (CVS, 5,670, 0.26%, 0.00%), (TJX, 2,910, 0.26%, 0.00%), (DHR, 1,819, 0.26%, 0.00%), (ELV, 1,045, 0.25%, 0.00%), (MO, 5,666, 0.24%, 0.00%), (CMCSA, 9,296, 0.24%, 0.00%), (INTC, 13,802, 0.23%, 0.00%), (LOW, 1,464, 0.23%, 0.00%), (MDLZ, 4,470, 0.22%, 0.00%), (UPS, 2,862, 0.21%, 0.00%), (BMY, 5,739, 0.19%, 0.00%), (PYPL, 3,378, 0.18%, 0.00%), (CL, 2,487, 0.16%, 0.00%), (FDX, 880, 0.15%, 0.00%), (USB, 4,334, 0.14%, 0.00%), (TGT, 1,204, 0.09%, 0.00%), (SC23471B, nan, nan%, 0.00%), (SC23473B, nan, nan%, 0.00%), (SP23472B, nan, nan%, 0.00%), (SP23475B, nan, nan%, 0.00%), (SP23474B, nan, nan%, 0.00%), (XP23475B, nan, nan%, 0.00%)</t>
  </si>
  <si>
    <t>(AVGO, 11,131, 3.03%, 0.00%), (META, 3,954, 2.74%, 0.00%), (BRK/B, 4,600, 2.11%, 0.00%), (GOOGL, 10,598, 1.88%, 0.00%), (CSCO, 27,931, 1.83%, 0.00%), (LIN, 3,952, 1.78%, 0.00%), (AMT, 8,017, 1.71%, 0.00%), (JPM, 5,825, 1.63%, 0.00%), (TSLA, 5,291, 1.60%, 0.00%), (XOM, 14,100, 1.55%, 0.00%), (GOOG, 8,632, 1.54%, 0.00%), (V, 4,337, 1.47%, 0.00%), (LLY, 1,660, 1.25%, 0.00%), (CB, 4,424, 1.19%, 0.00%), (MA, 2,057, 1.10%, 0.00%), (WM, 4,956, 1.09%, 0.00%), (GE, 4,125, 1.05%, 0.00%), (ORCL, 4,150, 0.95%, 0.00%), (NFLX, 775, 0.94%, 0.00%), (NEE, 12,731, 0.92%, 0.00%), (UNH, 3,088, 0.88%, 0.00%), (COST, 862, 0.81%, 0.00%), (PG, 5,338, 0.80%, 0.00%), (CVX, 5,362, 0.79%, 0.00%), (WMT, 8,446, 0.78%, 0.00%), (JNJ, 5,074, 0.77%, 0.00%), (PLTR, 5,293, 0.76%, 0.00%), (ABT, 5,820, 0.74%, 0.00%), (MCD, 2,523, 0.74%, 0.00%), (RTX, 5,074, 0.73%, 0.00%), (CAT, 1,840, 0.73%, 0.00%), (PM, 3,871, 0.68%, 0.00%), (ABBV, 3,724, 0.68%, 0.00%), (HD, 1,909, 0.67%, 0.00%), (IBM, 2,388, 0.66%, 0.00%), (KO, 9,653, 0.65%, 0.00%), (BKNG, 117, 0.65%, 0.00%), (BA, 2,850, 0.64%, 0.00%), (BAC, 13,811, 0.62%, 0.00%), (CRM, 2,469, 0.62%, 0.00%), (SO, 6,783, 0.61%, 0.00%), (ISRG, 1,195, 0.60%, 0.00%), (NKE, 8,246, 0.58%, 0.00%), (AMD, 3,867, 0.58%, 0.00%), (HON, 2,479, 0.57%, 0.00%), (UBER, 6,137, 0.55%, 0.00%), (DUK, 4,782, 0.55%, 0.00%), (GS, 788, 0.54%, 0.00%), (ETN, 1,506, 0.53%, 0.00%), (WFC, 6,889, 0.53%, 0.00%), (INTU, 724, 0.53%, 0.00%), (MET, 6,865, 0.51%, 0.00%), (NOW, 532, 0.49%, 0.00%), (DE, 970, 0.48%, 0.00%), (TXN, 2,174, 0.46%, 0.00%), (PEP, 3,416, 0.44%, 0.00%), (ACN, 1,613, 0.43%, 0.00%), (T, 16,437, 0.43%, 0.00%), (MS, 3,113, 0.43%, 0.00%), (MRK, 5,331, 0.42%, 0.00%), (AXP, 1,397, 0.42%, 0.00%), (SPGI, 797, 0.41%, 0.00%), (ADBE, 1,137, 0.40%, 0.00%), (UNP, 1,767, 0.40%, 0.00%), (QCOM, 2,648, 0.40%, 0.00%), (VZ, 9,643, 0.39%, 0.00%), (DIS, 3,285, 0.38%, 0.00%), (AMAT, 1,965, 0.38%, 0.00%), (COP, 4,150, 0.37%, 0.00%), (MDT, 4,304, 0.37%, 0.00%), (BLK, 365, 0.37%, 0.00%), (LMT, 804, 0.37%, 0.00%), (SBUX, 3,990, 0.36%, 0.00%), (C, 3,913, 0.34%, 0.00%), (SCHW, 3,752, 0.33%, 0.00%), (TMO, 806, 0.33%, 0.00%), (AMGN, 1,133, 0.32%, 0.00%), (MMM, 2,076, 0.31%, 0.00%), (EMR, 2,173, 0.30%, 0.00%), (PFE, 11,942, 0.29%, 0.00%), (GILD, 2,626, 0.28%, 0.00%), (CVS, 4,223, 0.26%, 0.00%), (TJX, 2,167, 0.26%, 0.00%), (DHR, 1,355, 0.26%, 0.00%), (ELV, 778, 0.25%, 0.00%), (MO, 4,220, 0.24%, 0.00%), (CMCSA, 6,923, 0.23%, 0.00%), (INTC, 10,279, 0.23%, 0.00%), (LOW, 1,090, 0.23%, 0.00%), (MDLZ, 3,329, 0.22%, 0.00%), (UPS, 2,132, 0.21%, 0.00%), (BMY, 4,274, 0.19%, 0.00%), (PYPL, 2,516, 0.18%, 0.00%), (CL, 1,852, 0.16%, 0.00%), (FDX, 655, 0.15%, 0.00%), (USB, 3,228, 0.14%, 0.00%), (TGT, 896, 0.09%, 0.00%), (SC22171B, nan, nan%, 0.00%), (SC22173B, nan, nan%, 0.00%), (SP22172B, nan, nan%, 0.00%), (SP22175B, nan, nan%, 0.00%), (SP22174B, nan, nan%, 0.00%), (XP22175B, nan, nan%, 0.00%)</t>
  </si>
  <si>
    <t>(META, 1,488, 2.61%, 0.00%), (BRK/B, 1,731, 2.01%, 0.00%), (GOOGL, 3,987, 1.79%, 0.00%), (CSCO, 10,509, 1.75%, 0.00%), (LIN, 1,487, 1.69%, 0.00%), (AMT, 3,016, 1.63%, 0.00%), (JPM, 2,192, 1.55%, 0.00%), (TSLA, 1,991, 1.53%, 0.00%), (XOM, 5,305, 1.48%, 0.00%), (GOOG, 3,248, 1.47%, 0.00%), (V, 1,632, 1.40%, 0.00%), (LLY, 625, 1.19%, 0.00%), (CB, 1,665, 1.14%, 0.00%), (MA, 774, 1.05%, 0.00%), (WM, 1,865, 1.04%, 0.00%), (GE, 1,552, 1.01%, 0.00%), (ORCL, 1,561, 0.90%, 0.00%), (NFLX, 292, 0.90%, 0.00%), (NEE, 4,790, 0.88%, 0.00%), (UNH, 1,162, 0.84%, 0.00%), (COST, 324, 0.77%, 0.00%), (PG, 2,009, 0.76%, 0.00%), (CVX, 2,017, 0.75%, 0.00%), (WMT, 3,178, 0.75%, 0.00%), (JNJ, 1,909, 0.73%, 0.00%), (PLTR, 1,991, 0.72%, 0.00%), (ABT, 2,190, 0.71%, 0.00%), (MCD, 949, 0.70%, 0.00%), (RTX, 1,909, 0.70%, 0.00%), (CAT, 692, 0.69%, 0.00%), (PM, 1,456, 0.65%, 0.00%), (ABBV, 1,401, 0.65%, 0.00%), (HD, 718, 0.64%, 0.00%), (IBM, 898, 0.63%, 0.00%), (KO, 3,632, 0.62%, 0.00%), (BKNG, 44, 0.62%, 0.00%), (BA, 1,072, 0.61%, 0.00%), (BAC, 5,196, 0.59%, 0.00%), (CRM, 929, 0.59%, 0.00%), (SO, 2,552, 0.58%, 0.00%), (ISRG, 450, 0.57%, 0.00%), (AMD, 1,455, 0.55%, 0.00%), (NKE, 3,103, 0.55%, 0.00%), (HON, 933, 0.54%, 0.00%), (UBER, 2,309, 0.53%, 0.00%), (DUK, 1,799, 0.52%, 0.00%), (GS, 296, 0.51%, 0.00%), (ETN, 567, 0.51%, 0.00%), (WFC, 2,592, 0.51%, 0.00%), (INTU, 272, 0.50%, 0.00%), (MET, 2,583, 0.49%, 0.00%), (NOW, 200, 0.47%, 0.00%), (DE, 365, 0.45%, 0.00%), (TXN, 818, 0.44%, 0.00%), (PEP, 1,285, 0.42%, 0.00%), (ACN, 607, 0.41%, 0.00%), (T, 6,184, 0.41%, 0.00%), (MS, 1,171, 0.41%, 0.00%), (MRK, 2,006, 0.40%, 0.00%), (AXP, 525, 0.40%, 0.00%), (SPGI, 300, 0.39%, 0.00%), (ADBE, 428, 0.38%, 0.00%), (UNP, 665, 0.38%, 0.00%), (QCOM, 996, 0.38%, 0.00%), (VZ, 3,628, 0.37%, 0.00%), (DIS, 1,236, 0.36%, 0.00%), (AMAT, 739, 0.36%, 0.00%), (COP, 1,561, 0.36%, 0.00%), (MDT, 1,619, 0.36%, 0.00%), (BLK, 137, 0.35%, 0.00%), (LMT, 303, 0.35%, 0.00%), (SBUX, 1,501, 0.34%, 0.00%), (C, 1,472, 0.33%, 0.00%), (SCHW, 1,412, 0.32%, 0.00%), (TMO, 303, 0.31%, 0.00%), (AMGN, 426, 0.31%, 0.00%), (MMM, 781, 0.30%, 0.00%), (EMR, 818, 0.28%, 0.00%), (PFE, 4,493, 0.27%, 0.00%), (GILD, 988, 0.27%, 0.00%), (CVS, 1,589, 0.25%, 0.00%), (TJX, 815, 0.25%, 0.00%), (DHR, 510, 0.24%, 0.00%), (ELV, 293, 0.24%, 0.00%), (MO, 1,588, 0.23%, 0.00%), (CMCSA, 2,605, 0.22%, 0.00%), (INTC, 3,867, 0.22%, 0.00%), (LOW, 410, 0.22%, 0.00%), (MDLZ, 1,253, 0.21%, 0.00%), (UPS, 802, 0.20%, 0.00%), (BMY, 1,608, 0.18%, 0.00%), (PYPL, 947, 0.17%, 0.00%), (CL, 697, 0.15%, 0.00%), (FDX, 246, 0.14%, 0.00%), (USB, 1,214, 0.14%, 0.00%), (TGT, 337, 0.09%, 0.00%), (SC28181B, nan, nan%, 0.00%), (SC28183B, nan, nan%, 0.00%), (SP28182B, nan, nan%, 0.00%), (SP28185B, nan, nan%, 0.00%), (SP28184B, nan, nan%, 0.00%), (XP28185B, nan, nan%, 0.00%)</t>
  </si>
  <si>
    <t>(META, 1,827, 2.65%, 0.00%), (BRK/B, 2,126, 2.04%, 0.00%), (GOOGL, 4,897, 1.81%, 0.00%), (CSCO, 12,907, 1.77%, 0.00%), (LIN, 1,826, 1.72%, 0.00%), (AMT, 3,705, 1.65%, 0.00%), (JPM, 2,692, 1.57%, 0.00%), (TSLA, 2,445, 1.55%, 0.00%), (XOM, 6,515, 1.50%, 0.00%), (GOOG, 3,989, 1.49%, 0.00%), (V, 2,004, 1.42%, 0.00%), (LLY, 767, 1.21%, 0.00%), (CB, 2,045, 1.15%, 0.00%), (MA, 951, 1.07%, 0.00%), (WM, 2,290, 1.06%, 0.00%), (GE, 1,906, 1.02%, 0.00%), (ORCL, 1,918, 0.92%, 0.00%), (NFLX, 358, 0.91%, 0.00%), (NEE, 5,883, 0.89%, 0.00%), (UNH, 1,427, 0.85%, 0.00%), (COST, 398, 0.79%, 0.00%), (PG, 2,467, 0.77%, 0.00%), (CVX, 2,478, 0.76%, 0.00%), (WMT, 3,903, 0.76%, 0.00%), (JNJ, 2,345, 0.74%, 0.00%), (PLTR, 2,446, 0.73%, 0.00%), (ABT, 2,690, 0.72%, 0.00%), (MCD, 1,166, 0.71%, 0.00%), (RTX, 2,344, 0.71%, 0.00%), (CAT, 850, 0.70%, 0.00%), (PM, 1,789, 0.66%, 0.00%), (ABBV, 1,721, 0.65%, 0.00%), (HD, 882, 0.65%, 0.00%), (IBM, 1,103, 0.64%, 0.00%), (KO, 4,460, 0.63%, 0.00%), (BKNG, 54, 0.63%, 0.00%), (BA, 1,317, 0.62%, 0.00%), (BAC, 6,382, 0.60%, 0.00%), (CRM, 1,141, 0.60%, 0.00%), (SO, 3,135, 0.59%, 0.00%), (ISRG, 552, 0.58%, 0.00%), (AMD, 1,787, 0.56%, 0.00%), (NKE, 3,811, 0.56%, 0.00%), (HON, 1,145, 0.55%, 0.00%), (UBER, 2,836, 0.53%, 0.00%), (DUK, 2,210, 0.53%, 0.00%), (GS, 364, 0.52%, 0.00%), (WFC, 3,183, 0.51%, 0.00%), (ETN, 696, 0.51%, 0.00%), (INTU, 334, 0.51%, 0.00%), (MET, 3,172, 0.49%, 0.00%), (NOW, 246, 0.48%, 0.00%), (DE, 448, 0.46%, 0.00%), (TXN, 1,005, 0.45%, 0.00%), (PEP, 1,578, 0.43%, 0.00%), (ACN, 746, 0.42%, 0.00%), (T, 7,595, 0.42%, 0.00%), (MS, 1,439, 0.41%, 0.00%), (MRK, 2,463, 0.41%, 0.00%), (AXP, 645, 0.41%, 0.00%), (SPGI, 368, 0.39%, 0.00%), (ADBE, 525, 0.39%, 0.00%), (UNP, 817, 0.39%, 0.00%), (QCOM, 1,223, 0.38%, 0.00%), (VZ, 4,456, 0.38%, 0.00%), (DIS, 1,518, 0.37%, 0.00%), (AMAT, 908, 0.37%, 0.00%), (COP, 1,918, 0.36%, 0.00%), (MDT, 1,989, 0.36%, 0.00%), (BLK, 169, 0.36%, 0.00%), (LMT, 372, 0.36%, 0.00%), (SBUX, 1,844, 0.35%, 0.00%), (C, 1,808, 0.33%, 0.00%), (SCHW, 1,734, 0.32%, 0.00%), (TMO, 372, 0.32%, 0.00%), (AMGN, 523, 0.31%, 0.00%), (MMM, 959, 0.30%, 0.00%), (EMR, 1,004, 0.29%, 0.00%), (PFE, 5,518, 0.28%, 0.00%), (GILD, 1,214, 0.27%, 0.00%), (CVS, 1,951, 0.25%, 0.00%), (TJX, 1,002, 0.25%, 0.00%), (DHR, 626, 0.25%, 0.00%), (ELV, 360, 0.25%, 0.00%), (MO, 1,950, 0.23%, 0.00%), (CMCSA, 3,199, 0.23%, 0.00%), (INTC, 4,750, 0.22%, 0.00%), (LOW, 504, 0.22%, 0.00%), (MDLZ, 1,538, 0.21%, 0.00%), (UPS, 985, 0.20%, 0.00%), (BMY, 1,975, 0.19%, 0.00%), (PYPL, 1,163, 0.17%, 0.00%), (CL, 856, 0.15%, 0.00%), (FDX, 303, 0.14%, 0.00%), (USB, 1,491, 0.14%, 0.00%), (TGT, 414, 0.09%, 0.00%), (SC13481B, nan, nan%, 0.00%), (SC13483B, nan, nan%, 0.00%), (SP13482B, nan, nan%, 0.00%), (SP13485B, nan, nan%, 0.00%), (SP13484B, nan, nan%, 0.00%), (XP13485B, nan, nan%, 0.00%)</t>
  </si>
  <si>
    <t>(AVGO, 8,564, 3.04%, 0.00%), (META, 3,042, 2.74%, 0.00%), (BRK/B, 3,539, 2.11%, 0.00%), (GOOGL, 8,154, 1.88%, 0.00%), (CSCO, 21,489, 1.83%, 0.00%), (LIN, 3,040, 1.78%, 0.00%), (AMT, 6,168, 1.71%, 0.00%), (JPM, 4,481, 1.63%, 0.00%), (TSLA, 4,071, 1.60%, 0.00%), (XOM, 10,848, 1.56%, 0.00%), (GOOG, 6,641, 1.54%, 0.00%), (V, 3,337, 1.47%, 0.00%), (LLY, 1,277, 1.25%, 0.00%), (CB, 3,404, 1.19%, 0.00%), (MA, 1,583, 1.10%, 0.00%), (WM, 3,813, 1.09%, 0.00%), (GE, 3,174, 1.06%, 0.00%), (NFLX, 596, 0.95%, 0.00%), (ORCL, 3,193, 0.95%, 0.00%), (NEE, 9,795, 0.93%, 0.00%), (UNH, 2,376, 0.88%, 0.00%), (COST, 663, 0.81%, 0.00%), (PG, 4,107, 0.80%, 0.00%), (CVX, 4,125, 0.79%, 0.00%), (WMT, 6,498, 0.79%, 0.00%), (JNJ, 3,904, 0.77%, 0.00%), (PLTR, 4,072, 0.76%, 0.00%), (ABT, 4,478, 0.75%, 0.00%), (MCD, 1,941, 0.74%, 0.00%), (RTX, 3,903, 0.73%, 0.00%), (CAT, 1,416, 0.73%, 0.00%), (PM, 2,978, 0.68%, 0.00%), (ABBV, 2,865, 0.68%, 0.00%), (HD, 1,468, 0.67%, 0.00%), (IBM, 1,837, 0.66%, 0.00%), (KO, 7,427, 0.65%, 0.00%), (BKNG, 90, 0.65%, 0.00%), (BA, 2,192, 0.64%, 0.00%), (BAC, 10,626, 0.62%, 0.00%), (CRM, 1,899, 0.62%, 0.00%), (SO, 5,219, 0.61%, 0.00%), (ISRG, 920, 0.60%, 0.00%), (NKE, 6,345, 0.58%, 0.00%), (AMD, 2,975, 0.58%, 0.00%), (HON, 1,907, 0.57%, 0.00%), (UBER, 4,722, 0.55%, 0.00%), (DUK, 3,679, 0.55%, 0.00%), (GS, 606, 0.54%, 0.00%), (ETN, 1,159, 0.53%, 0.00%), (WFC, 5,300, 0.53%, 0.00%), (INTU, 557, 0.53%, 0.00%), (MET, 5,281, 0.51%, 0.00%), (NOW, 409, 0.49%, 0.00%), (DE, 746, 0.48%, 0.00%), (TXN, 1,673, 0.46%, 0.00%), (PEP, 2,628, 0.45%, 0.00%), (ACN, 1,241, 0.44%, 0.00%), (T, 12,646, 0.43%, 0.00%), (MS, 2,395, 0.43%, 0.00%), (MRK, 4,101, 0.42%, 0.00%), (AXP, 1,075, 0.42%, 0.00%), (SPGI, 613, 0.41%, 0.00%), (ADBE, 875, 0.40%, 0.00%), (UNP, 1,360, 0.40%, 0.00%), (QCOM, 2,037, 0.40%, 0.00%), (VZ, 7,419, 0.39%, 0.00%), (DIS, 2,527, 0.38%, 0.00%), (AMAT, 1,512, 0.38%, 0.00%), (COP, 3,193, 0.38%, 0.00%), (MDT, 3,311, 0.38%, 0.00%), (BLK, 281, 0.37%, 0.00%), (LMT, 619, 0.37%, 0.00%), (SBUX, 3,070, 0.36%, 0.00%), (C, 3,011, 0.34%, 0.00%), (SCHW, 2,886, 0.33%, 0.00%), (TMO, 620, 0.33%, 0.00%), (AMGN, 872, 0.32%, 0.00%), (MMM, 1,597, 0.32%, 0.00%), (EMR, 1,672, 0.30%, 0.00%), (PFE, 9,188, 0.29%, 0.00%), (GILD, 2,021, 0.28%, 0.00%), (CVS, 3,249, 0.26%, 0.00%), (TJX, 1,667, 0.26%, 0.00%), (DHR, 1,042, 0.26%, 0.00%), (ELV, 599, 0.25%, 0.00%), (MO, 3,246, 0.24%, 0.00%), (CMCSA, 5,327, 0.23%, 0.00%), (INTC, 7,908, 0.23%, 0.00%), (LOW, 839, 0.23%, 0.00%), (MDLZ, 2,561, 0.22%, 0.00%), (UPS, 1,640, 0.21%, 0.00%), (BMY, 3,288, 0.19%, 0.00%), (PYPL, 1,936, 0.18%, 0.00%), (CL, 1,425, 0.16%, 0.00%), (FDX, 504, 0.15%, 0.00%), (USB, 2,483, 0.14%, 0.00%), (TGT, 690, 0.09%, 0.00%), (SC26771B, nan, nan%, 0.00%), (SC26773B, nan, nan%, 0.00%), (SP26772B, nan, nan%, 0.00%), (SP26775B, nan, nan%, 0.00%), (SP26774B, nan, nan%, 0.00%), (XP26775B, nan, nan%, 0.00%)</t>
  </si>
  <si>
    <t>MSFT, EBAY, BK, META, BKNG, AMAT, JPM, EWBC, BLK, UNM, MLI, GOOGL</t>
  </si>
  <si>
    <t>(AXP, 3,354, 1.90%, 0.00%), (V, 2,973, 1.89%, 0.00%), (RJF, 6,643, 1.88%, 0.00%), (EA, 6,630, 1.80%, 0.00%), (KLAC, 1,052, 1.78%, 0.00%), (HIG, 7,961, 1.74%, 0.00%), (TRV, 3,783, 1.73%, 0.00%), (ADP, 3,176, 1.73%, 0.00%), (NVDA, 5,555, 1.73%, 0.00%), (CB, 3,354, 1.69%, 0.00%), (SNA, 2,964, 1.68%, 0.01%), (PHM, 8,436, 1.67%, 0.00%), (CTSH, 12,016, 1.63%, 0.00%), (PCAR, 9,402, 1.63%, 0.00%), (CRM, 3,406, 1.59%, 0.00%), (SYF, 12,415, 1.56%, 0.00%), (ROST, 6,624, 1.55%, 0.00%), (PAYC, 3,637, 1.47%, 0.01%), (ACN, 2,833, 1.44%, 0.00%), (ELV, 2,277, 1.42%, 0.00%), (LEN, 7,018, 1.39%, 0.00%), (QCOM, 4,796, 1.34%, 0.00%), (WSM, 4,204, 1.26%, 0.00%), (BKR, 17,683, 1.24%, 0.00%), (AFL, 6,568, 1.21%, 0.00%), (ODFL, 4,074, 1.19%, 0.00%), (AAPL, 3,096, 1.18%, 0.00%), (LRCX, 6,125, 1.12%, 0.00%), (DHI, 4,664, 1.11%, 0.00%), (CSCO, 8,896, 1.09%, 0.00%), (GE, 2,147, 1.04%, 0.00%), (MPWR, 759, 0.98%, 0.00%), (CF, 5,635, 0.95%, 0.00%), (STT, 4,930, 0.94%, 0.00%), (PNC, 2,640, 0.93%, 0.00%), (MTB, 2,624, 0.92%, 0.00%), (AMP, 960, 0.91%, 0.00%), (COST, 493, 0.85%, 0.00%), (ABT, 3,549, 0.85%, 0.00%), (XOM, 4,128, 0.84%, 0.00%), (EOG, 3,713, 0.80%, 0.00%), (CSL, 1,106, 0.79%, 0.00%), (EG, 1,249, 0.75%, 0.00%), (NTRS, 2,289, 0.52%, 0.00%), (GEV, 503, 0.51%, 0.00%), (CRBG, 7,863, 0.50%, 0.00%), (MA, 477, 0.48%, 0.00%), (JNJ, 1,532, 0.46%, 0.00%), (DOV, 1,338, 0.46%, 0.00%), (ACM, 2,165, 0.44%, 0.00%), (SLM, 7,348, 0.44%, 0.00%), (WTFC, 1,844, 0.43%, 0.00%), (MCK, 331, 0.43%, 0.00%), (CINF, 1,592, 0.43%, 0.00%), (EQH, 4,437, 0.42%, 0.00%), (MTG, 8,993, 0.41%, 0.00%), (JXN, 2,583, 0.40%, 0.00%), (ALL, 1,133, 0.40%, 0.00%), (NUE, 1,530, 0.38%, 0.00%), (LNC, 6,259, 0.38%, 0.00%), (PGR, 835, 0.37%, 0.00%), (ADM, 3,811, 0.37%, 0.00%), (NKE, 2,790, 0.37%, 0.00%), (FANG, 1,191, 0.29%, 0.00%), (SC13N61B, nan, nan%, 0.00%), (SC13N63B, nan, nan%, 0.00%), (SP13N62B, nan, nan%, 0.00%), (SP13N65B, nan, nan%, 0.00%), (SP13N64B, nan, nan%, 0.00%), (SPX Index, nan, nan%, 0.00%), (XP13N65B, nan, nan%, 0.00%)</t>
  </si>
  <si>
    <t>(AVGO, 3,981, 3.19%, 0.00%), (META, 1,414, 2.85%, 0.00%), (BRK/B, 1,645, 2.23%, 0.00%), (GOOGL, 3,790, 1.98%, 0.00%), (CSCO, 9,990, 1.93%, 0.00%), (LIN, 1,413, 1.86%, 0.00%), (AMT, 2,867, 1.83%, 0.00%), (TSLA, 1,892, 1.73%, 0.00%), (JPM, 2,083, 1.71%, 0.00%), (XOM, 5,043, 1.62%, 0.00%), (GOOG, 3,087, 1.62%, 0.00%), (V, 1,551, 1.55%, 0.00%), (LLY, 594, 1.34%, 0.00%), (CB, 1,582, 1.26%, 0.00%), (MA, 736, 1.17%, 0.00%), (WM, 1,773, 1.15%, 0.00%), (GE, 1,475, 1.11%, 0.00%), (ORCL, 1,484, 1.01%, 0.00%), (NFLX, 277, 0.98%, 0.00%), (NEE, 4,553, 0.97%, 0.00%), (UNH, 1,105, 0.93%, 0.00%), (JNJ, 1,815, 0.85%, 0.00%), (PG, 1,909, 0.84%, 0.00%), (COST, 308, 0.84%, 0.00%), (CVX, 1,918, 0.82%, 0.00%), (WMT, 3,021, 0.82%, 0.00%), (PLTR, 1,893, 0.81%, 0.00%), (ABT, 2,082, 0.78%, 0.00%), (RTX, 1,815, 0.78%, 0.00%), (CAT, 658, 0.78%, 0.00%), (MCD, 902, 0.77%, 0.00%), (ABBV, 1,332, 0.73%, 0.00%), (PM, 1,385, 0.72%, 0.00%), (HD, 683, 0.70%, 0.00%), (IBM, 854, 0.69%, 0.00%), (KO, 3,452, 0.69%, 0.00%), (BKNG, 42, 0.68%, 0.00%), (BA, 1,019, 0.67%, 0.00%), (CRM, 883, 0.65%, 0.00%), (BAC, 4,940, 0.65%, 0.00%), (SO, 2,426, 0.65%, 0.00%), (ISRG, 427, 0.63%, 0.00%), (AMD, 1,383, 0.62%, 0.00%), (NKE, 2,949, 0.61%, 0.00%), (HON, 886, 0.60%, 0.00%), (DUK, 1,710, 0.58%, 0.00%), (UBER, 2,195, 0.57%, 0.00%), (GS, 282, 0.57%, 0.00%), (WFC, 2,464, 0.57%, 0.00%), (ETN, 539, 0.56%, 0.00%), (INTU, 259, 0.56%, 0.00%), (MET, 2,455, 0.54%, 0.00%), (NOW, 190, 0.52%, 0.00%), (DE, 347, 0.51%, 0.00%), (TXN, 778, 0.48%, 0.00%), (PEP, 1,222, 0.47%, 0.00%), (ACN, 577, 0.46%, 0.00%), (T, 5,879, 0.45%, 0.00%), (MRK, 1,907, 0.45%, 0.00%), (AXP, 500, 0.45%, 0.00%), (MS, 1,113, 0.45%, 0.00%), (SPGI, 285, 0.43%, 0.00%), (ADBE, 407, 0.42%, 0.00%), (UNP, 632, 0.42%, 0.00%), (QCOM, 947, 0.42%, 0.00%), (VZ, 3,449, 0.41%, 0.00%), (BLK, 131, 0.41%, 0.00%), (DIS, 1,175, 0.40%, 0.00%), (MDT, 1,539, 0.40%, 0.00%), (AMAT, 703, 0.39%, 0.00%), (COP, 1,484, 0.39%, 0.00%), (LMT, 288, 0.39%, 0.00%), (SBUX, 1,427, 0.38%, 0.00%), (C, 1,400, 0.36%, 0.00%), (SCHW, 1,342, 0.35%, 0.00%), (AMGN, 405, 0.35%, 0.00%), (TMO, 288, 0.34%, 0.00%), (MMM, 742, 0.33%, 0.00%), (EMR, 777, 0.31%, 0.00%), (PFE, 4,271, 0.30%, 0.00%), (GILD, 939, 0.30%, 0.00%), (CVS, 1,510, 0.28%, 0.00%), (ELV, 278, 0.27%, 0.00%), (TJX, 775, 0.27%, 0.00%), (DHR, 484, 0.27%, 0.00%), (MO, 1,509, 0.25%, 0.00%), (CMCSA, 2,476, 0.24%, 0.00%), (LOW, 390, 0.24%, 0.00%), (INTC, 3,676, 0.24%, 0.00%), (MDLZ, 1,191, 0.23%, 0.00%), (UPS, 762, 0.22%, 0.00%), (BMY, 1,529, 0.21%, 0.00%), (PYPL, 900, 0.19%, 0.00%), (CL, 662, 0.17%, 0.00%), (FDX, 234, 0.15%, 0.00%), (USB, 1,154, 0.15%, 0.00%), (TGT, 321, 0.09%, 0.00%), (SC31761B, nan, nan%, 0.00%), (SC31763B, nan, nan%, 0.00%), (SP31762B, nan, nan%, 0.00%), (SP31765B, nan, nan%, 0.00%), (SP31764B, nan, nan%, 0.00%), (XP31765B, nan, nan%, 0.00%)</t>
  </si>
  <si>
    <t>(AVGO, 2,620, 3.07%, 0.00%), (META, 931, 2.75%, 0.00%), (BRK/B, 1,083, 2.14%, 0.00%), (GOOGL, 2,494, 1.91%, 0.00%), (CSCO, 6,573, 1.86%, 0.00%), (LIN, 930, 1.80%, 0.00%), (AMT, 1,887, 1.76%, 0.00%), (TSLA, 1,245, 1.67%, 0.00%), (JPM, 1,371, 1.64%, 0.00%), (XOM, 3,318, 1.56%, 0.00%), (GOOG, 2,032, 1.56%, 0.00%), (V, 1,021, 1.49%, 0.00%), (LLY, 391, 1.29%, 0.00%), (CB, 1,041, 1.21%, 0.00%), (MA, 484, 1.13%, 0.00%), (WM, 1,166, 1.11%, 0.00%), (GE, 971, 1.07%, 0.00%), (ORCL, 977, 0.98%, 0.00%), (NFLX, 182, 0.96%, 0.00%), (NEE, 2,996, 0.94%, 0.00%), (UNH, 727, 0.89%, 0.00%), (JNJ, 1,194, 0.82%, 0.00%), (PG, 1,256, 0.81%, 0.00%), (COST, 203, 0.81%, 0.00%), (CVX, 1,262, 0.79%, 0.00%), (WMT, 1,988, 0.79%, 0.00%), (PLTR, 1,246, 0.78%, 0.00%), (ABT, 1,370, 0.75%, 0.00%), (RTX, 1,194, 0.75%, 0.00%), (CAT, 433, 0.75%, 0.00%), (MCD, 594, 0.74%, 0.00%), (ABBV, 876, 0.70%, 0.00%), (PM, 911, 0.70%, 0.00%), (HD, 449, 0.67%, 0.00%), (IBM, 562, 0.66%, 0.00%), (KO, 2,272, 0.66%, 0.00%), (BA, 671, 0.65%, 0.00%), (BKNG, 27, 0.64%, 0.00%), (BAC, 3,250, 0.63%, 0.00%), (CRM, 581, 0.63%, 0.00%), (SO, 1,596, 0.62%, 0.00%), (ISRG, 281, 0.60%, 0.00%), (AMD, 910, 0.60%, 0.00%), (NKE, 1,941, 0.59%, 0.00%), (HON, 583, 0.58%, 0.00%), (DUK, 1,126, 0.56%, 0.00%), (UBER, 1,444, 0.55%, 0.00%), (GS, 185, 0.55%, 0.00%), (WFC, 1,621, 0.54%, 0.00%), (ETN, 355, 0.54%, 0.00%), (INTU, 170, 0.54%, 0.00%), (MET, 1,616, 0.52%, 0.00%), (NOW, 125, 0.51%, 0.00%), (DE, 228, 0.49%, 0.00%), (TXN, 512, 0.47%, 0.00%), (PEP, 804, 0.45%, 0.00%), (ACN, 380, 0.45%, 0.00%), (T, 3,868, 0.44%, 0.00%), (MRK, 1,255, 0.43%, 0.00%), (MS, 733, 0.43%, 0.00%), (AXP, 329, 0.43%, 0.00%), (SPGI, 188, 0.41%, 0.00%), (ADBE, 268, 0.41%, 0.00%), (UNP, 416, 0.40%, 0.00%), (QCOM, 623, 0.40%, 0.00%), (VZ, 2,270, 0.39%, 0.00%), (BLK, 86, 0.39%, 0.00%), (DIS, 773, 0.39%, 0.00%), (MDT, 1,013, 0.38%, 0.00%), (AMAT, 462, 0.38%, 0.00%), (COP, 977, 0.38%, 0.00%), (LMT, 189, 0.37%, 0.00%), (SBUX, 939, 0.36%, 0.00%), (C, 921, 0.34%, 0.00%), (SCHW, 883, 0.34%, 0.00%), (AMGN, 267, 0.33%, 0.00%), (TMO, 190, 0.33%, 0.00%), (MMM, 489, 0.32%, 0.00%), (EMR, 512, 0.30%, 0.00%), (PFE, 2,811, 0.29%, 0.00%), (GILD, 618, 0.28%, 0.00%), (CVS, 994, 0.27%, 0.00%), (TJX, 510, 0.26%, 0.00%), (DHR, 319, 0.26%, 0.00%), (ELV, 183, 0.26%, 0.00%), (MO, 993, 0.24%, 0.00%), (CMCSA, 1,629, 0.24%, 0.00%), (LOW, 257, 0.23%, 0.00%), (INTC, 2,419, 0.23%, 0.00%), (MDLZ, 784, 0.22%, 0.00%), (UPS, 502, 0.21%, 0.00%), (BMY, 1,006, 0.20%, 0.00%), (PYPL, 592, 0.18%, 0.00%), (CL, 436, 0.16%, 0.00%), (FDX, 154, 0.15%, 0.00%), (USB, 760, 0.15%, 0.00%), (TGT, 211, 0.09%, 0.00%), (SC9061B, nan, nan%, 0.00%), (SC9063B, nan, nan%, 0.00%), (SP9062B, nan, nan%, 0.00%), (SP9065B, nan, nan%, 0.00%), (SP9064B, nan, nan%, 0.00%), (XP9065B, nan, nan%, 0.00%)</t>
  </si>
  <si>
    <t>(AVGO, 1,655, 2.99%, 0.00%), (META, 588, 2.68%, 0.00%), (BRK/B, 684, 2.09%, 0.00%), (GOOGL, 1,576, 1.86%, 0.00%), (CSCO, 4,154, 1.81%, 0.00%), (LIN, 588, 1.75%, 0.00%), (AMT, 1,192, 1.72%, 0.00%), (TSLA, 787, 1.63%, 0.00%), (JPM, 866, 1.60%, 0.00%), (XOM, 2,097, 1.52%, 0.00%), (GOOG, 1,284, 1.52%, 0.00%), (V, 645, 1.46%, 0.00%), (LLY, 247, 1.26%, 0.00%), (CB, 658, 1.18%, 0.00%), (MA, 306, 1.10%, 0.00%), (WM, 737, 1.08%, 0.00%), (GE, 613, 1.05%, 0.00%), (ORCL, 617, 0.96%, 0.00%), (NFLX, 115, 0.93%, 0.00%), (NEE, 1,893, 0.91%, 0.00%), (UNH, 459, 0.87%, 0.00%), (JNJ, 754, 0.79%, 0.00%), (PG, 794, 0.79%, 0.00%), (COST, 128, 0.79%, 0.00%), (CVX, 797, 0.77%, 0.00%), (WMT, 1,256, 0.77%, 0.00%), (PLTR, 787, 0.76%, 0.00%), (ABT, 866, 0.74%, 0.00%), (RTX, 754, 0.73%, 0.00%), (CAT, 274, 0.73%, 0.00%), (MCD, 375, 0.72%, 0.00%), (ABBV, 554, 0.68%, 0.00%), (PM, 576, 0.68%, 0.00%), (HD, 284, 0.66%, 0.00%), (IBM, 355, 0.65%, 0.00%), (KO, 1,435, 0.64%, 0.00%), (BA, 424, 0.63%, 0.00%), (BKNG, 17, 0.62%, 0.00%), (BAC, 2,054, 0.61%, 0.00%), (CRM, 367, 0.61%, 0.00%), (SO, 1,009, 0.61%, 0.00%), (ISRG, 178, 0.59%, 0.00%), (AMD, 575, 0.59%, 0.00%), (NKE, 1,226, 0.57%, 0.00%), (HON, 369, 0.56%, 0.00%), (DUK, 711, 0.54%, 0.00%), (GS, 117, 0.54%, 0.00%), (UBER, 913, 0.54%, 0.00%), (WFC, 1,024, 0.53%, 0.00%), (INTU, 108, 0.52%, 0.00%), (ETN, 224, 0.52%, 0.00%), (MET, 1,021, 0.51%, 0.00%), (NOW, 79, 0.49%, 0.00%), (DE, 144, 0.47%, 0.00%), (TXN, 323, 0.45%, 0.00%), (PEP, 508, 0.44%, 0.00%), (ACN, 240, 0.43%, 0.00%), (T, 2,444, 0.43%, 0.00%), (MRK, 793, 0.42%, 0.00%), (MS, 463, 0.42%, 0.00%), (AXP, 208, 0.42%, 0.00%), (SPGI, 118, 0.40%, 0.00%), (ADBE, 169, 0.40%, 0.00%), (UNP, 263, 0.39%, 0.00%), (QCOM, 394, 0.39%, 0.00%), (VZ, 1,434, 0.38%, 0.00%), (BLK, 54, 0.38%, 0.00%), (DIS, 488, 0.38%, 0.00%), (MDT, 640, 0.37%, 0.00%), (AMAT, 292, 0.37%, 0.00%), (LMT, 120, 0.37%, 0.00%), (COP, 617, 0.37%, 0.00%), (SBUX, 593, 0.36%, 0.00%), (C, 582, 0.34%, 0.00%), (SCHW, 558, 0.33%, 0.00%), (AMGN, 168, 0.33%, 0.00%), (TMO, 120, 0.32%, 0.00%), (MMM, 309, 0.31%, 0.00%), (EMR, 323, 0.29%, 0.00%), (PFE, 1,776, 0.28%, 0.00%), (GILD, 391, 0.28%, 0.00%), (CVS, 628, 0.26%, 0.00%), (ELV, 116, 0.26%, 0.00%), (TJX, 322, 0.25%, 0.00%), (DHR, 201, 0.25%, 0.00%), (MO, 627, 0.24%, 0.00%), (CMCSA, 1,030, 0.23%, 0.00%), (LOW, 162, 0.23%, 0.00%), (INTC, 1,528, 0.22%, 0.00%), (MDLZ, 495, 0.22%, 0.00%), (UPS, 317, 0.20%, 0.00%), (BMY, 636, 0.19%, 0.00%), (PYPL, 374, 0.18%, 0.00%), (CL, 275, 0.16%,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</si>
  <si>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3.05%, 0.00%), (META, 5,331, 2.73%, 0.00%), (BRK/B, 6,202, 2.13%, 0.00%), (GOOGL, 14,288, 1.90%, 0.00%), (CSCO, 37,656, 1.85%, 0.00%), (LIN, 5,328, 1.79%, 0.00%), (AMT, 10,808, 1.75%, 0.00%), (TSLA, 7,133, 1.66%, 0.00%), (JPM, 7,853, 1.64%, 0.00%), (XOM, 19,009, 1.56%, 0.00%), (GOOG, 11,638, 1.55%, 0.00%), (V, 5,847, 1.49%, 0.00%), (LLY, 2,239, 1.29%, 0.00%), (CB, 5,965, 1.21%, 0.00%), (MA, 2,773, 1.12%, 0.00%), (WM, 6,682, 1.10%, 0.00%), (GE, 5,562, 1.06%, 0.00%), (ORCL, 5,595, 0.97%, 0.00%), (NFLX, 1,045, 0.94%, 0.00%), (NEE, 17,164, 0.93%, 0.00%), (UNH, 4,163, 0.89%, 0.00%), (JNJ, 6,840, 0.81%, 0.00%), (PG, 7,197, 0.81%, 0.00%), (COST, 1,162, 0.81%, 0.00%), (CVX, 7,228, 0.79%, 0.00%), (WMT, 11,387, 0.79%, 0.00%), (PLTR, 7,136, 0.77%, 0.00%), (ABT, 7,847, 0.75%, 0.00%), (RTX, 6,840, 0.74%, 0.00%), (CAT, 2,481, 0.74%, 0.00%), (MCD, 3,401, 0.74%, 0.00%), (ABBV, 5,021, 0.70%, 0.00%), (PM, 5,219, 0.69%, 0.00%), (HD, 2,573, 0.67%, 0.00%), (IBM, 3,219, 0.66%, 0.00%), (KO, 13,014, 0.66%, 0.00%), (BKNG, 157, 0.65%, 0.00%), (BA, 3,842, 0.64%, 0.00%), (BAC, 18,620, 0.62%, 0.00%), (CRM, 3,328, 0.62%, 0.00%), (SO, 9,145, 0.62%, 0.00%), (ISRG, 1,611, 0.60%, 0.00%), (AMD, 5,214, 0.59%, 0.00%), (NKE, 11,118, 0.58%, 0.00%), (HON, 3,342, 0.58%, 0.00%), (DUK, 6,448, 0.55%, 0.00%), (UBER, 8,274, 0.55%, 0.00%), (GS, 1,062, 0.55%, 0.00%), (WFC, 9,287, 0.54%, 0.00%), (ETN, 2,031, 0.54%, 0.00%), (INTU, 976, 0.53%, 0.00%), (MET, 9,255, 0.52%, 0.00%), (NOW, 717, 0.50%, 0.00%), (DE, 1,308, 0.48%, 0.00%), (TXN, 2,931, 0.46%, 0.00%), (PEP, 4,605, 0.45%, 0.00%), (ACN, 2,175, 0.44%, 0.00%), (T, 22,160, 0.43%, 0.00%), (MRK, 7,187, 0.43%, 0.00%), (MS, 4,197, 0.43%, 0.00%), (AXP, 1,883, 0.43%, 0.00%), (SPGI, 1,074, 0.41%, 0.00%), (ADBE, 1,532, 0.40%, 0.00%), (UNP, 2,382, 0.40%, 0.00%), (QCOM, 3,570, 0.40%, 0.00%), (VZ, 13,001, 0.39%, 0.00%), (BLK, 493, 0.39%, 0.00%), (DIS, 4,428, 0.39%, 0.00%), (MDT, 5,802, 0.38%, 0.00%), (AMAT, 2,649, 0.38%, 0.00%), (COP, 5,595, 0.37%, 0.00%), (LMT, 1,084, 0.37%, 0.00%), (SBUX, 5,379, 0.36%, 0.00%), (C, 5,275, 0.34%, 0.00%), (SCHW, 5,058, 0.33%, 0.00%), (AMGN, 1,527, 0.33%, 0.00%), (TMO, 1,087, 0.33%, 0.00%), (MMM, 2,798, 0.32%, 0.00%), (EMR, 2,930, 0.30%, 0.00%), (PFE, 16,100, 0.29%, 0.00%), (GILD, 3,541, 0.28%, 0.00%), (CVS, 5,693, 0.26%, 0.00%), (ELV, 1,049, 0.26%, 0.00%), (TJX, 2,922, 0.26%, 0.00%), (DHR, 1,826, 0.26%, 0.00%), (MO, 5,689, 0.24%, 0.00%), (CMCSA, 9,334, 0.23%, 0.00%), (LOW, 1,470, 0.23%, 0.00%), (INTC, 13,857, 0.23%, 0.00%), (MDLZ, 4,488, 0.22%,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</si>
  <si>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3.04%, 0.00%), (META, 3,970, 2.72%, 0.00%), (BRK/B, 4,618, 2.12%, 0.00%), (GOOGL, 10,640, 1.89%, 0.00%), (CSCO, 28,043, 1.84%, 0.00%), (LIN, 3,968, 1.78%, 0.00%), (AMT, 8,049, 1.75%, 0.00%), (TSLA, 5,312, 1.65%, 0.00%), (JPM, 5,848, 1.63%, 0.00%), (XOM, 14,156, 1.55%, 0.00%), (GOOG, 8,666, 1.55%, 0.00%), (V, 4,354, 1.48%, 0.00%), (LLY, 1,667, 1.28%, 0.00%), (CB, 4,442, 1.20%, 0.00%), (MA, 2,065, 1.11%, 0.00%), (WM, 4,976, 1.10%, 0.00%), (GE, 4,142, 1.06%, 0.00%), (ORCL, 4,167, 0.97%, 0.00%), (NFLX, 778, 0.94%, 0.00%), (NEE, 12,782, 0.93%, 0.00%), (UNH, 3,101, 0.88%, 0.00%), (JNJ, 5,094, 0.81%, 0.00%), (PG, 5,360, 0.80%, 0.00%), (COST, 866, 0.80%, 0.00%), (CVX, 5,383, 0.79%, 0.00%), (WMT, 8,480, 0.78%, 0.00%), (PLTR, 5,314, 0.77%, 0.00%), (ABT, 5,844, 0.75%, 0.00%), (RTX, 5,094, 0.74%, 0.00%), (CAT, 1,848, 0.74%, 0.00%), (MCD, 2,533, 0.74%, 0.00%), (ABBV, 3,739, 0.69%, 0.00%), (PM, 3,887, 0.69%, 0.00%), (HD, 1,916, 0.67%, 0.00%), (IBM, 2,397, 0.66%, 0.00%), (KO, 9,691, 0.65%, 0.00%), (BKNG, 117, 0.65%, 0.00%), (BA, 2,861, 0.64%, 0.00%), (BAC, 13,866, 0.62%, 0.00%), (CRM, 2,478, 0.62%, 0.00%), (SO, 6,810, 0.62%, 0.00%), (ISRG, 1,200, 0.60%, 0.00%), (AMD, 3,883, 0.59%, 0.00%), (NKE, 8,279, 0.58%, 0.00%), (HON, 2,488, 0.57%, 0.00%), (DUK, 4,801, 0.55%, 0.00%), (GS, 791, 0.54%, 0.00%), (UBER, 6,162, 0.54%, 0.00%), (WFC, 6,916, 0.54%, 0.00%), (ETN, 1,512, 0.53%, 0.00%), (INTU, 727, 0.53%, 0.00%), (MET, 6,892, 0.51%, 0.00%), (NOW, 534, 0.50%, 0.00%), (DE, 974, 0.48%, 0.00%), (TXN, 2,183, 0.46%, 0.00%), (PEP, 3,430, 0.45%, 0.00%), (ACN, 1,620, 0.44%, 0.00%), (T, 16,503, 0.43%, 0.00%), (MRK, 5,352, 0.43%, 0.00%), (MS, 3,126, 0.43%, 0.00%), (AXP, 1,402, 0.42%, 0.00%), (SPGI, 800, 0.41%, 0.00%), (ADBE, 1,141, 0.40%, 0.00%), (UNP, 1,774, 0.40%, 0.00%), (QCOM, 2,658, 0.40%, 0.00%), (VZ, 9,682, 0.39%, 0.00%), (BLK, 367, 0.39%, 0.00%), (DIS, 3,298, 0.38%, 0.00%), (MDT, 4,321, 0.38%, 0.00%), (AMAT, 1,973, 0.37%, 0.00%), (COP, 4,166, 0.37%, 0.00%), (LMT, 807, 0.37%, 0.00%), (SBUX, 4,006, 0.36%, 0.00%), (C, 3,929, 0.34%, 0.00%), (SCHW, 3,767, 0.33%, 0.00%), (AMGN, 1,137, 0.33%, 0.00%), (TMO, 809, 0.33%, 0.00%), (MMM, 2,084, 0.32%, 0.00%), (EMR, 2,182, 0.30%, 0.00%), (PFE, 11,990, 0.29%, 0.00%), (GILD, 2,637, 0.28%, 0.00%), (CVS, 4,240, 0.26%, 0.00%), (ELV, 781, 0.26%, 0.00%), (TJX, 2,176, 0.26%, 0.00%), (DHR, 1,360, 0.26%, 0.00%), (MO, 4,236, 0.24%, 0.00%), (CMCSA, 6,951, 0.23%, 0.00%), (LOW, 1,094, 0.23%, 0.00%), (INTC, 10,320, 0.23%, 0.00%), (MDLZ, 3,343, 0.22%,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</si>
  <si>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2.59%, 0.00%), (BRK/B, 1,736, 2.02%, 0.00%), (GOOGL, 4,000, 1.80%, 0.00%), (CSCO, 10,543, 1.75%, 0.00%), (LIN, 1,492, 1.69%, 0.00%), (AMT, 3,026, 1.66%, 0.00%), (TSLA, 1,997, 1.57%, 0.00%), (JPM, 2,199, 1.55%, 0.00%), (XOM, 5,322, 1.47%, 0.00%), (GOOG, 3,258, 1.47%, 0.00%), (V, 1,637, 1.41%, 0.00%), (LLY, 627, 1.22%, 0.00%), (CB, 1,670, 1.14%, 0.00%), (MA, 777, 1.06%, 0.00%), (WM, 1,871, 1.04%, 0.00%), (GE, 1,557, 1.01%, 0.00%), (ORCL, 1,567, 0.92%, 0.00%), (NFLX, 293, 0.89%, 0.00%), (NEE, 4,806, 0.88%, 0.00%), (UNH, 1,166, 0.84%, 0.00%), (JNJ, 1,915, 0.77%, 0.00%), (PG, 2,015, 0.76%, 0.00%), (COST, 325, 0.76%, 0.00%), (CVX, 2,024, 0.75%, 0.00%), (WMT, 3,188, 0.75%, 0.00%), (PLTR, 1,998, 0.73%, 0.00%), (ABT, 2,197, 0.71%, 0.00%), (RTX, 1,915, 0.71%, 0.00%), (CAT, 695, 0.71%, 0.00%), (MCD, 952, 0.70%, 0.00%), (ABBV, 1,406, 0.66%, 0.00%), (PM, 1,461, 0.66%, 0.00%), (HD, 720, 0.64%, 0.00%), (IBM, 901, 0.63%, 0.00%), (KO, 3,644, 0.62%, 0.00%), (BKNG, 44, 0.61%, 0.00%), (BA, 1,076, 0.61%, 0.00%), (CRM, 932, 0.59%, 0.00%), (BAC, 5,213, 0.59%, 0.00%), (SO, 2,561, 0.59%, 0.00%), (ISRG, 451, 0.57%, 0.00%), (AMD, 1,460, 0.57%, 0.00%), (NKE, 3,113, 0.55%, 0.00%), (HON, 936, 0.55%, 0.00%), (DUK, 1,805, 0.52%, 0.00%), (UBER, 2,317, 0.52%, 0.00%), (GS, 297, 0.52%, 0.00%), (WFC, 2,600, 0.51%, 0.00%), (ETN, 569, 0.51%, 0.00%), (INTU, 273, 0.50%, 0.00%), (MET, 2,591, 0.49%, 0.00%), (NOW, 201, 0.48%, 0.00%), (DE, 366, 0.46%, 0.00%), (TXN, 821, 0.44%, 0.00%), (PEP, 1,289, 0.43%, 0.00%), (ACN, 609, 0.42%, 0.00%), (T, 6,205, 0.41%, 0.00%), (MRK, 2,012, 0.41%, 0.00%), (MS, 1,175, 0.41%, 0.00%), (AXP, 527, 0.40%, 0.00%), (SPGI, 301, 0.39%, 0.00%), (ADBE, 429, 0.38%, 0.00%), (UNP, 667, 0.38%, 0.00%), (QCOM, 999, 0.38%, 0.00%), (VZ, 3,640, 0.37%, 0.00%), (BLK, 138, 0.37%, 0.00%), (DIS, 1,240, 0.37%, 0.00%), (MDT, 1,625, 0.36%, 0.00%), (AMAT, 742, 0.36%, 0.00%), (COP, 1,566, 0.35%, 0.00%), (LMT, 304, 0.35%, 0.00%), (SBUX, 1,506, 0.34%, 0.00%), (C, 1,477, 0.33%, 0.00%), (SCHW, 1,416, 0.32%, 0.00%), (AMGN, 428, 0.31%, 0.00%), (TMO, 304, 0.31%, 0.00%), (MMM, 784, 0.30%, 0.00%), (EMR, 820, 0.28%, 0.00%), (PFE, 4,508, 0.27%, 0.00%), (GILD, 991, 0.27%, 0.00%), (CVS, 1,594, 0.25%, 0.00%), (ELV, 294, 0.25%, 0.00%), (TJX, 818, 0.24%, 0.00%), (DHR, 511, 0.24%, 0.00%), (MO, 1,593, 0.23%, 0.00%), (CMCSA, 2,613, 0.22%, 0.00%), (LOW, 411, 0.22%, 0.00%), (INTC, 3,880, 0.22%, 0.00%), (MDLZ, 1,257, 0.21%, 0.00%), (UPS, 805, 0.20%, 0.00%), (BMY, 1,613, 0.19%, 0.00%), (PYPL, 950, 0.17%, 0.00%), (CL, 699, 0.15%, 0.00%), (FDX, 247, 0.14%, 0.00%), (USB, 1,218, 0.14%, 0.00%), (TGT, 338, 0.08%, 0.00%), (SC28181B, nan, nan%, 0.00%), (SC28183B, nan, nan%, 0.00%), (SP28182B, nan, nan%, 0.00%), (SP28185B, nan, nan%, 0.00%), (SP28184B, nan, nan%, 0.00%), (XP28185B, nan, nan%, 0.00%)</t>
  </si>
  <si>
    <t>(META, 1,833, 2.62%, 0.00%), (BRK/B, 2,133, 2.05%, 0.00%), (GOOGL, 4,913, 1.82%, 0.00%), (CSCO, 12,949, 1.78%, 0.00%), (LIN, 1,832, 1.71%, 0.00%), (AMT, 3,717, 1.69%, 0.00%), (TSLA, 2,453, 1.60%, 0.00%), (JPM, 2,700, 1.57%, 0.00%), (XOM, 6,537, 1.49%, 0.00%), (GOOG, 4,002, 1.49%, 0.00%), (V, 2,011, 1.43%, 0.00%), (LLY, 770, 1.23%, 0.00%), (CB, 2,051, 1.16%, 0.00%), (MA, 954, 1.08%, 0.00%), (WM, 2,298, 1.06%, 0.00%), (GE, 1,913, 1.03%, 0.00%), (ORCL, 1,924, 0.94%, 0.00%), (NFLX, 359, 0.91%, 0.00%), (NEE, 5,902, 0.90%, 0.00%), (UNH, 1,432, 0.85%, 0.00%), (JNJ, 2,352, 0.78%, 0.00%), (PG, 2,475, 0.77%, 0.00%), (COST, 400, 0.77%, 0.00%), (CVX, 2,486, 0.76%, 0.00%), (WMT, 3,916, 0.76%, 0.00%), (PLTR, 2,454, 0.74%, 0.00%), (ABT, 2,698, 0.72%, 0.00%), (RTX, 2,352, 0.72%, 0.00%), (CAT, 853, 0.71%, 0.00%), (MCD, 1,169, 0.71%, 0.00%), (ABBV, 1,726, 0.67%, 0.00%), (PM, 1,795, 0.67%, 0.00%), (HD, 885, 0.64%, 0.00%), (IBM, 1,107, 0.64%, 0.00%), (KO, 4,475, 0.63%, 0.00%), (BKNG, 54, 0.62%, 0.00%), (BA, 1,321, 0.62%, 0.00%), (BAC, 6,403, 0.60%, 0.00%), (CRM, 1,144, 0.60%, 0.00%), (SO, 3,145, 0.60%, 0.00%), (ISRG, 554, 0.58%, 0.00%), (AMD, 1,793, 0.57%, 0.00%), (NKE, 3,823, 0.56%, 0.00%), (HON, 1,149, 0.55%, 0.00%), (DUK, 2,217, 0.53%, 0.00%), (UBER, 2,845, 0.53%, 0.00%), (GS, 365, 0.53%, 0.00%), (WFC, 3,194, 0.52%, 0.00%), (ETN, 698, 0.51%, 0.00%), (INTU, 336, 0.51%, 0.00%), (MET, 3,182, 0.50%, 0.00%), (NOW, 247, 0.48%, 0.00%), (DE, 450, 0.46%, 0.00%), (TXN, 1,008, 0.44%, 0.00%), (PEP, 1,584, 0.43%, 0.00%), (ACN, 748, 0.43%, 0.00%), (T, 7,620, 0.42%, 0.00%), (MRK, 2,471, 0.41%, 0.00%), (MS, 1,443, 0.41%, 0.00%), (AXP, 647, 0.41%, 0.00%), (SPGI, 369, 0.39%, 0.00%), (ADBE, 527, 0.39%, 0.00%), (UNP, 819, 0.39%, 0.00%), (QCOM, 1,227, 0.38%, 0.00%), (VZ, 4,471, 0.38%, 0.00%), (BLK, 169, 0.37%, 0.00%), (DIS, 1,523, 0.37%, 0.00%), (MDT, 1,995, 0.36%, 0.00%), (AMAT, 911, 0.36%, 0.00%), (COP, 1,924, 0.36%, 0.00%), (LMT, 373, 0.36%, 0.00%), (SBUX, 1,850, 0.35%, 0.00%), (C, 1,814, 0.33%, 0.00%), (SCHW, 1,739, 0.32%, 0.00%), (AMGN, 525, 0.32%, 0.00%), (TMO, 374, 0.32%, 0.00%), (MMM, 962, 0.31%, 0.00%), (EMR, 1,008, 0.29%, 0.00%), (PFE, 5,537, 0.28%, 0.00%), (GILD, 1,218, 0.27%, 0.00%), (CVS, 1,958, 0.25%, 0.00%), (ELV, 361, 0.25%, 0.00%), (TJX, 1,005, 0.25%, 0.00%), (DHR, 628, 0.25%, 0.00%), (MO, 1,956, 0.23%, 0.00%), (CMCSA, 3,210, 0.22%, 0.00%), (LOW, 505, 0.22%, 0.00%), (INTC, 4,765, 0.22%, 0.00%), (MDLZ, 1,543, 0.21%,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</si>
  <si>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3.04%, 0.00%), (META, 3,052, 2.72%, 0.00%), (BRK/B, 3,551, 2.12%, 0.00%), (GOOGL, 8,180, 1.89%, 0.00%), (CSCO, 21,559, 1.84%, 0.00%), (LIN, 3,050, 1.78%, 0.00%), (AMT, 6,188, 1.75%, 0.00%), (TSLA, 4,084, 1.65%, 0.00%), (JPM, 4,496, 1.63%, 0.00%), (XOM, 10,883, 1.55%, 0.00%), (GOOG, 6,663, 1.55%, 0.00%), (V, 3,348, 1.48%, 0.00%), (LLY, 1,282, 1.28%, 0.00%), (CB, 3,415, 1.20%, 0.00%), (MA, 1,588, 1.11%, 0.00%), (WM, 3,825, 1.09%, 0.00%), (GE, 3,184, 1.06%, 0.00%), (ORCL, 3,203, 0.97%, 0.00%), (NFLX, 598, 0.94%, 0.00%), (NEE, 9,827, 0.93%, 0.00%), (UNH, 2,384, 0.88%, 0.00%), (JNJ, 3,916, 0.81%, 0.00%), (PG, 4,121, 0.80%, 0.00%), (COST, 665, 0.80%, 0.00%), (CVX, 4,138, 0.79%, 0.00%), (WMT, 6,519, 0.79%, 0.00%), (PLTR, 4,086, 0.77%, 0.00%), (ABT, 4,493, 0.75%, 0.00%), (RTX, 3,916, 0.74%, 0.00%), (CAT, 1,421, 0.74%, 0.00%), (MCD, 1,947, 0.74%, 0.00%), (ABBV, 2,874, 0.69%, 0.00%), (PM, 2,988, 0.69%, 0.00%), (HD, 1,473, 0.67%, 0.00%), (IBM, 1,843, 0.66%, 0.00%), (KO, 7,451, 0.65%, 0.00%), (BKNG, 90, 0.65%, 0.00%), (BA, 2,200, 0.64%, 0.00%), (BAC, 10,661, 0.62%, 0.00%), (CRM, 1,905, 0.62%, 0.00%), (SO, 5,236, 0.62%, 0.00%), (ISRG, 923, 0.60%, 0.00%), (AMD, 2,985, 0.59%, 0.00%), (NKE, 6,365, 0.58%, 0.00%), (HON, 1,913, 0.57%, 0.00%), (DUK, 3,691, 0.55%, 0.00%), (GS, 608, 0.55%, 0.00%), (UBER, 4,737, 0.54%, 0.00%), (WFC, 5,317, 0.54%, 0.00%), (ETN, 1,163, 0.53%, 0.00%), (INTU, 559, 0.53%, 0.00%), (MET, 5,299, 0.51%, 0.00%), (NOW, 411, 0.50%, 0.00%), (DE, 749, 0.48%, 0.00%), (TXN, 1,678, 0.46%, 0.00%), (PEP, 2,637, 0.45%, 0.00%), (ACN, 1,245, 0.44%, 0.00%), (T, 12,687, 0.43%, 0.00%), (MRK, 4,115, 0.43%, 0.00%), (MS, 2,403, 0.43%, 0.00%), (AXP, 1,078, 0.43%, 0.00%), (SPGI, 615, 0.41%, 0.00%), (ADBE, 877, 0.40%, 0.00%), (UNP, 1,364, 0.40%, 0.00%), (QCOM, 2,044, 0.40%, 0.00%), (VZ, 7,444, 0.39%, 0.00%), (BLK, 282, 0.39%, 0.00%), (DIS, 2,535, 0.38%, 0.00%), (MDT, 3,322, 0.38%, 0.00%), (AMAT, 1,517, 0.37%, 0.00%), (COP, 3,203, 0.37%, 0.00%), (LMT, 621, 0.37%, 0.00%), (SBUX, 3,080, 0.36%, 0.00%), (C, 3,020, 0.34%, 0.00%), (SCHW, 2,896, 0.33%, 0.00%), (AMGN, 874, 0.33%, 0.00%), (TMO, 622, 0.33%, 0.00%), (MMM, 1,602, 0.32%, 0.00%), (EMR, 1,678, 0.30%, 0.00%), (PFE, 9,218, 0.29%, 0.00%), (GILD, 2,027, 0.28%, 0.00%), (CVS, 3,260, 0.26%, 0.00%), (ELV, 601, 0.26%, 0.00%), (TJX, 1,673, 0.26%, 0.00%), (DHR, 1,046, 0.26%, 0.00%), (MO, 3,257, 0.24%, 0.00%), (CMCSA, 5,344, 0.23%, 0.00%), (LOW, 841, 0.23%, 0.00%), (INTC, 7,934, 0.23%, 0.00%), (MDLZ, 2,570, 0.22%,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</si>
  <si>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MSFT, BK, EBAY, META, BKNG, JPM, EWBC, BLK, AMAT, UNM, MLI, RJF</t>
  </si>
  <si>
    <t>(AXP, 3,354, 1.91%, 0.00%), (GOOGL, 5,747, 1.91%, 0.00%), (V, 2,973, 1.88%, 0.00%), (SNA, 2,964, 1.81%, 0.01%), (EA, 6,630, 1.80%, 0.00%), (TRV, 3,783, 1.79%, 0.00%), (KLAC, 1,052, 1.78%, 0.00%), (HIG, 7,961, 1.76%, 0.00%), (NVDA, 5,555, 1.74%, 0.00%), (ADP, 3,176, 1.74%, 0.00%), (CB, 3,354, 1.67%, 0.00%), (PHM, 8,436, 1.67%, 0.00%), (CTSH, 12,016, 1.64%, 0.00%), (CRM, 3,406, 1.60%, 0.00%), (PCAR, 9,402, 1.60%, 0.00%), (SYF, 12,415, 1.58%, 0.00%), (ROST, 6,624, 1.56%, 0.00%), (PAYC, 3,637, 1.48%, 0.01%), (ACN, 2,833, 1.45%, 0.00%), (LEN, 7,018, 1.39%, 0.00%), (QCOM, 4,796, 1.32%, 0.00%), (WSM, 4,204, 1.30%, 0.00%), (BKR, 17,683, 1.25%, 0.00%), (ELV, 2,277, 1.25%, 0.00%), (AFL, 6,568, 1.21%, 0.00%), (ODFL, 4,074, 1.20%, 0.00%), (AAPL, 3,096, 1.18%, 0.00%), (LRCX, 6,125, 1.12%, 0.00%), (DHI, 4,664, 1.11%, 0.00%), (CSCO, 8,896, 1.10%, 0.00%), (GE, 2,147, 1.01%, 0.00%), (MPWR, 759, 0.98%, 0.00%), (STT, 4,930, 0.96%, 0.00%), (AMP, 960, 0.94%, 0.00%), (PNC, 2,640, 0.94%, 0.00%), (CF, 5,635, 0.94%, 0.00%), (MTB, 2,624, 0.93%, 0.00%), (COST, 493, 0.85%, 0.00%), (XOM, 4,128, 0.83%, 0.00%), (CSL, 1,106, 0.81%, 0.00%), (EOG, 3,713, 0.80%, 0.00%), (ABT, 3,549, 0.77%, 0.00%), (EG, 1,249, 0.76%, 0.00%), (NTRS, 2,289, 0.53%, 0.00%), (GEV, 503, 0.52%, 0.00%), (CRBG, 7,863, 0.50%, 0.00%), (MA, 477, 0.48%, 0.00%), (DOV, 1,338, 0.46%, 0.00%), (JNJ, 1,532, 0.45%, 0.00%), (ACM, 2,165, 0.45%, 0.00%), (WTFC, 1,844, 0.44%, 0.00%), (SLM, 7,348, 0.44%, 0.00%), (CINF, 1,592, 0.43%, 0.00%), (MCK, 331, 0.43%, 0.00%), (EQH, 4,437, 0.42%, 0.00%), (JXN, 2,583, 0.41%, 0.00%), (MTG, 8,993, 0.41%, 0.00%), (ALL, 1,133, 0.40%, 0.00%), (LNC, 6,259, 0.39%, 0.00%), (NUE, 1,530, 0.39%, 0.00%), (PGR, 835, 0.37%, 0.00%), (ADM, 3,811,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</si>
  <si>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3,981, 3.23%, 0.00%), (META, 1,414, 2.84%, 0.00%), (BRK/B, 1,645, 2.23%, 0.00%), (GOOGL, 3,790, 1.98%, 0.00%), (CSCO, 9,990, 1.95%, 0.00%), (LIN, 1,413, 1.87%, 0.00%), (AMT, 2,867, 1.82%, 0.00%), (JPM, 2,083, 1.73%, 0.00%), (TSLA, 1,892, 1.72%, 0.00%), (GOOG, 3,087, 1.63%, 0.00%), (XOM, 5,043, 1.61%, 0.00%), (V, 1,551, 1.55%, 0.00%), (LLY, 594, 1.30%, 0.00%), (CB, 1,582, 1.25%, 0.00%), (MA, 736, 1.17%, 0.00%), (WM, 1,773, 1.15%, 0.00%), (GE, 1,475, 1.09%, 0.00%), (ORCL, 1,484, 1.04%, 0.00%), (NFLX, 277, 0.99%, 0.00%), (NEE, 4,553, 0.98%, 0.00%), (UNH, 1,105, 0.91%, 0.00%), (PG, 1,909, 0.85%, 0.00%), (COST, 308, 0.84%, 0.00%), (JNJ, 1,815, 0.84%, 0.00%), (CVX, 1,918, 0.83%, 0.00%), (WMT, 3,021, 0.82%, 0.00%), (PLTR, 1,893, 0.82%, 0.00%), (CAT, 658, 0.78%, 0.00%), (RTX, 1,815, 0.78%, 0.00%), (MCD, 902, 0.78%, 0.00%), (ABBV, 1,332, 0.73%, 0.00%), (ABT, 2,082, 0.72%, 0.00%), (PM, 1,385, 0.71%, 0.00%), (HD, 683, 0.70%, 0.00%), (KO, 3,452, 0.70%, 0.00%), (IBM, 854, 0.69%, 0.00%), (BKNG, 42, 0.68%, 0.00%), (BA, 1,019, 0.67%, 0.00%), (BAC, 4,940, 0.66%, 0.00%), (CRM, 883, 0.66%, 0.00%), (SO, 2,426, 0.65%, 0.00%), (ISRG, 427, 0.63%, 0.00%), (AMD, 1,383, 0.62%, 0.00%), (NKE, 2,949, 0.62%, 0.00%), (HON, 886, 0.60%, 0.00%), (ETN, 539, 0.58%, 0.00%), (DUK, 1,710, 0.58%, 0.00%), (UBER, 2,195, 0.57%, 0.00%), (GS, 282, 0.57%, 0.00%), (WFC, 2,464, 0.56%, 0.00%), (INTU, 259, 0.56%, 0.00%), (MET, 2,455, 0.54%, 0.00%), (NOW, 190, 0.52%, 0.00%), (PEP, 1,222, 0.50%, 0.00%), (DE, 347, 0.50%, 0.00%), (TXN, 778, 0.48%, 0.00%), (ACN, 577, 0.47%, 0.00%), (T, 5,879, 0.45%, 0.00%), (AXP, 500, 0.45%, 0.00%), (MS, 1,113, 0.45%, 0.00%), (MRK, 1,907, 0.45%, 0.00%), (SPGI, 285, 0.43%, 0.00%), (ADBE, 407, 0.43%, 0.00%), (BLK, 131, 0.41%, 0.00%), (QCOM, 947, 0.41%, 0.00%), (UNP, 632, 0.41%, 0.00%), (DIS, 1,175, 0.41%, 0.00%), (VZ, 3,449, 0.40%, 0.00%), (COP, 1,484, 0.39%, 0.00%), (MDT, 1,539, 0.39%, 0.00%), (AMAT, 703, 0.39%, 0.00%), (LMT, 288, 0.39%, 0.00%), (SBUX, 1,427, 0.38%, 0.00%), (C, 1,400, 0.37%, 0.00%), (SCHW, 1,342, 0.35%, 0.00%), (TMO, 288, 0.35%, 0.00%), (AMGN, 405, 0.35%, 0.00%), (MMM, 742, 0.33%, 0.00%), (EMR, 777, 0.32%, 0.00%), (PFE, 4,271, 0.30%, 0.00%), (GILD, 939, 0.29%, 0.00%), (CVS, 1,510, 0.27%, 0.00%), (TJX, 775, 0.27%, 0.00%), (DHR, 484, 0.27%, 0.00%), (MO, 1,509, 0.25%, 0.00%), (CMCSA, 2,476, 0.25%, 0.00%), (LOW, 390, 0.24%, 0.00%), (ELV, 278, 0.24%, 0.00%), (INTC, 3,676, 0.24%, 0.00%), (MDLZ, 1,191, 0.24%, 0.00%), (UPS, 762, 0.22%, 0.00%), (BMY, 1,529, 0.21%, 0.00%), (PYPL, 900, 0.19%, 0.00%), (CL, 662, 0.17%, 0.00%), (FDX, 234, 0.15%, 0.00%), (USB, 1,154, 0.15%, 0.00%), (TGT, 321, 0.10%, 0.00%), (SC31761B, nan, nan%, 0.00%), (SC31763B, nan, nan%, 0.00%), (SP31762B, nan, nan%, 0.00%), (SP31765B, nan, nan%, 0.00%), (SP31764B, nan, nan%, 0.00%), (XP31765B, nan, nan%, 0.00%)</t>
  </si>
  <si>
    <t>(AVGO, 2,620, 3.11%, 0.00%), (META, 931, 2.74%, 0.00%), (BRK/B, 1,083, 2.15%, 0.00%), (GOOGL, 2,494, 1.91%, 0.00%), (CSCO, 6,573, 1.88%, 0.00%), (LIN, 930, 1.80%, 0.00%), (AMT, 1,887, 1.76%, 0.00%), (JPM, 1,371, 1.66%, 0.00%), (TSLA, 1,245, 1.66%, 0.00%), (GOOG, 2,032, 1.57%, 0.00%), (XOM, 3,318, 1.55%, 0.00%), (V, 1,021, 1.49%, 0.00%), (LLY, 391, 1.25%, 0.00%), (CB, 1,041, 1.20%, 0.00%), (MA, 484, 1.12%, 0.00%), (WM, 1,166, 1.10%, 0.00%), (GE, 971, 1.05%, 0.00%), (ORCL, 977, 1.00%, 0.00%), (NFLX, 182, 0.97%, 0.00%), (NEE, 2,996, 0.94%, 0.00%), (UNH, 727, 0.88%, 0.00%), (PG, 1,256, 0.82%, 0.00%), (COST, 203, 0.81%, 0.00%), (JNJ, 1,194, 0.81%, 0.00%), (CVX, 1,262, 0.80%, 0.00%), (WMT, 1,988, 0.79%, 0.00%), (PLTR, 1,246, 0.79%, 0.00%), (CAT, 433, 0.75%, 0.00%), (RTX, 1,194, 0.75%, 0.00%), (MCD, 594, 0.75%, 0.00%), (ABBV, 876, 0.70%, 0.00%), (ABT, 1,370, 0.69%, 0.00%), (PM, 911, 0.68%, 0.00%), (HD, 449, 0.68%, 0.00%), (KO, 2,272, 0.67%, 0.00%), (IBM, 562, 0.66%, 0.00%), (BA, 671, 0.65%, 0.00%), (BKNG, 27, 0.64%, 0.00%), (BAC, 3,250, 0.64%, 0.00%), (CRM, 581, 0.63%, 0.00%), (SO, 1,596, 0.62%, 0.00%), (ISRG, 281, 0.61%, 0.00%), (AMD, 910, 0.60%, 0.00%), (NKE, 1,941, 0.59%, 0.00%), (HON, 583, 0.58%, 0.00%), (ETN, 355, 0.56%, 0.00%), (DUK, 1,126, 0.55%, 0.00%), (UBER, 1,444, 0.55%, 0.00%), (GS, 185, 0.55%, 0.00%), (WFC, 1,621, 0.54%, 0.00%), (INTU, 170, 0.54%, 0.00%), (MET, 1,616, 0.52%, 0.00%), (NOW, 125, 0.50%, 0.00%), (PEP, 804, 0.48%, 0.00%), (DE, 228, 0.48%, 0.00%), (TXN, 512, 0.47%, 0.00%), (ACN, 380, 0.45%, 0.00%), (T, 3,868, 0.44%, 0.00%), (AXP, 329, 0.43%, 0.00%), (MS, 733, 0.43%, 0.00%), (MRK, 1,255, 0.43%, 0.00%), (SPGI, 188, 0.41%, 0.00%), (ADBE, 268, 0.41%, 0.00%), (QCOM, 623, 0.40%, 0.00%), (BLK, 86, 0.40%, 0.00%), (UNP, 416, 0.40%, 0.00%), (DIS, 773, 0.39%, 0.00%), (VZ, 2,270, 0.39%, 0.00%), (COP, 977, 0.38%, 0.00%), (MDT, 1,013, 0.38%, 0.00%), (AMAT, 462, 0.37%, 0.00%), (LMT, 189, 0.37%, 0.00%), (SBUX, 939, 0.37%, 0.00%), (C, 921, 0.35%, 0.00%), (SCHW, 883, 0.34%, 0.00%), (TMO, 190, 0.34%, 0.00%), (AMGN, 267, 0.33%, 0.00%), (MMM, 489, 0.32%, 0.00%), (EMR, 512, 0.31%, 0.00%), (PFE, 2,811, 0.29%, 0.00%), (GILD, 618, 0.28%, 0.00%), (CVS, 994, 0.26%, 0.00%), (TJX, 510, 0.26%, 0.00%), (DHR, 319, 0.26%, 0.00%), (MO, 993, 0.24%, 0.00%), (CMCSA, 1,629, 0.24%, 0.00%), (LOW, 257, 0.24%, 0.00%), (ELV, 183, 0.23%, 0.00%), (INTC, 2,419, 0.23%, 0.00%), (MDLZ, 784, 0.23%, 0.00%), (UPS, 502, 0.21%, 0.00%), (BMY, 1,006, 0.20%, 0.00%), (PYPL, 592, 0.18%, 0.00%), (CL, 436, 0.16%, 0.00%), (FDX, 154, 0.15%, 0.00%), (USB, 760, 0.14%, 0.00%), (TGT, 211, 0.09%, 0.00%), (SC9061B, nan, nan%, 0.00%), (SC9063B, nan, nan%, 0.00%), (SP9062B, nan, nan%, 0.00%), (SP9065B, nan, nan%, 0.00%), (SP9064B, nan, nan%, 0.00%), (XP9065B, nan, nan%, 0.00%)</t>
  </si>
  <si>
    <t>(AVGO, 1,655, 3.03%, 0.00%), (META, 588, 2.67%, 0.00%), (BRK/B, 684, 2.09%, 0.00%), (GOOGL, 1,576, 1.86%, 0.00%), (CSCO, 4,154, 1.83%, 0.00%), (LIN, 588, 1.75%, 0.00%), (AMT, 1,192, 1.71%, 0.00%), (JPM, 866, 1.62%, 0.00%), (TSLA, 787, 1.62%, 0.00%), (GOOG, 1,284, 1.53%, 0.00%), (XOM, 2,097, 1.51%, 0.00%), (V, 645, 1.45%, 0.00%), (LLY, 247, 1.22%, 0.00%), (CB, 658, 1.17%, 0.00%), (MA, 306, 1.09%, 0.00%), (WM, 737, 1.08%, 0.00%), (GE, 613, 1.03%, 0.00%), (ORCL, 617, 0.98%, 0.00%), (NFLX, 115, 0.95%, 0.00%), (NEE, 1,893, 0.92%, 0.00%), (UNH, 459, 0.85%, 0.00%), (PG, 794, 0.80%, 0.00%), (COST, 128, 0.79%, 0.00%), (JNJ, 754, 0.79%, 0.00%), (CVX, 797, 0.78%, 0.00%), (WMT, 1,256, 0.77%, 0.00%), (PLTR, 787, 0.77%, 0.00%), (CAT, 274, 0.73%, 0.00%), (RTX, 754, 0.73%, 0.00%), (MCD, 375, 0.73%, 0.00%), (ABBV, 554, 0.69%, 0.00%), (ABT, 866, 0.67%, 0.00%), (PM, 576, 0.67%, 0.00%), (HD, 284, 0.66%, 0.00%), (KO, 1,435, 0.65%, 0.00%), (IBM, 355, 0.65%, 0.00%), (BA, 424, 0.63%, 0.00%), (BKNG, 17, 0.62%, 0.00%), (BAC, 2,054, 0.62%, 0.00%), (CRM, 367, 0.62%, 0.00%), (SO, 1,009, 0.61%, 0.00%), (ISRG, 178, 0.59%, 0.00%), (AMD, 575, 0.59%, 0.00%), (NKE, 1,226, 0.58%, 0.00%), (HON, 369, 0.57%, 0.00%), (DUK, 711, 0.54%, 0.00%), (ETN, 224, 0.54%, 0.00%), (UBER, 913, 0.53%, 0.00%), (GS, 117, 0.53%, 0.00%), (WFC, 1,024, 0.53%, 0.00%), (INTU, 108, 0.53%, 0.00%), (MET, 1,021, 0.51%, 0.00%), (NOW, 79, 0.49%, 0.00%), (PEP, 508, 0.47%, 0.00%), (DE, 144, 0.46%, 0.00%), (TXN, 323, 0.45%, 0.00%), (ACN, 240, 0.44%, 0.00%), (T, 2,444, 0.43%, 0.00%), (MS, 463, 0.42%, 0.00%), (AXP, 208, 0.42%, 0.00%), (MRK, 793, 0.42%, 0.00%), (SPGI, 118, 0.40%, 0.00%), (ADBE, 169, 0.40%, 0.00%), (QCOM, 394, 0.39%, 0.00%), (UNP, 263, 0.39%, 0.00%), (BLK, 54, 0.39%, 0.00%), (DIS, 488, 0.38%, 0.00%), (VZ, 1,434, 0.38%, 0.00%), (COP, 617, 0.37%, 0.00%), (MDT, 640, 0.37%, 0.00%), (LMT, 120, 0.36%, 0.00%), (AMAT, 292, 0.36%, 0.00%), (SBUX, 593, 0.36%, 0.00%), (C, 582, 0.35%, 0.00%), (SCHW, 558, 0.33%, 0.00%), (TMO, 120, 0.33%, 0.00%), (AMGN, 168, 0.32%, 0.00%), (MMM, 309, 0.31%, 0.00%), (EMR, 323, 0.30%, 0.00%), (PFE, 1,776, 0.28%, 0.00%), (GILD, 391, 0.27%, 0.00%), (CVS, 628, 0.26%, 0.00%), (TJX, 322, 0.25%, 0.00%), (DHR, 201, 0.25%, 0.00%), (MO, 627, 0.23%, 0.00%), (CMCSA, 1,030, 0.23%, 0.00%), (LOW, 162, 0.23%, 0.00%), (ELV, 116, 0.23%, 0.00%), (INTC, 1,528, 0.23%, 0.00%), (MDLZ, 495, 0.22%, 0.00%), (UPS, 317, 0.20%, 0.00%), (BMY, 636, 0.20%, 0.00%), (PYPL, 374, 0.18%, 0.00%), (CL, 275, 0.16%,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</si>
  <si>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3.09%, 0.00%), (META, 5,331, 2.72%, 0.00%), (BRK/B, 6,202, 2.14%, 0.00%), (GOOGL, 14,288, 1.90%, 0.00%), (CSCO, 37,656, 1.87%, 0.00%), (LIN, 5,328, 1.79%, 0.00%), (AMT, 10,808, 1.75%, 0.00%), (JPM, 7,853, 1.65%, 0.00%), (TSLA, 7,133, 1.65%, 0.00%), (GOOG, 11,638, 1.56%, 0.00%), (XOM, 19,009, 1.55%, 0.00%), (V, 5,847, 1.48%, 0.00%), (LLY, 2,239, 1.24%, 0.00%), (CB, 5,965, 1.20%, 0.00%), (MA, 2,773, 1.12%, 0.00%), (WM, 6,682, 1.10%, 0.00%), (GE, 5,562, 1.05%, 0.00%), (ORCL, 5,595, 0.99%, 0.00%), (NFLX, 1,045, 0.96%, 0.00%), (NEE, 17,164, 0.93%, 0.00%), (UNH, 4,163, 0.87%, 0.00%), (PG, 7,197, 0.82%, 0.00%), (COST, 1,162, 0.81%, 0.00%), (JNJ, 6,840, 0.80%, 0.00%), (CVX, 7,228, 0.80%, 0.00%), (WMT, 11,387, 0.79%, 0.00%), (PLTR, 7,136, 0.78%, 0.00%), (CAT, 2,481, 0.75%, 0.00%), (RTX, 6,840, 0.75%, 0.00%), (MCD, 3,401, 0.74%, 0.00%), (ABBV, 5,021, 0.70%, 0.00%), (ABT, 7,847, 0.69%, 0.00%), (PM, 5,219, 0.68%, 0.00%), (HD, 2,573, 0.67%, 0.00%), (KO, 13,014, 0.67%, 0.00%), (IBM, 3,219, 0.66%, 0.00%), (BKNG, 157, 0.65%, 0.00%), (BA, 3,842, 0.64%, 0.00%), (BAC, 18,620, 0.64%, 0.00%), (CRM, 3,328, 0.63%, 0.00%), (SO, 9,145, 0.62%, 0.00%), (ISRG, 1,611, 0.60%, 0.00%), (AMD, 5,214, 0.59%, 0.00%), (NKE, 11,118, 0.59%, 0.00%), (HON, 3,342, 0.58%, 0.00%), (ETN, 2,031, 0.55%, 0.00%), (DUK, 6,448, 0.55%, 0.00%), (UBER, 8,274, 0.55%, 0.00%), (GS, 1,062, 0.54%, 0.00%), (WFC, 9,287, 0.54%, 0.00%), (INTU, 976, 0.53%, 0.00%), (MET, 9,255, 0.52%, 0.00%), (NOW, 717, 0.50%, 0.00%), (PEP, 4,605, 0.48%, 0.00%), (DE, 1,308, 0.48%, 0.00%), (TXN, 2,931, 0.46%, 0.00%), (ACN, 2,175, 0.45%, 0.00%), (T, 22,160, 0.43%, 0.00%), (AXP, 1,883, 0.43%, 0.00%), (MS, 4,197, 0.43%, 0.00%), (MRK, 7,187, 0.43%, 0.00%), (SPGI, 1,074, 0.41%, 0.00%), (ADBE, 1,532, 0.41%, 0.00%), (QCOM, 3,570, 0.40%, 0.00%), (BLK, 493, 0.40%, 0.00%), (UNP, 2,382, 0.39%, 0.00%), (DIS, 4,428, 0.39%, 0.00%), (VZ, 13,001, 0.39%, 0.00%), (COP, 5,595, 0.38%, 0.00%), (MDT, 5,802, 0.38%, 0.00%), (AMAT, 2,649, 0.37%, 0.00%), (LMT, 1,084, 0.37%, 0.00%), (SBUX, 5,379, 0.36%, 0.00%), (C, 5,275, 0.35%, 0.00%), (SCHW, 5,058, 0.34%, 0.00%), (TMO, 1,087, 0.34%, 0.00%), (AMGN, 1,527, 0.33%, 0.00%), (MMM, 2,798, 0.32%, 0.00%), (EMR, 2,930, 0.31%, 0.00%), (PFE, 16,100, 0.29%, 0.00%), (GILD, 3,541, 0.28%, 0.00%), (CVS, 5,693, 0.26%, 0.00%), (TJX, 2,922, 0.26%, 0.00%), (DHR, 1,826, 0.26%, 0.00%), (MO, 5,689, 0.24%, 0.00%), (CMCSA, 9,334, 0.24%, 0.00%), (LOW, 1,470, 0.23%, 0.00%), (ELV, 1,049, 0.23%, 0.00%), (INTC, 13,857, 0.23%, 0.00%), (MDLZ, 4,488, 0.23%,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</si>
  <si>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3.08%, 0.00%), (META, 3,970, 2.71%, 0.00%), (BRK/B, 4,618, 2.13%, 0.00%), (GOOGL, 10,640, 1.89%, 0.00%), (CSCO, 28,043, 1.86%, 0.00%), (LIN, 3,968, 1.78%, 0.00%), (AMT, 8,049, 1.74%, 0.00%), (JPM, 5,848, 1.65%, 0.00%), (TSLA, 5,312, 1.64%, 0.00%), (GOOG, 8,666, 1.55%, 0.00%), (XOM, 14,156, 1.54%, 0.00%), (V, 4,354, 1.48%, 0.00%), (LLY, 1,667, 1.24%, 0.00%), (CB, 4,442, 1.19%, 0.00%), (MA, 2,065, 1.11%, 0.00%), (WM, 4,976, 1.09%, 0.00%), (GE, 4,142, 1.04%, 0.00%), (ORCL, 4,167, 0.99%, 0.00%), (NFLX, 778, 0.95%, 0.00%), (NEE, 12,782, 0.93%, 0.00%), (UNH, 3,101, 0.87%, 0.00%), (PG, 5,360, 0.81%, 0.00%), (COST, 866, 0.80%, 0.00%), (JNJ, 5,094, 0.80%, 0.00%), (CVX, 5,383, 0.79%, 0.00%), (WMT, 8,480, 0.78%, 0.00%), (PLTR, 5,314, 0.78%, 0.00%), (CAT, 1,848, 0.75%, 0.00%), (RTX, 5,094, 0.74%, 0.00%), (MCD, 2,533, 0.74%, 0.00%), (ABBV, 3,739, 0.70%, 0.00%), (ABT, 5,844, 0.69%, 0.00%), (PM, 3,887, 0.68%, 0.00%), (HD, 1,916, 0.67%, 0.00%), (KO, 9,691, 0.66%, 0.00%), (IBM, 2,397, 0.66%, 0.00%), (BKNG, 117, 0.65%, 0.00%), (BA, 2,861, 0.64%, 0.00%), (BAC, 13,866, 0.63%, 0.00%), (CRM, 2,478, 0.63%, 0.00%), (SO, 6,810, 0.62%, 0.00%), (ISRG, 1,200, 0.60%, 0.00%), (AMD, 3,883, 0.59%, 0.00%), (NKE, 8,279, 0.59%, 0.00%), (HON, 2,488, 0.57%, 0.00%), (ETN, 1,512, 0.55%, 0.00%), (DUK, 4,801, 0.55%, 0.00%), (UBER, 6,162, 0.54%, 0.00%), (GS, 791, 0.54%, 0.00%), (WFC, 6,916, 0.54%, 0.00%), (INTU, 727, 0.53%, 0.00%), (MET, 6,892, 0.52%, 0.00%), (NOW, 534, 0.50%, 0.00%), (PEP, 3,430, 0.48%, 0.00%), (DE, 974, 0.47%, 0.00%), (TXN, 2,183, 0.46%, 0.00%), (ACN, 1,620, 0.45%, 0.00%), (T, 16,503, 0.43%, 0.00%), (AXP, 1,402, 0.43%, 0.00%), (MS, 3,126, 0.43%, 0.00%), (MRK, 5,352, 0.42%, 0.00%), (SPGI, 800, 0.41%, 0.00%), (ADBE, 1,141, 0.41%, 0.00%), (QCOM, 2,658, 0.39%, 0.00%), (BLK, 367, 0.39%, 0.00%), (UNP, 1,774, 0.39%, 0.00%), (DIS, 3,298, 0.39%, 0.00%), (VZ, 9,682, 0.39%, 0.00%), (MDT, 4,321, 0.38%, 0.00%), (COP, 4,166, 0.38%, 0.00%), (AMAT, 1,973, 0.37%, 0.00%), (LMT, 807, 0.37%, 0.00%), (SBUX, 4,006, 0.36%, 0.00%), (C, 3,929, 0.35%, 0.00%), (SCHW, 3,767, 0.34%, 0.00%), (TMO, 809, 0.33%, 0.00%), (AMGN, 1,137, 0.33%, 0.00%), (MMM, 2,084, 0.32%, 0.00%), (EMR, 2,182, 0.30%, 0.00%), (PFE, 11,990, 0.29%, 0.00%), (GILD, 2,637, 0.28%, 0.00%), (CVS, 4,240, 0.26%, 0.00%), (TJX, 2,176, 0.26%, 0.00%), (DHR, 1,360, 0.26%, 0.00%), (MO, 4,236, 0.24%, 0.00%), (CMCSA, 6,951, 0.23%, 0.00%), (LOW, 1,094, 0.23%, 0.00%), (ELV, 781, 0.23%, 0.00%), (INTC, 10,320, 0.23%, 0.00%), (MDLZ, 3,343, 0.23%,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</si>
  <si>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2.58%, 0.00%), (BRK/B, 1,736, 2.03%, 0.00%), (GOOGL, 4,000, 1.80%, 0.00%), (CSCO, 10,543, 1.77%, 0.00%), (LIN, 1,492, 1.70%, 0.00%), (AMT, 3,026, 1.66%, 0.00%), (JPM, 2,199, 1.57%, 0.00%), (TSLA, 1,997, 1.56%, 0.00%), (GOOG, 3,258, 1.48%, 0.00%), (XOM, 5,322, 1.46%, 0.00%), (V, 1,637, 1.41%, 0.00%), (LLY, 627, 1.18%, 0.00%), (CB, 1,670, 1.13%, 0.00%), (MA, 777, 1.06%, 0.00%), (WM, 1,871, 1.04%, 0.00%), (GE, 1,557, 0.99%, 0.00%), (ORCL, 1,567, 0.95%, 0.00%), (NFLX, 293, 0.91%, 0.00%), (NEE, 4,806, 0.89%, 0.00%), (UNH, 1,166, 0.83%, 0.00%), (PG, 2,015, 0.77%, 0.00%), (COST, 325, 0.76%, 0.00%), (JNJ, 1,915, 0.76%, 0.00%), (CVX, 2,024, 0.75%, 0.00%), (PLTR, 1,998, 0.75%, 0.00%), (WMT, 3,188, 0.75%, 0.00%), (CAT, 695, 0.71%, 0.00%), (RTX, 1,915, 0.71%, 0.00%), (MCD, 952, 0.70%, 0.00%), (ABBV, 1,406, 0.66%, 0.00%), (ABT, 2,197, 0.65%, 0.00%), (PM, 1,461, 0.64%, 0.00%), (HD, 720, 0.64%, 0.00%), (KO, 3,644, 0.63%, 0.00%), (IBM, 901, 0.63%, 0.00%), (BKNG, 44, 0.62%, 0.00%), (BA, 1,076, 0.61%, 0.00%), (BAC, 5,213, 0.60%, 0.00%), (CRM, 932, 0.60%, 0.00%), (SO, 2,561, 0.59%, 0.00%), (ISRG, 451, 0.57%, 0.00%), (AMD, 1,460, 0.57%, 0.00%), (NKE, 3,113, 0.56%, 0.00%), (HON, 936, 0.55%, 0.00%), (ETN, 569, 0.53%, 0.00%), (DUK, 1,805, 0.52%, 0.00%), (UBER, 2,317, 0.52%, 0.00%), (GS, 297, 0.52%, 0.00%), (WFC, 2,600, 0.51%, 0.00%), (INTU, 273, 0.51%, 0.00%), (MET, 2,591, 0.49%, 0.00%), (NOW, 201, 0.48%, 0.00%), (PEP, 1,289, 0.45%, 0.00%), (DE, 366, 0.45%, 0.00%), (TXN, 821, 0.44%, 0.00%), (ACN, 609, 0.42%, 0.00%), (T, 6,205, 0.41%, 0.00%), (AXP, 527, 0.41%, 0.00%), (MS, 1,175, 0.41%, 0.00%), (MRK, 2,012, 0.40%, 0.00%), (SPGI, 301, 0.39%, 0.00%), (ADBE, 429, 0.39%, 0.00%), (BLK, 138, 0.38%, 0.00%), (QCOM, 999, 0.38%, 0.00%), (UNP, 667, 0.37%, 0.00%), (DIS, 1,240, 0.37%, 0.00%), (VZ, 3,640, 0.37%, 0.00%), (MDT, 1,625, 0.36%, 0.00%), (COP, 1,566, 0.36%, 0.00%), (AMAT, 742, 0.35%, 0.00%), (LMT, 304, 0.35%, 0.00%), (SBUX, 1,506, 0.35%, 0.00%), (C, 1,477, 0.33%, 0.00%), (SCHW, 1,416, 0.32%, 0.00%), (TMO, 304, 0.32%, 0.00%), (AMGN, 428, 0.31%, 0.00%), (MMM, 784, 0.30%, 0.00%), (EMR, 820, 0.29%, 0.00%), (PFE, 4,508, 0.27%, 0.00%), (GILD, 991, 0.27%, 0.00%), (CVS, 1,594, 0.25%, 0.00%), (TJX, 818, 0.25%, 0.00%), (DHR, 511, 0.25%, 0.00%), (MO, 1,593, 0.23%, 0.00%), (CMCSA, 2,613, 0.22%, 0.00%), (LOW, 411, 0.22%, 0.00%), (ELV, 294, 0.22%, 0.00%), (INTC, 3,880, 0.22%, 0.00%), (MDLZ, 1,257, 0.21%, 0.00%), (UPS, 805, 0.20%, 0.00%), (BMY, 1,613, 0.19%, 0.00%), (PYPL, 950, 0.17%, 0.00%), (CL, 699, 0.15%, 0.00%), (FDX, 247, 0.14%, 0.00%), (USB, 1,218, 0.14%, 0.00%), (TGT, 338, 0.09%, 0.00%), (SC28181B, nan, nan%, 0.00%), (SC28183B, nan, nan%, 0.00%), (SP28182B, nan, nan%, 0.00%), (SP28185B, nan, nan%, 0.00%), (SP28184B, nan, nan%, 0.00%), (XP28185B, nan, nan%, 0.00%)</t>
  </si>
  <si>
    <t>(META, 1,833, 2.61%, 0.00%), (BRK/B, 2,133, 2.05%, 0.00%), (GOOGL, 4,913, 1.83%, 0.00%), (CSCO, 12,949, 1.80%, 0.00%), (LIN, 1,832, 1.72%, 0.00%), (AMT, 3,717, 1.68%, 0.00%), (JPM, 2,700, 1.59%, 0.00%), (TSLA, 2,453, 1.58%, 0.00%), (GOOG, 4,002, 1.50%, 0.00%), (XOM, 6,537, 1.48%, 0.00%), (V, 2,011, 1.43%, 0.00%), (LLY, 770, 1.19%, 0.00%), (CB, 2,051, 1.15%, 0.00%), (MA, 954, 1.07%, 0.00%), (WM, 2,298, 1.05%, 0.00%), (GE, 1,913, 1.01%, 0.00%), (ORCL, 1,924, 0.96%, 0.00%), (NFLX, 359, 0.92%, 0.00%), (NEE, 5,902, 0.90%, 0.00%), (UNH, 1,432, 0.84%, 0.00%), (PG, 2,475, 0.78%, 0.00%), (COST, 400, 0.78%, 0.00%), (JNJ, 2,352, 0.77%, 0.00%), (CVX, 2,486, 0.76%, 0.00%), (WMT, 3,916, 0.76%, 0.00%), (PLTR, 2,454, 0.76%, 0.00%), (CAT, 853, 0.72%, 0.00%), (RTX, 2,352, 0.72%, 0.00%), (MCD, 1,169, 0.71%, 0.00%), (ABBV, 1,726, 0.67%, 0.00%), (ABT, 2,698, 0.66%, 0.00%), (PM, 1,795, 0.65%, 0.00%), (HD, 885, 0.65%, 0.00%), (KO, 4,475, 0.64%, 0.00%), (IBM, 1,107, 0.63%, 0.00%), (BKNG, 54, 0.62%, 0.00%), (BA, 1,321, 0.62%, 0.00%), (BAC, 6,403, 0.61%, 0.00%), (CRM, 1,144, 0.60%, 0.00%), (SO, 3,145, 0.60%, 0.00%), (ISRG, 554, 0.58%, 0.00%), (AMD, 1,793, 0.57%, 0.00%), (NKE, 3,823, 0.57%, 0.00%), (HON, 1,149, 0.55%, 0.00%), (ETN, 698, 0.53%, 0.00%), (DUK, 2,217, 0.53%, 0.00%), (UBER, 2,845, 0.52%, 0.00%), (GS, 365, 0.52%, 0.00%), (WFC, 3,194, 0.52%, 0.00%), (INTU, 336, 0.51%, 0.00%), (MET, 3,182, 0.50%, 0.00%), (NOW, 247, 0.48%, 0.00%), (PEP, 1,584, 0.46%, 0.00%), (DE, 450, 0.46%, 0.00%), (TXN, 1,008, 0.44%, 0.00%), (ACN, 748, 0.43%, 0.00%), (T, 7,620, 0.42%, 0.00%), (AXP, 647, 0.41%, 0.00%), (MS, 1,443, 0.41%, 0.00%), (MRK, 2,471, 0.41%, 0.00%), (SPGI, 369, 0.39%, 0.00%), (ADBE, 527, 0.39%, 0.00%), (QCOM, 1,227, 0.38%, 0.00%), (BLK, 169, 0.38%, 0.00%), (UNP, 819, 0.38%, 0.00%), (DIS, 1,523, 0.38%, 0.00%), (VZ, 4,471, 0.37%, 0.00%), (COP, 1,924, 0.36%, 0.00%), (MDT, 1,995, 0.36%, 0.00%), (AMAT, 911, 0.36%, 0.00%), (LMT, 373, 0.36%, 0.00%), (SBUX, 1,850, 0.35%, 0.00%), (C, 1,814, 0.34%, 0.00%), (SCHW, 1,739, 0.33%, 0.00%), (TMO, 374, 0.32%, 0.00%), (AMGN, 525, 0.32%, 0.00%), (MMM, 962, 0.31%, 0.00%), (EMR, 1,008, 0.29%, 0.00%), (PFE, 5,537, 0.28%, 0.00%), (GILD, 1,218, 0.27%, 0.00%), (CVS, 1,958, 0.25%, 0.00%), (TJX, 1,005, 0.25%, 0.00%), (DHR, 628, 0.25%, 0.00%), (MO, 1,956, 0.23%, 0.00%), (CMCSA, 3,210, 0.23%, 0.00%), (LOW, 505, 0.22%, 0.00%), (ELV, 361, 0.22%, 0.00%), (INTC, 4,765, 0.22%, 0.00%), (MDLZ, 1,543, 0.22%,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</si>
  <si>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3.09%, 0.00%), (META, 3,052, 2.71%, 0.00%), (BRK/B, 3,551, 2.13%, 0.00%), (GOOGL, 8,180, 1.89%, 0.00%), (CSCO, 21,559, 1.86%, 0.00%), (LIN, 3,050, 1.78%, 0.00%), (AMT, 6,188, 1.74%, 0.00%), (JPM, 4,496, 1.65%, 0.00%), (TSLA, 4,084, 1.64%, 0.00%), (GOOG, 6,663, 1.55%, 0.00%), (XOM, 10,883, 1.54%, 0.00%), (V, 3,348, 1.48%, 0.00%), (LLY, 1,282, 1.24%, 0.00%), (CB, 3,415, 1.19%, 0.00%), (MA, 1,588, 1.11%, 0.00%), (WM, 3,825, 1.09%, 0.00%), (GE, 3,184, 1.04%, 0.00%), (ORCL, 3,203, 0.99%, 0.00%), (NFLX, 598, 0.96%, 0.00%), (NEE, 9,827, 0.93%, 0.00%), (UNH, 2,384, 0.87%, 0.00%), (PG, 4,121, 0.81%, 0.00%), (COST, 665, 0.80%, 0.00%), (JNJ, 3,916, 0.80%, 0.00%), (CVX, 4,138, 0.79%, 0.00%), (WMT, 6,519, 0.78%, 0.00%), (PLTR, 4,086, 0.78%, 0.00%), (CAT, 1,421, 0.75%, 0.00%), (RTX, 3,916, 0.75%, 0.00%), (MCD, 1,947, 0.74%, 0.00%), (ABBV, 2,874, 0.70%, 0.00%), (ABT, 4,493, 0.69%, 0.00%), (PM, 2,988, 0.68%, 0.00%), (HD, 1,473, 0.67%, 0.00%), (KO, 7,451, 0.66%, 0.00%), (IBM, 1,843, 0.66%, 0.00%), (BKNG, 90, 0.65%, 0.00%), (BA, 2,200, 0.64%, 0.00%), (BAC, 10,661, 0.63%, 0.00%), (CRM, 1,905, 0.63%, 0.00%), (SO, 5,236, 0.62%, 0.00%), (ISRG, 923, 0.60%, 0.00%), (AMD, 2,985, 0.59%, 0.00%), (NKE, 6,365, 0.59%, 0.00%), (HON, 1,913, 0.58%, 0.00%), (ETN, 1,163, 0.55%, 0.00%), (DUK, 3,691, 0.55%, 0.00%), (UBER, 4,737, 0.54%, 0.00%), (GS, 608, 0.54%, 0.00%), (WFC, 5,317, 0.54%, 0.00%), (INTU, 559, 0.53%, 0.00%), (MET, 5,299, 0.52%, 0.00%), (NOW, 411, 0.50%, 0.00%), (PEP, 2,637, 0.48%, 0.00%), (DE, 749, 0.47%, 0.00%), (TXN, 1,678, 0.46%, 0.00%), (ACN, 1,245, 0.44%, 0.00%), (T, 12,687, 0.43%, 0.00%), (AXP, 1,078, 0.43%, 0.00%), (MS, 2,403, 0.43%, 0.00%), (MRK, 4,115, 0.42%, 0.00%), (SPGI, 615, 0.41%, 0.00%), (ADBE, 877, 0.41%, 0.00%), (QCOM, 2,044, 0.39%, 0.00%), (BLK, 282, 0.39%, 0.00%), (UNP, 1,364, 0.39%, 0.00%), (DIS, 2,535, 0.39%, 0.00%), (VZ, 7,444, 0.39%, 0.00%), (MDT, 3,322, 0.38%, 0.00%), (COP, 3,203, 0.38%, 0.00%), (AMAT, 1,517, 0.37%, 0.00%), (LMT, 621, 0.37%, 0.00%), (SBUX, 3,080, 0.36%, 0.00%), (C, 3,020, 0.35%, 0.00%), (SCHW, 2,896, 0.34%, 0.00%), (TMO, 622, 0.33%, 0.00%), (AMGN, 874, 0.33%, 0.00%), (MMM, 1,602, 0.32%, 0.00%), (EMR, 1,678, 0.30%, 0.00%), (PFE, 9,218, 0.29%, 0.00%), (GILD, 2,027, 0.28%, 0.00%), (CVS, 3,260, 0.26%, 0.00%), (TJX, 1,673, 0.26%, 0.00%), (DHR, 1,046, 0.26%, 0.00%), (MO, 3,257, 0.24%, 0.00%), (CMCSA, 5,344, 0.23%, 0.00%), (LOW, 841, 0.23%, 0.00%), (ELV, 601, 0.23%, 0.00%), (INTC, 7,934, 0.23%, 0.00%), (MDLZ, 2,570, 0.23%,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</si>
  <si>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BK, EBAY, MSFT, META, BKNG, JPM, EWBC, BLK, UNM, AMAT, RJF, GOOGL</t>
  </si>
  <si>
    <t>(MLI, 12,446, 1.90%, 0.01%), (V, 2,973, 1.88%, 0.00%), (AXP, 3,354, 1.87%, 0.00%), (TRV, 3,783, 1.82%, 0.00%), (SNA, 2,964, 1.80%, 0.01%), (EA, 6,630, 1.80%, 0.00%), (KLAC, 1,052, 1.77%, 0.00%), (HIG, 7,961, 1.77%, 0.00%), (ADP, 3,176, 1.73%, 0.00%), (NVDA, 5,555, 1.73%, 0.00%), (CB, 3,354, 1.66%, 0.00%), (PHM, 8,436, 1.66%, 0.00%), (CTSH, 12,016, 1.64%, 0.00%), (CRM, 3,406, 1.62%, 0.00%), (PCAR, 9,402, 1.59%, 0.00%), (SYF, 12,415, 1.57%, 0.00%), (ROST, 6,624, 1.56%, 0.00%), (PAYC, 3,637, 1.51%, 0.01%), (ACN, 2,833, 1.45%, 0.00%), (LEN, 7,018, 1.39%, 0.00%), (QCOM, 4,796, 1.34%, 0.00%), (WSM, 4,204, 1.29%, 0.00%), (BKR, 17,683, 1.27%, 0.00%), (AFL, 6,568, 1.21%, 0.00%), (ODFL, 4,074, 1.19%, 0.00%), (AAPL, 3,096, 1.18%, 0.00%), (ELV, 2,277, 1.14%, 0.00%), (LRCX, 6,125, 1.11%, 0.00%), (DHI, 4,664, 1.11%, 0.00%), (CSCO, 8,896, 1.09%, 0.00%), (GE, 2,147, 1.02%, 0.00%), (MPWR, 759, 1.00%, 0.00%), (STT, 4,930, 0.97%, 0.00%), (AMP, 960, 0.95%, 0.00%), (CF, 5,635, 0.94%, 0.00%), (PNC, 2,640, 0.94%, 0.00%), (MTB, 2,624, 0.93%, 0.00%), (COST, 493, 0.85%, 0.00%), (CSL, 1,106, 0.82%, 0.00%), (XOM, 4,128, 0.80%, 0.00%), (ABT, 3,549, 0.79%, 0.00%), (EOG, 3,713, 0.79%, 0.00%), (EG, 1,249, 0.75%, 0.00%), (NTRS, 2,289, 0.53%, 0.00%), (GEV, 503, 0.52%, 0.00%), (CRBG, 7,863, 0.50%, 0.00%), (MA, 477, 0.48%, 0.00%), (DOV, 1,338, 0.46%, 0.00%), (JNJ, 1,532, 0.45%, 0.00%), (WTFC, 1,844, 0.45%, 0.00%), (ACM, 2,165, 0.44%, 0.00%), (SLM, 7,348, 0.44%, 0.00%), (CINF, 1,592, 0.43%, 0.00%), (MCK, 331, 0.42%, 0.00%), (EQH, 4,437, 0.42%, 0.00%), (MTG, 8,993, 0.41%, 0.00%), (JXN, 2,583, 0.41%, 0.00%), (ALL, 1,133, 0.40%, 0.00%), (LNC, 6,259, 0.39%, 0.00%), (NUE, 1,530, 0.39%, 0.00%), (ADM, 3,811, 0.37%, 0.00%), (PGR, 835, 0.37%, 0.00%), (NKE, 2,790,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</si>
  <si>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3,981, 3.21%, 0.00%), (META, 1,414, 2.85%, 0.00%), (BRK/B, 1,645, 2.23%, 0.00%), (GOOGL, 3,790, 2.00%, 0.00%), (CSCO, 9,990, 1.95%, 0.00%), (LIN, 1,413, 1.88%, 0.00%), (AMT, 2,867, 1.84%, 0.00%), (TSLA, 1,892, 1.76%, 0.00%), (JPM, 2,083, 1.73%, 0.00%), (GOOG, 3,087, 1.64%, 0.00%), (XOM, 5,043, 1.56%, 0.00%), (V, 1,551, 1.55%, 0.00%), (LLY, 594, 1.31%, 0.00%), (CB, 1,582, 1.24%, 0.00%), (MA, 736, 1.16%, 0.00%), (WM, 1,773, 1.16%, 0.00%), (GE, 1,475, 1.10%, 0.00%), (ORCL, 1,484, 1.03%, 0.00%), (NEE, 4,553, 0.99%, 0.00%), (NFLX, 277, 0.96%, 0.00%), (UNH, 1,105, 0.90%, 0.00%), (PG, 1,909, 0.85%, 0.00%), (JNJ, 1,815, 0.84%, 0.00%), (COST, 308, 0.84%, 0.00%), (CVX, 1,918, 0.82%, 0.00%), (WMT, 3,021, 0.82%, 0.00%), (PLTR, 1,893, 0.82%, 0.00%), (RTX, 1,815, 0.78%, 0.00%), (CAT, 658, 0.78%, 0.00%), (MCD, 902, 0.77%, 0.00%), (ABT, 2,082, 0.74%, 0.00%), (ABBV, 1,332, 0.72%, 0.00%), (PM, 1,385, 0.71%, 0.00%), (HD, 683, 0.70%, 0.00%), (IBM, 854, 0.70%, 0.00%), (KO, 3,452, 0.69%, 0.00%), (BKNG, 42, 0.69%, 0.00%), (BAC, 4,940, 0.67%, 0.00%), (BA, 1,019, 0.67%, 0.00%), (CRM, 883, 0.66%, 0.00%), (SO, 2,426, 0.65%, 0.00%), (ISRG, 427, 0.63%, 0.00%), (NKE, 2,949, 0.61%, 0.00%), (AMD, 1,383, 0.61%, 0.00%), (HON, 886, 0.60%, 0.00%), (DUK, 1,710, 0.58%, 0.00%), (ETN, 539, 0.58%, 0.00%), (GS, 282, 0.57%, 0.00%), (UBER, 2,195, 0.57%, 0.00%), (WFC, 2,464, 0.57%, 0.00%), (INTU, 259, 0.56%, 0.00%), (MET, 2,455, 0.54%, 0.00%), (NOW, 190, 0.52%, 0.00%), (DE, 347, 0.50%, 0.00%), (PEP, 1,222, 0.49%, 0.00%), (TXN, 778, 0.48%, 0.00%), (ACN, 577, 0.47%, 0.00%), (T, 5,879, 0.45%, 0.00%), (MS, 1,113, 0.45%, 0.00%), (AXP, 500, 0.44%, 0.00%), (MRK, 1,907, 0.44%, 0.00%), (SPGI, 285, 0.43%, 0.00%), (ADBE, 407, 0.43%, 0.00%), (QCOM, 947, 0.42%, 0.00%), (BLK, 131, 0.41%, 0.00%), (DIS, 1,175, 0.41%, 0.00%), (UNP, 632, 0.41%, 0.00%), (VZ, 3,449, 0.40%, 0.00%), (MDT, 1,539, 0.40%, 0.00%), (COP, 1,484, 0.39%, 0.00%), (AMAT, 703, 0.38%, 0.00%), (SBUX, 1,427, 0.38%, 0.00%), (LMT, 288, 0.38%, 0.00%), (C, 1,400, 0.37%, 0.00%), (SCHW, 1,342, 0.36%, 0.00%), (TMO, 288, 0.34%, 0.00%), (AMGN, 405, 0.34%, 0.00%), (MMM, 742, 0.33%, 0.00%), (EMR, 777, 0.32%, 0.00%), (PFE, 4,271, 0.30%, 0.00%), (GILD, 939, 0.29%, 0.00%), (TJX, 775, 0.27%, 0.00%), (CVS, 1,510, 0.27%, 0.00%), (DHR, 484, 0.26%, 0.00%), (MO, 1,509, 0.25%, 0.00%), (CMCSA, 2,476, 0.25%, 0.00%), (LOW, 390, 0.24%, 0.00%), (INTC, 3,676, 0.24%, 0.00%), (MDLZ, 1,191, 0.24%, 0.00%), (ELV, 278, 0.22%, 0.00%), (UPS, 762, 0.22%, 0.00%), (BMY, 1,529, 0.21%, 0.00%), (PYPL, 900, 0.19%, 0.00%), (CL, 662, 0.16%, 0.00%), (FDX, 234, 0.15%, 0.00%), (USB, 1,154, 0.15%, 0.00%), (TGT, 321, 0.10%, 0.00%), (SC31761B, nan, nan%, 0.00%), (SC31763B, nan, nan%, 0.00%), (SP31762B, nan, nan%, 0.00%), (SP31765B, nan, nan%, 0.00%), (SP31764B, nan, nan%, 0.00%), (XP31765B, nan, nan%, 0.00%)</t>
  </si>
  <si>
    <t>(AVGO, 2,620, 3.09%, 0.00%), (META, 931, 2.75%, 0.00%), (BRK/B, 1,083, 2.15%, 0.00%), (GOOGL, 2,494, 1.92%, 0.00%), (CSCO, 6,573, 1.88%, 0.00%), (LIN, 930, 1.81%, 0.00%), (AMT, 1,887, 1.77%, 0.00%), (TSLA, 1,245, 1.70%, 0.00%), (JPM, 1,371, 1.67%, 0.00%), (GOOG, 2,032, 1.58%, 0.00%), (XOM, 3,318, 1.50%, 0.00%), (V, 1,021, 1.49%, 0.00%), (LLY, 391, 1.27%, 0.00%), (CB, 1,041, 1.20%, 0.00%), (MA, 484, 1.12%, 0.00%), (WM, 1,166, 1.11%, 0.00%), (GE, 971, 1.06%, 0.00%), (ORCL, 977, 0.99%, 0.00%), (NEE, 2,996, 0.95%, 0.00%), (NFLX, 182, 0.92%, 0.00%), (UNH, 727, 0.86%, 0.00%), (PG, 1,256, 0.82%, 0.00%), (JNJ, 1,194, 0.81%, 0.00%), (COST, 203, 0.81%, 0.00%), (CVX, 1,262, 0.79%, 0.00%), (WMT, 1,988, 0.79%, 0.00%), (PLTR, 1,246, 0.79%, 0.00%), (RTX, 1,194, 0.75%, 0.00%), (CAT, 433, 0.75%, 0.00%), (MCD, 594, 0.74%, 0.00%), (ABT, 1,370, 0.71%, 0.00%), (ABBV, 876, 0.70%, 0.00%), (PM, 911, 0.68%, 0.00%), (HD, 449, 0.68%, 0.00%), (IBM, 562, 0.67%, 0.00%), (KO, 2,272, 0.67%, 0.00%), (BKNG, 27, 0.65%, 0.00%), (BA, 671, 0.64%, 0.00%), (BAC, 3,250, 0.64%, 0.00%), (CRM, 581, 0.64%, 0.00%), (SO, 1,596, 0.63%, 0.00%), (ISRG, 281, 0.61%, 0.00%), (AMD, 910, 0.59%, 0.00%), (NKE, 1,941, 0.59%, 0.00%), (HON, 583, 0.58%, 0.00%), (DUK, 1,126, 0.56%, 0.00%), (ETN, 355, 0.56%, 0.00%), (UBER, 1,444, 0.55%, 0.00%), (WFC, 1,621, 0.55%, 0.00%), (GS, 185, 0.55%, 0.00%), (INTU, 170, 0.54%, 0.00%), (MET, 1,616, 0.52%, 0.00%), (NOW, 125, 0.51%, 0.00%), (DE, 228, 0.48%, 0.00%), (PEP, 804, 0.48%, 0.00%), (TXN, 512, 0.47%, 0.00%), (ACN, 380, 0.45%, 0.00%), (T, 3,868, 0.44%, 0.00%), (MS, 733, 0.43%, 0.00%), (AXP, 329, 0.43%, 0.00%), (MRK, 1,255, 0.42%, 0.00%), (SPGI, 188, 0.41%, 0.00%), (ADBE, 268, 0.41%, 0.00%), (QCOM, 623, 0.40%, 0.00%), (BLK, 86, 0.40%, 0.00%), (DIS, 773, 0.39%, 0.00%), (UNP, 416, 0.39%, 0.00%), (VZ, 2,270, 0.39%, 0.00%), (MDT, 1,013, 0.38%, 0.00%), (COP, 977, 0.38%, 0.00%), (SBUX, 939, 0.37%, 0.00%), (AMAT, 462, 0.37%, 0.00%), (LMT, 189, 0.37%, 0.00%), (C, 921, 0.35%, 0.00%), (SCHW, 883, 0.35%, 0.00%), (TMO, 190, 0.33%, 0.00%), (AMGN, 267, 0.33%, 0.00%), (MMM, 489, 0.31%, 0.00%), (EMR, 512, 0.31%, 0.00%), (PFE, 2,811, 0.29%, 0.00%), (GILD, 618, 0.28%, 0.00%), (TJX, 510, 0.26%, 0.00%), (CVS, 994, 0.26%, 0.00%), (DHR, 319, 0.25%, 0.00%), (MO, 993, 0.24%, 0.00%), (LOW, 257, 0.24%, 0.00%), (CMCSA, 1,629, 0.24%, 0.00%), (INTC, 2,419, 0.23%, 0.00%), (MDLZ, 784, 0.23%, 0.00%), (ELV, 183, 0.21%, 0.00%), (UPS, 502, 0.21%, 0.00%), (BMY, 1,006, 0.20%, 0.00%), (PYPL, 592, 0.18%, 0.00%), (CL, 436, 0.16%, 0.00%), (FDX, 154, 0.15%, 0.00%), (USB, 760, 0.15%, 0.00%), (TGT, 211, 0.09%, 0.00%), (SC9061B, nan, nan%, 0.00%), (SC9063B, nan, nan%, 0.00%), (SP9062B, nan, nan%, 0.00%), (SP9065B, nan, nan%, 0.00%), (SP9064B, nan, nan%, 0.00%), (XP9065B, nan, nan%, 0.00%)</t>
  </si>
  <si>
    <t>(AVGO, 1,655, 3.01%, 0.00%), (META, 588, 2.68%, 0.00%), (BRK/B, 684, 2.10%, 0.00%), (GOOGL, 1,576, 1.87%, 0.00%), (CSCO, 4,154, 1.83%, 0.00%), (LIN, 588, 1.77%, 0.00%), (AMT, 1,192, 1.72%, 0.00%), (TSLA, 787, 1.66%, 0.00%), (JPM, 866, 1.63%, 0.00%), (GOOG, 1,284, 1.54%, 0.00%), (XOM, 2,097, 1.46%, 0.00%), (V, 645, 1.45%, 0.00%), (LLY, 247, 1.23%, 0.00%), (CB, 658, 1.17%, 0.00%), (MA, 306, 1.09%, 0.00%), (WM, 737, 1.08%, 0.00%), (GE, 613, 1.04%, 0.00%), (ORCL, 617, 0.97%, 0.00%), (NEE, 1,893, 0.92%, 0.00%), (NFLX, 115, 0.90%, 0.00%), (UNH, 459, 0.84%, 0.00%), (PG, 794, 0.80%, 0.00%), (JNJ, 754, 0.79%, 0.00%), (COST, 128, 0.79%, 0.00%), (CVX, 797, 0.77%, 0.00%), (WMT, 1,256, 0.77%, 0.00%), (PLTR, 787, 0.77%, 0.00%), (RTX, 754, 0.73%, 0.00%), (CAT, 274, 0.73%, 0.00%), (MCD, 375, 0.72%, 0.00%), (ABT, 866, 0.69%, 0.00%), (ABBV, 554, 0.68%, 0.00%), (PM, 576, 0.67%, 0.00%), (HD, 284, 0.66%, 0.00%), (IBM, 355, 0.66%, 0.00%), (KO, 1,435, 0.65%, 0.00%), (BA, 424, 0.63%, 0.00%), (BAC, 2,054, 0.63%, 0.00%), (BKNG, 17, 0.63%, 0.00%), (CRM, 367, 0.62%, 0.00%), (SO, 1,009, 0.61%, 0.00%), (ISRG, 178, 0.60%, 0.00%), (AMD, 575, 0.58%, 0.00%), (NKE, 1,226, 0.57%, 0.00%), (HON, 369, 0.56%, 0.00%), (DUK, 711, 0.54%, 0.00%), (ETN, 224, 0.54%, 0.00%), (GS, 117, 0.54%, 0.00%), (UBER, 913, 0.53%, 0.00%), (WFC, 1,024, 0.53%, 0.00%), (INTU, 108, 0.53%, 0.00%), (MET, 1,021, 0.51%, 0.00%), (NOW, 79, 0.49%, 0.00%), (DE, 144, 0.47%, 0.00%), (PEP, 508, 0.47%, 0.00%), (TXN, 323, 0.45%, 0.00%), (ACN, 240, 0.44%, 0.00%), (T, 2,444, 0.43%, 0.00%), (MS, 463, 0.42%, 0.00%), (AXP, 208, 0.41%, 0.00%), (MRK, 793, 0.41%, 0.00%), (SPGI, 118, 0.40%, 0.00%), (ADBE, 169, 0.40%, 0.00%), (QCOM, 394, 0.39%, 0.00%), (BLK, 54, 0.39%, 0.00%), (DIS, 488, 0.38%, 0.00%), (UNP, 263, 0.38%, 0.00%), (VZ, 1,434, 0.38%, 0.00%), (MDT, 640, 0.37%, 0.00%), (COP, 617, 0.37%, 0.00%), (LMT, 120, 0.36%, 0.00%), (SBUX, 593, 0.36%, 0.00%), (AMAT, 292, 0.36%, 0.00%), (C, 582, 0.35%, 0.00%), (SCHW, 558, 0.34%, 0.00%), (TMO, 120, 0.32%, 0.00%), (AMGN, 168, 0.32%, 0.00%), (MMM, 309, 0.31%, 0.00%), (EMR, 323, 0.30%, 0.00%), (PFE, 1,776, 0.28%, 0.00%), (GILD, 391, 0.27%, 0.00%), (TJX, 322, 0.25%, 0.00%), (CVS, 628, 0.25%, 0.00%), (DHR, 201, 0.25%, 0.00%), (MO, 627, 0.24%, 0.00%), (CMCSA, 1,030, 0.23%, 0.00%), (LOW, 162, 0.23%, 0.00%), (INTC, 1,528, 0.23%, 0.00%), (MDLZ, 495, 0.22%, 0.00%), (ELV, 116, 0.21%, 0.00%), (UPS, 317, 0.20%, 0.00%), (BMY, 636, 0.19%, 0.00%), (PYPL, 374, 0.18%, 0.00%), (CL, 275, 0.15%, 0.00%), (FDX, 97, 0.14%, 0.00%), (USB, 480, 0.14%, 0.00%), (TGT, 133, 0.09%, 0.00%), (SC8071B, nan, nan%, 0.00%), (SC8073B, nan, nan%, 0.00%), (SP8072B, nan, nan%, 0.00%), (SP8075B, nan, nan%, 0.00%), (SP8074B, nan, nan%, 0.00%), (XP8075B, nan, nan%, 0.00%)</t>
  </si>
  <si>
    <t>(AVGO, 15,006, 3.07%, 0.00%), (META, 5,331, 2.73%, 0.00%), (BRK/B, 6,202, 2.14%, 0.00%), (GOOGL, 14,288, 1.91%, 0.00%), (CSCO, 37,656, 1.87%, 0.00%), (LIN, 5,328, 1.80%, 0.00%), (AMT, 10,808, 1.76%, 0.00%), (TSLA, 7,133, 1.69%, 0.00%), (JPM, 7,853, 1.66%, 0.00%), (GOOG, 11,638, 1.57%, 0.00%), (XOM, 19,009, 1.49%, 0.00%), (V, 5,847, 1.48%, 0.00%), (LLY, 2,239, 1.26%, 0.00%), (CB, 5,965, 1.19%, 0.00%), (MA, 2,773, 1.11%, 0.00%), (WM, 6,682, 1.11%, 0.00%), (GE, 5,562, 1.06%, 0.00%), (ORCL, 5,595, 0.98%, 0.00%), (NEE, 17,164, 0.94%, 0.00%), (NFLX, 1,045, 0.92%, 0.00%), (UNH, 4,163, 0.86%, 0.00%), (PG, 7,197, 0.81%, 0.00%), (JNJ, 6,840, 0.81%, 0.00%), (COST, 1,162, 0.80%, 0.00%), (CVX, 7,228, 0.79%, 0.00%), (WMT, 11,387, 0.79%, 0.00%), (PLTR, 7,136, 0.78%, 0.00%), (RTX, 6,840, 0.75%, 0.00%), (CAT, 2,481, 0.74%, 0.00%), (MCD, 3,401, 0.74%, 0.00%), (ABT, 7,847, 0.71%, 0.00%), (ABBV, 5,021, 0.69%, 0.00%), (PM, 5,219, 0.68%, 0.00%), (HD, 2,573, 0.67%, 0.00%), (IBM, 3,219, 0.67%, 0.00%), (KO, 13,014, 0.66%, 0.00%), (BKNG, 157, 0.65%, 0.00%), (BAC, 18,620, 0.64%, 0.00%), (BA, 3,842, 0.64%, 0.00%), (CRM, 3,328, 0.63%, 0.00%), (SO, 9,145, 0.62%, 0.00%), (ISRG, 1,611, 0.61%, 0.00%), (NKE, 11,118, 0.59%, 0.00%), (AMD, 5,214, 0.58%, 0.00%), (HON, 3,342, 0.57%, 0.00%), (DUK, 6,448, 0.56%, 0.00%), (ETN, 2,031, 0.55%, 0.00%), (GS, 1,062, 0.55%, 0.00%), (UBER, 8,274, 0.55%, 0.00%), (WFC, 9,287, 0.55%, 0.00%), (INTU, 976, 0.53%, 0.00%), (MET, 9,255, 0.52%, 0.00%), (NOW, 717, 0.50%, 0.00%), (DE, 1,308, 0.48%, 0.00%), (PEP, 4,605, 0.47%, 0.00%), (TXN, 2,931, 0.46%, 0.00%), (ACN, 2,175, 0.45%, 0.00%), (T, 22,160, 0.43%, 0.00%), (MS, 4,197, 0.43%, 0.00%), (AXP, 1,883, 0.42%, 0.00%), (MRK, 7,187, 0.42%, 0.00%), (SPGI, 1,074, 0.41%, 0.00%), (ADBE, 1,532, 0.41%, 0.00%), (QCOM, 3,570, 0.40%, 0.00%), (BLK, 493, 0.40%, 0.00%), (DIS, 4,428, 0.39%, 0.00%), (UNP, 2,382, 0.39%, 0.00%), (VZ, 13,001, 0.39%, 0.00%), (MDT, 5,802, 0.38%, 0.00%), (COP, 5,595, 0.37%, 0.00%), (SBUX, 5,379, 0.37%, 0.00%), (AMAT, 2,649, 0.37%, 0.00%), (LMT, 1,084, 0.37%, 0.00%), (C, 5,275, 0.35%, 0.00%), (SCHW, 5,058, 0.35%, 0.00%), (TMO, 1,087, 0.33%, 0.00%), (AMGN, 1,527, 0.33%, 0.00%), (MMM, 2,798, 0.31%, 0.00%), (EMR, 2,930, 0.31%, 0.00%), (PFE, 16,100, 0.29%, 0.00%), (GILD, 3,541, 0.28%, 0.00%), (TJX, 2,922, 0.26%, 0.00%), (CVS, 5,693, 0.26%, 0.00%), (DHR, 1,826, 0.25%, 0.00%), (MO, 5,689, 0.24%, 0.00%), (CMCSA, 9,334, 0.23%, 0.00%), (LOW, 1,470, 0.23%, 0.00%), (INTC, 13,857, 0.23%, 0.00%), (MDLZ, 4,488, 0.23%, 0.00%), (ELV, 1,049, 0.21%, 0.00%), (UPS, 2,874, 0.21%, 0.00%), (BMY, 5,762, 0.20%, 0.00%), (PYPL, 3,392, 0.18%, 0.00%), (CL, 2,497, 0.16%, 0.00%), (FDX, 883, 0.15%, 0.00%), (USB, 4,351, 0.14%, 0.00%), (TGT, 1,208, 0.09%, 0.00%), (SC23471B, nan, nan%, 0.00%), (SC23473B, nan, nan%, 0.00%), (SP23472B, nan, nan%, 0.00%), (SP23475B, nan, nan%, 0.00%), (SP23474B, nan, nan%, 0.00%), (XP23475B, nan, nan%, 0.00%)</t>
  </si>
  <si>
    <t>(AVGO, 11,175, 3.06%, 0.00%), (META, 3,970, 2.72%, 0.00%), (BRK/B, 4,618, 2.13%, 0.00%), (GOOGL, 10,640, 1.90%, 0.00%), (CSCO, 28,043, 1.86%, 0.00%), (LIN, 3,968, 1.80%, 0.00%), (AMT, 8,049, 1.75%, 0.00%), (TSLA, 5,312, 1.68%, 0.00%), (JPM, 5,848, 1.65%, 0.00%), (GOOG, 8,666, 1.56%, 0.00%), (XOM, 14,156, 1.49%, 0.00%), (V, 4,354, 1.48%, 0.00%), (LLY, 1,667, 1.25%, 0.00%), (CB, 4,442, 1.19%, 0.00%), (MA, 2,065, 1.11%, 0.00%), (WM, 4,976, 1.10%, 0.00%), (GE, 4,142, 1.05%, 0.00%), (ORCL, 4,167, 0.98%, 0.00%), (NEE, 12,782, 0.94%, 0.00%), (NFLX, 778, 0.92%, 0.00%), (UNH, 3,101, 0.85%, 0.00%), (PG, 5,360, 0.81%, 0.00%), (JNJ, 5,094, 0.80%, 0.00%), (COST, 866, 0.80%, 0.00%), (CVX, 5,383, 0.79%, 0.00%), (WMT, 8,480, 0.78%, 0.00%), (PLTR, 5,314, 0.78%, 0.00%), (RTX, 5,094, 0.75%, 0.00%), (CAT, 1,848, 0.74%, 0.00%), (MCD, 2,533, 0.73%, 0.00%), (ABT, 5,844, 0.70%, 0.00%), (ABBV, 3,739, 0.69%, 0.00%), (PM, 3,887, 0.68%, 0.00%), (HD, 1,916, 0.67%, 0.00%), (IBM, 2,397, 0.67%, 0.00%), (KO, 9,691, 0.66%, 0.00%), (BKNG, 117, 0.65%, 0.00%), (BAC, 13,866, 0.64%, 0.00%), (BA, 2,861, 0.64%, 0.00%), (CRM, 2,478, 0.63%, 0.00%), (SO, 6,810, 0.62%, 0.00%), (ISRG, 1,200, 0.60%, 0.00%), (NKE, 8,279, 0.58%, 0.00%), (AMD, 3,883, 0.58%, 0.00%), (HON, 2,488, 0.57%, 0.00%), (DUK, 4,801, 0.55%, 0.00%), (ETN, 1,512, 0.55%, 0.00%), (GS, 791, 0.54%, 0.00%), (UBER, 6,162, 0.54%, 0.00%), (WFC, 6,916, 0.54%, 0.00%), (INTU, 727, 0.53%, 0.00%), (MET, 6,892, 0.52%, 0.00%), (NOW, 534, 0.50%, 0.00%), (DE, 974, 0.47%, 0.00%), (PEP, 3,430, 0.47%, 0.00%), (TXN, 2,183, 0.46%, 0.00%), (ACN, 1,620, 0.45%, 0.00%), (T, 16,503, 0.43%, 0.00%), (MS, 3,126, 0.43%, 0.00%), (AXP, 1,402, 0.42%, 0.00%), (MRK, 5,352, 0.42%, 0.00%), (SPGI, 800, 0.41%, 0.00%), (ADBE, 1,141, 0.41%, 0.00%), (QCOM, 2,658, 0.40%, 0.00%), (BLK, 367, 0.39%, 0.00%), (DIS, 3,298, 0.39%, 0.00%), (UNP, 1,774, 0.39%, 0.00%), (VZ, 9,682, 0.38%, 0.00%), (MDT, 4,321, 0.38%, 0.00%), (COP, 4,166, 0.37%, 0.00%), (SBUX, 4,006, 0.37%, 0.00%), (AMAT, 1,973, 0.37%, 0.00%), (LMT, 807, 0.36%, 0.00%), (C, 3,929, 0.35%, 0.00%), (SCHW, 3,767, 0.35%, 0.00%), (TMO, 809, 0.33%, 0.00%), (AMGN, 1,137, 0.33%, 0.00%), (MMM, 2,084, 0.31%, 0.00%), (EMR, 2,182, 0.30%, 0.00%), (PFE, 11,990, 0.29%, 0.00%), (GILD, 2,637, 0.28%, 0.00%), (TJX, 2,176, 0.26%, 0.00%), (CVS, 4,240, 0.26%, 0.00%), (DHR, 1,360, 0.25%, 0.00%), (MO, 4,236, 0.24%, 0.00%), (CMCSA, 6,951, 0.23%, 0.00%), (LOW, 1,094, 0.23%, 0.00%), (INTC, 10,320, 0.23%, 0.00%), (MDLZ, 3,343, 0.23%, 0.00%), (ELV, 781, 0.21%, 0.00%), (UPS, 2,140, 0.21%, 0.00%), (BMY, 4,291, 0.20%, 0.00%), (PYPL, 2,526, 0.18%, 0.00%), (CL, 1,859, 0.16%, 0.00%), (FDX, 658, 0.15%, 0.00%), (USB, 3,241, 0.14%, 0.00%), (TGT, 900, 0.09%, 0.00%), (SC22171B, nan, nan%, 0.00%), (SC22173B, nan, nan%, 0.00%), (SP22172B, nan, nan%, 0.00%), (SP22175B, nan, nan%, 0.00%), (SP22174B, nan, nan%, 0.00%), (XP22175B, nan, nan%, 0.00%)</t>
  </si>
  <si>
    <t>(META, 1,493, 2.59%, 0.00%), (BRK/B, 1,736, 2.03%, 0.00%), (GOOGL, 4,000, 1.81%, 0.00%), (CSCO, 10,543, 1.77%, 0.00%), (LIN, 1,492, 1.71%, 0.00%), (AMT, 3,026, 1.67%, 0.00%), (TSLA, 1,997, 1.61%, 0.00%), (JPM, 2,199, 1.57%, 0.00%), (GOOG, 3,258, 1.49%, 0.00%), (XOM, 5,322, 1.41%, 0.00%), (V, 1,637, 1.41%, 0.00%), (LLY, 627, 1.19%, 0.00%), (CB, 1,670, 1.13%, 0.00%), (MA, 777, 1.06%, 0.00%), (WM, 1,871, 1.05%, 0.00%), (GE, 1,557, 1.00%, 0.00%), (ORCL, 1,567, 0.94%, 0.00%), (NEE, 4,806, 0.90%, 0.00%), (NFLX, 293, 0.87%, 0.00%), (UNH, 1,166, 0.81%, 0.00%), (PG, 2,015, 0.77%, 0.00%), (JNJ, 1,915, 0.77%, 0.00%), (COST, 325, 0.76%, 0.00%), (CVX, 2,024, 0.75%, 0.00%), (WMT, 3,188, 0.75%, 0.00%), (PLTR, 1,998, 0.74%, 0.00%), (RTX, 1,915, 0.71%, 0.00%), (CAT, 695, 0.71%, 0.00%), (MCD, 952, 0.70%, 0.00%), (ABT, 2,197, 0.67%, 0.00%), (ABBV, 1,406, 0.66%, 0.00%), (PM, 1,461, 0.64%, 0.00%), (HD, 720, 0.64%, 0.00%), (IBM, 901, 0.63%, 0.00%), (KO, 3,644, 0.63%, 0.00%), (BKNG, 44, 0.62%, 0.00%), (BA, 1,076, 0.61%, 0.00%), (BAC, 5,213, 0.61%, 0.00%), (CRM, 932, 0.60%, 0.00%), (SO, 2,561, 0.59%, 0.00%), (ISRG, 451, 0.58%, 0.00%), (AMD, 1,460, 0.56%, 0.00%), (NKE, 3,113, 0.56%, 0.00%), (HON, 936, 0.55%, 0.00%), (DUK, 1,805, 0.53%, 0.00%), (ETN, 569, 0.53%, 0.00%), (GS, 297, 0.52%, 0.00%), (UBER, 2,317, 0.52%, 0.00%), (WFC, 2,600, 0.52%, 0.00%), (INTU, 273, 0.51%, 0.00%), (MET, 2,591, 0.49%, 0.00%), (NOW, 201, 0.48%, 0.00%), (DE, 366, 0.45%, 0.00%), (PEP, 1,289, 0.45%, 0.00%), (TXN, 821, 0.44%, 0.00%), (ACN, 609, 0.42%, 0.00%), (T, 6,205, 0.41%, 0.00%), (MS, 1,175, 0.41%, 0.00%), (AXP, 527, 0.40%, 0.00%), (MRK, 2,012, 0.40%, 0.00%), (SPGI, 301, 0.39%, 0.00%), (ADBE, 429, 0.39%, 0.00%), (QCOM, 999, 0.38%, 0.00%), (BLK, 138, 0.38%, 0.00%), (DIS, 1,240, 0.37%, 0.00%), (UNP, 667, 0.37%, 0.00%), (VZ, 3,640, 0.37%, 0.00%), (MDT, 1,625, 0.36%, 0.00%), (COP, 1,566, 0.35%, 0.00%), (AMAT, 742, 0.35%, 0.00%), (SBUX, 1,506, 0.35%, 0.00%), (LMT, 304, 0.35%, 0.00%), (C, 1,477, 0.34%, 0.00%), (SCHW, 1,416, 0.33%, 0.00%), (AMGN, 428, 0.31%, 0.00%), (TMO, 304, 0.31%, 0.00%), (MMM, 784, 0.30%, 0.00%), (EMR, 820, 0.29%, 0.00%), (PFE, 4,508, 0.27%, 0.00%), (GILD, 991, 0.26%, 0.00%), (TJX, 818, 0.25%, 0.00%), (CVS, 1,594, 0.24%, 0.00%), (DHR, 511, 0.24%, 0.00%), (MO, 1,593, 0.23%, 0.00%), (CMCSA, 2,613, 0.22%, 0.00%), (LOW, 411, 0.22%, 0.00%), (INTC, 3,880, 0.22%, 0.00%), (MDLZ, 1,257, 0.21%, 0.00%), (ELV, 294, 0.20%, 0.00%), (UPS, 805, 0.20%, 0.00%), (BMY, 1,613, 0.19%, 0.00%), (PYPL, 950, 0.17%, 0.00%), (CL, 699, 0.15%, 0.00%), (FDX, 247, 0.14%, 0.00%), (USB, 1,218, 0.14%, 0.00%), (TGT, 338, 0.09%, 0.00%), (SC28181B, nan, nan%, 0.00%), (SC28183B, nan, nan%, 0.00%), (SP28182B, nan, nan%, 0.00%), (SP28185B, nan, nan%, 0.00%), (SP28184B, nan, nan%, 0.00%), (XP28185B, nan, nan%, 0.00%)</t>
  </si>
  <si>
    <t>(META, 1,833, 2.62%, 0.00%), (BRK/B, 2,133, 2.05%, 0.00%), (GOOGL, 4,913, 1.84%, 0.00%), (CSCO, 12,949, 1.79%, 0.00%), (LIN, 1,832, 1.73%, 0.00%), (AMT, 3,717, 1.69%, 0.00%), (TSLA, 2,453, 1.63%, 0.00%), (JPM, 2,700, 1.59%, 0.00%), (GOOG, 4,002, 1.51%, 0.00%), (XOM, 6,537, 1.43%, 0.00%), (V, 2,011, 1.43%, 0.00%), (LLY, 770, 1.21%, 0.00%), (CB, 2,051, 1.14%, 0.00%), (MA, 954, 1.07%, 0.00%), (WM, 2,298, 1.06%, 0.00%), (GE, 1,913, 1.02%, 0.00%), (ORCL, 1,924, 0.95%, 0.00%), (NEE, 5,902, 0.91%, 0.00%), (NFLX, 359, 0.88%, 0.00%), (UNH, 1,432, 0.82%, 0.00%), (PG, 2,475, 0.78%, 0.00%), (JNJ, 2,352, 0.78%, 0.00%), (COST, 400, 0.77%, 0.00%), (CVX, 2,486, 0.76%, 0.00%), (WMT, 3,916, 0.76%, 0.00%), (PLTR, 2,454, 0.75%, 0.00%), (RTX, 2,352, 0.72%, 0.00%), (CAT, 853, 0.71%, 0.00%), (MCD, 1,169, 0.71%, 0.00%), (ABT, 2,698, 0.68%, 0.00%), (ABBV, 1,726, 0.66%, 0.00%), (PM, 1,795, 0.65%, 0.00%), (HD, 885, 0.65%, 0.00%), (IBM, 1,107, 0.64%, 0.00%), (KO, 4,475, 0.64%, 0.00%), (BKNG, 54, 0.63%, 0.00%), (BAC, 6,403, 0.62%, 0.00%), (BA, 1,321, 0.61%, 0.00%), (CRM, 1,144, 0.61%, 0.00%), (SO, 3,145, 0.60%, 0.00%), (ISRG, 554, 0.58%, 0.00%), (AMD, 1,793, 0.56%, 0.00%), (NKE, 3,823, 0.56%, 0.00%), (HON, 1,149, 0.55%, 0.00%), (DUK, 2,217, 0.53%, 0.00%), (ETN, 698, 0.53%, 0.00%), (GS, 365, 0.52%, 0.00%), (UBER, 2,845, 0.52%, 0.00%), (WFC, 3,194, 0.52%, 0.00%), (INTU, 336, 0.51%, 0.00%), (MET, 3,182, 0.50%, 0.00%), (NOW, 247, 0.48%, 0.00%), (DE, 450, 0.46%, 0.00%), (PEP, 1,584, 0.45%, 0.00%), (TXN, 1,008, 0.44%, 0.00%), (ACN, 748, 0.43%, 0.00%), (T, 7,620, 0.42%, 0.00%), (MS, 1,443, 0.41%, 0.00%), (AXP, 647, 0.41%, 0.00%), (MRK, 2,471, 0.40%, 0.00%), (SPGI, 369, 0.39%, 0.00%), (ADBE, 527, 0.39%, 0.00%), (QCOM, 1,227, 0.39%, 0.00%), (BLK, 169, 0.38%, 0.00%), (DIS, 1,523, 0.38%, 0.00%), (UNP, 819, 0.37%, 0.00%), (VZ, 4,471, 0.37%, 0.00%), (MDT, 1,995, 0.36%, 0.00%), (COP, 1,924, 0.36%, 0.00%), (SBUX, 1,850, 0.35%, 0.00%), (AMAT, 911, 0.35%, 0.00%), (LMT, 373, 0.35%, 0.00%), (C, 1,814, 0.34%, 0.00%), (SCHW, 1,739, 0.34%, 0.00%), (TMO, 374, 0.32%, 0.00%), (AMGN, 525, 0.31%, 0.00%), (MMM, 962, 0.30%, 0.00%), (EMR, 1,008, 0.29%, 0.00%), (PFE, 5,537, 0.28%, 0.00%), (GILD, 1,218, 0.27%, 0.00%), (TJX, 1,005, 0.25%, 0.00%), (CVS, 1,958, 0.25%, 0.00%), (DHR, 628, 0.24%, 0.00%), (MO, 1,956, 0.23%, 0.00%), (CMCSA, 3,210, 0.23%, 0.00%), (LOW, 505, 0.23%, 0.00%), (INTC, 4,765, 0.22%, 0.00%), (MDLZ, 1,543, 0.22%, 0.00%), (ELV, 361, 0.20%, 0.00%), (UPS, 988, 0.20%, 0.00%), (BMY, 1,981, 0.19%, 0.00%), (PYPL, 1,166, 0.17%, 0.00%), (CL, 859, 0.15%, 0.00%), (FDX, 304, 0.14%, 0.00%), (USB, 1,496, 0.14%, 0.00%), (TGT, 416, 0.09%, 0.00%), (SC13481B, nan, nan%, 0.00%), (SC13483B, nan, nan%, 0.00%), (SP13482B, nan, nan%, 0.00%), (SP13485B, nan, nan%, 0.00%), (SP13484B, nan, nan%, 0.00%), (XP13485B, nan, nan%, 0.00%)</t>
  </si>
  <si>
    <t>(AVGO, 8,592, 3.06%, 0.00%), (META, 3,052, 2.72%, 0.00%), (BRK/B, 3,551, 2.13%, 0.00%), (GOOGL, 8,180, 1.90%, 0.00%), (CSCO, 21,559, 1.86%, 0.00%), (LIN, 3,050, 1.80%, 0.00%), (AMT, 6,188, 1.75%, 0.00%), (TSLA, 4,084, 1.69%, 0.00%), (JPM, 4,496, 1.65%, 0.00%), (GOOG, 6,663, 1.56%, 0.00%), (XOM, 10,883, 1.48%, 0.00%), (V, 3,348, 1.48%, 0.00%), (LLY, 1,282, 1.25%, 0.00%), (CB, 3,415, 1.18%, 0.00%), (MA, 1,588, 1.11%, 0.00%), (WM, 3,825, 1.10%, 0.00%), (GE, 3,184, 1.05%, 0.00%), (ORCL, 3,203, 0.98%, 0.00%), (NEE, 9,827, 0.94%, 0.00%), (NFLX, 598, 0.92%, 0.00%), (UNH, 2,384, 0.85%, 0.00%), (PG, 4,121, 0.81%, 0.00%), (JNJ, 3,916, 0.80%, 0.00%), (COST, 665, 0.80%, 0.00%), (CVX, 4,138, 0.79%, 0.00%), (WMT, 6,519, 0.78%, 0.00%), (PLTR, 4,086, 0.78%, 0.00%), (RTX, 3,916, 0.75%, 0.00%), (CAT, 1,421, 0.74%, 0.00%), (MCD, 1,947, 0.73%, 0.00%), (ABT, 4,493, 0.70%, 0.00%), (ABBV, 2,874, 0.69%, 0.00%), (PM, 2,988, 0.68%, 0.00%), (HD, 1,473, 0.67%, 0.00%), (IBM, 1,843, 0.67%, 0.00%), (KO, 7,451, 0.66%, 0.00%), (BKNG, 90, 0.65%, 0.00%), (BAC, 10,661, 0.64%, 0.00%), (BA, 2,200, 0.64%, 0.00%), (CRM, 1,905, 0.63%, 0.00%), (SO, 5,236, 0.62%, 0.00%), (ISRG, 923, 0.60%, 0.00%), (NKE, 6,365, 0.58%, 0.00%), (AMD, 2,985, 0.58%, 0.00%), (HON, 1,913, 0.57%, 0.00%), (DUK, 3,691, 0.55%, 0.00%), (ETN, 1,163, 0.55%, 0.00%), (GS, 608, 0.54%, 0.00%), (UBER, 4,737, 0.54%, 0.00%), (WFC, 5,317, 0.54%, 0.00%), (INTU, 559, 0.53%, 0.00%), (MET, 5,299, 0.52%, 0.00%), (NOW, 411, 0.50%, 0.00%), (DE, 749, 0.47%, 0.00%), (PEP, 2,637, 0.47%, 0.00%), (TXN, 1,678, 0.46%, 0.00%), (ACN, 1,245, 0.45%, 0.00%), (T, 12,687, 0.43%, 0.00%), (MS, 2,403, 0.43%, 0.00%), (AXP, 1,078, 0.42%, 0.00%), (MRK, 4,115, 0.42%, 0.00%), (SPGI, 615, 0.41%, 0.00%), (ADBE, 877, 0.41%, 0.00%), (QCOM, 2,044, 0.40%, 0.00%), (BLK, 282, 0.39%, 0.00%), (DIS, 2,535, 0.39%, 0.00%), (UNP, 1,364, 0.39%, 0.00%), (VZ, 7,444, 0.38%, 0.00%), (MDT, 3,322, 0.38%, 0.00%), (COP, 3,203, 0.37%, 0.00%), (SBUX, 3,080, 0.37%, 0.00%), (AMAT, 1,517, 0.37%, 0.00%), (LMT, 621, 0.36%, 0.00%), (C, 3,020, 0.35%, 0.00%), (SCHW, 2,896, 0.35%, 0.00%), (TMO, 622, 0.33%, 0.00%), (AMGN, 874, 0.33%, 0.00%), (MMM, 1,602, 0.31%, 0.00%), (EMR, 1,678, 0.30%, 0.00%), (PFE, 9,218, 0.29%, 0.00%), (GILD, 2,027, 0.28%, 0.00%), (TJX, 1,673, 0.26%, 0.00%), (CVS, 3,260, 0.26%, 0.00%), (DHR, 1,046, 0.25%, 0.00%), (MO, 3,257, 0.24%, 0.00%), (CMCSA, 5,344, 0.23%, 0.00%), (LOW, 841, 0.23%, 0.00%), (INTC, 7,934, 0.23%, 0.00%), (MDLZ, 2,570, 0.23%, 0.00%), (ELV, 601, 0.21%, 0.00%), (UPS, 1,645, 0.21%, 0.00%), (BMY, 3,299, 0.20%, 0.00%), (PYPL, 1,942, 0.18%, 0.00%), (CL, 1,430, 0.16%, 0.00%), (FDX, 506, 0.15%, 0.00%), (USB, 2,491, 0.14%, 0.00%), (TGT, 692, 0.09%, 0.00%), (SC26771B, nan, nan%, 0.00%), (SC26773B, nan, nan%, 0.00%), (SP26772B, nan, nan%, 0.00%), (SP26775B, nan, nan%, 0.00%), (SP26774B, nan, nan%, 0.00%), (XP26775B, nan, nan%, 0.00%)</t>
  </si>
  <si>
    <t>EBAY, BK, MSFT, META, BKNG, JPM, EWBC, BLK, AMAT, GOOGL, UNM, RJF</t>
  </si>
  <si>
    <t>(V, 2,973, 1.90%, 0.00%), (MLI, 12,446, 1.90%, 0.01%), (AXP, 3,354, 1.85%, 0.00%), (EA, 6,630, 1.84%, 0.00%), (TRV, 3,783, 1.83%, 0.00%), (KLAC, 1,052, 1.80%, 0.00%), (SNA, 2,964, 1.79%, 0.01%), (HIG, 7,961, 1.77%, 0.00%), (ADP, 3,176, 1.74%, 0.00%), (NVDA, 5,555, 1.74%, 0.00%), (CB, 3,354, 1.67%, 0.00%), (PHM, 8,436, 1.67%, 0.00%), (CTSH, 12,016, 1.65%, 0.00%), (CRM, 3,406, 1.63%, 0.00%), (ROST, 6,624, 1.61%, 0.00%), (PCAR, 9,402, 1.60%, 0.00%), (SYF, 12,415, 1.57%, 0.00%), (PAYC, 3,637, 1.51%, 0.01%), (ACN, 2,833, 1.45%, 0.00%), (LEN, 7,018, 1.39%, 0.00%), (QCOM, 4,796, 1.38%, 0.00%), (WSM, 4,204, 1.32%, 0.00%), (BKR, 17,683, 1.28%, 0.00%), (ODFL, 4,074, 1.22%, 0.00%), (AFL, 6,568, 1.22%, 0.00%), (AAPL, 3,096, 1.20%, 0.00%), (ELV, 2,277, 1.15%, 0.00%), (LRCX, 6,125, 1.14%, 0.00%), (DHI, 4,664, 1.11%, 0.00%), (CSCO, 8,896, 1.10%, 0.00%), (GE, 2,147, 1.03%, 0.00%), (MPWR, 759, 1.01%, 0.00%), (STT, 4,930, 0.97%, 0.00%), (PNC, 2,640, 0.94%, 0.00%), (AMP, 960, 0.94%, 0.00%), (MTB, 2,624, 0.94%, 0.00%), (CF, 5,635, 0.93%, 0.00%), (COST, 493, 0.85%, 0.00%), (CSL, 1,106, 0.82%, 0.00%), (XOM, 4,128, 0.81%, 0.00%), (ABT, 3,549, 0.80%, 0.00%), (EOG, 3,713, 0.79%, 0.00%), (EG, 1,249, 0.75%, 0.00%), (GEV, 503, 0.52%, 0.00%), (NTRS, 2,289, 0.52%, 0.00%), (CRBG, 7,863, 0.50%, 0.00%), (MA, 477, 0.48%, 0.00%), (JNJ, 1,532, 0.46%, 0.00%), (DOV, 1,338, 0.46%, 0.00%), (WTFC, 1,844, 0.45%, 0.00%), (ACM, 2,165, 0.44%, 0.00%), (SLM, 7,348, 0.44%, 0.00%), (CINF, 1,592, 0.43%, 0.00%), (MCK, 331, 0.43%, 0.00%), (EQH, 4,437, 0.42%, 0.00%), (MTG, 8,993, 0.42%, 0.00%), (JXN, 2,583, 0.41%, 0.00%), (ALL, 1,133, 0.40%, 0.00%), (NUE, 1,530, 0.40%, 0.00%), (LNC, 6,259, 0.39%, 0.00%), (NKE, 2,790, 0.38%, 0.00%), (ADM, 3,811, 0.38%,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</si>
  <si>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3.24%, 0.00%), (META, 1,406, 2.85%, 0.00%), (BRK/B, 1,636, 2.23%, 0.00%), (GOOGL, 3,769, 2.02%, 0.00%), (CSCO, 9,933, 1.94%, 0.00%), (LIN, 1,405, 1.91%, 0.00%), (AMT, 2,851, 1.85%, 0.00%), (TSLA, 1,882, 1.76%, 0.00%), (JPM, 2,071, 1.73%, 0.00%), (GOOG, 3,070, 1.65%, 0.00%), (V, 1,542, 1.55%, 0.00%), (XOM, 5,014, 1.55%, 0.00%), (LLY, 590, 1.29%, 0.00%), (CB, 1,573, 1.24%, 0.00%), (MA, 732, 1.16%, 0.00%), (WM, 1,762, 1.14%, 0.00%), (GE, 1,467, 1.11%, 0.00%), (ORCL, 1,476, 1.03%, 0.00%), (NEE, 4,527, 0.98%, 0.00%), (NFLX, 276, 0.97%, 0.00%), (UNH, 1,098, 0.89%, 0.00%), (KO, 4,333, 0.87%, 0.00%), (JNJ, 1,804, 0.85%, 0.00%), (PG, 1,898, 0.84%, 0.00%), (COST, 307, 0.83%, 0.00%), (WMT, 3,004, 0.82%, 0.00%), (PLTR, 1,882, 0.82%, 0.00%), (CVX, 1,907, 0.82%, 0.00%), (RTX, 1,804, 0.78%, 0.00%), (CAT, 654, 0.77%, 0.00%), (MCD, 897, 0.76%, 0.00%), (ABT, 2,070, 0.74%, 0.00%), (PM, 1,377, 0.71%, 0.00%), (ABBV, 1,324, 0.71%, 0.00%), (HD, 679, 0.70%, 0.00%), (IBM, 849, 0.69%, 0.00%), (BKNG, 41, 0.67%, 0.00%), (BAC, 4,912, 0.67%, 0.00%), (BA, 1,013, 0.67%, 0.00%), (CRM, 878, 0.66%, 0.00%), (SO, 2,412, 0.65%, 0.00%), (ISRG, 425, 0.63%, 0.00%), (NKE, 2,933, 0.63%, 0.00%), (AMD, 1,375, 0.62%, 0.00%), (HON, 881, 0.60%, 0.00%), (DUK, 1,701, 0.58%, 0.00%), (ETN, 536, 0.58%, 0.00%), (UBER, 2,183, 0.57%, 0.00%), (GS, 280, 0.57%, 0.00%), (WFC, 2,450, 0.57%, 0.00%), (INTU, 257, 0.56%, 0.00%), (MET, 2,441, 0.54%, 0.00%), (NOW, 189, 0.51%, 0.00%), (DE, 345, 0.49%, 0.00%), (PEP, 1,215, 0.49%, 0.00%), (TXN, 773, 0.47%, 0.00%), (ACN, 574, 0.46%, 0.00%), (T, 5,845, 0.46%, 0.00%), (MS, 1,107, 0.45%, 0.00%), (AXP, 497, 0.43%, 0.00%), (MRK, 1,896, 0.43%, 0.00%), (AMGN, 503, 0.43%, 0.00%), (QCOM, 942, 0.42%, 0.00%), (SPGI, 283, 0.42%, 0.00%), (ADBE, 404, 0.42%, 0.00%), (VZ, 3,429, 0.41%, 0.00%), (BLK, 130, 0.41%, 0.00%), (DIS, 1,168, 0.41%, 0.00%), (UNP, 628, 0.41%, 0.00%), (MDT, 1,530, 0.39%, 0.00%), (COP, 1,476, 0.39%, 0.00%), (AMAT, 699, 0.38%, 0.00%), (SBUX, 1,419, 0.38%, 0.00%), (LMT, 286, 0.38%, 0.00%), (C, 1,392, 0.37%, 0.00%), (SCHW, 1,334, 0.37%, 0.00%), (TMO, 287, 0.33%, 0.00%), (MMM, 738, 0.32%, 0.00%), (EMR, 773, 0.32%, 0.00%), (PFE, 4,247, 0.30%, 0.00%), (GILD, 934, 0.29%, 0.00%), (TJX, 771, 0.27%, 0.00%), (CVS, 1,502, 0.27%, 0.00%), (DHR, 482, 0.26%, 0.00%), (MO, 1,501, 0.25%, 0.00%), (CMCSA, 2,462, 0.24%, 0.00%), (LOW, 388, 0.24%, 0.00%), (INTC, 3,655, 0.24%, 0.00%), (MDLZ, 1,184, 0.24%, 0.00%), (ELV, 277, 0.22%, 0.00%), (UPS, 758, 0.21%, 0.00%), (BMY, 1,520, 0.20%, 0.00%), (PYPL, 895, 0.19%, 0.00%), (CL, 659, 0.16%, 0.00%), (USB, 1,148, 0.15%, 0.00%), (FDX, 233, 0.15%, 0.00%), (TGT, 319, 0.09%, 0.00%), (SC31761B, nan, nan%, 0.00%), (SC31763B, nan, nan%, 0.00%), (SP31762B, nan, nan%, 0.00%), (SP31765B, nan, nan%, 0.00%), (SP31764B, nan, nan%, 0.00%), (XP31765B, nan, nan%, 0.00%)</t>
  </si>
  <si>
    <t>(AVGO, 2,605, 3.12%, 0.00%), (META, 925, 2.74%, 0.00%), (BRK/B, 1,077, 2.15%, 0.00%), (GOOGL, 2,480, 1.94%, 0.00%), (CSCO, 6,537, 1.87%, 0.00%), (LIN, 925, 1.84%, 0.00%), (AMT, 1,876, 1.78%, 0.00%), (TSLA, 1,238, 1.69%, 0.00%), (JPM, 1,363, 1.67%, 0.00%), (GOOG, 2,020, 1.59%, 0.00%), (XOM, 3,300, 1.49%, 0.00%), (V, 1,015, 1.49%, 0.00%), (LLY, 389, 1.24%, 0.00%), (CB, 1,035, 1.19%, 0.00%), (MA, 481, 1.12%, 0.00%), (WM, 1,160, 1.10%, 0.00%), (GE, 966, 1.07%, 0.00%), (ORCL, 971, 1.00%, 0.00%), (NEE, 2,980, 0.95%, 0.00%), (NFLX, 181, 0.93%, 0.00%), (UNH, 723, 0.85%, 0.00%), (KO, 2,859, 0.84%, 0.00%), (JNJ, 1,187, 0.82%, 0.00%), (PG, 1,249, 0.81%, 0.00%), (COST, 202, 0.80%, 0.00%), (WMT, 1,977, 0.79%, 0.00%), (PLTR, 1,239, 0.79%, 0.00%), (CVX, 1,255, 0.79%, 0.00%), (RTX, 1,187, 0.76%, 0.00%), (CAT, 431, 0.75%, 0.00%), (MCD, 590, 0.73%, 0.00%), (ABT, 1,362, 0.71%, 0.00%), (ABBV, 872, 0.68%, 0.00%), (PM, 906, 0.68%, 0.00%), (HD, 447, 0.68%, 0.00%), (IBM, 559, 0.66%, 0.00%), (BKNG, 27, 0.64%, 0.00%), (BAC, 3,232, 0.64%, 0.00%), (BA, 667, 0.64%, 0.00%), (CRM, 578, 0.63%, 0.00%), (SO, 1,588, 0.63%, 0.00%), (NKE, 1,930, 0.60%, 0.00%), (ISRG, 280, 0.60%, 0.00%), (AMD, 905, 0.60%, 0.00%), (HON, 580, 0.57%, 0.00%), (DUK, 1,119, 0.56%, 0.00%), (ETN, 353, 0.56%, 0.00%), (UBER, 1,436, 0.55%, 0.00%), (WFC, 1,612, 0.55%, 0.00%), (GS, 184, 0.54%, 0.00%), (INTU, 169, 0.54%, 0.00%), (MET, 1,607, 0.52%, 0.00%), (NOW, 124, 0.50%, 0.00%), (DE, 227, 0.47%, 0.00%), (PEP, 799, 0.47%, 0.00%), (TXN, 509, 0.46%, 0.00%), (AMGN, 365, 0.45%, 0.00%), (T, 3,847, 0.44%, 0.00%), (MS, 729, 0.43%, 0.00%), (AXP, 327, 0.42%, 0.00%), (MRK, 1,248, 0.41%, 0.00%), (QCOM, 620, 0.41%, 0.00%), (ADBE, 266, 0.41%, 0.00%), (SPGI, 186, 0.41%, 0.00%), (VZ, 2,257, 0.40%, 0.00%), (BLK, 86, 0.40%, 0.00%), (UNP, 414, 0.39%, 0.00%), (DIS, 769, 0.39%, 0.00%), (MDT, 1,007, 0.38%, 0.00%), (AMAT, 460, 0.37%, 0.00%), (COP, 971, 0.37%, 0.00%), (SBUX, 934, 0.37%, 0.00%), (LMT, 188, 0.36%, 0.00%), (C, 916, 0.36%, 0.00%), (SCHW, 878, 0.35%, 0.00%), (ACN, 278, 0.33%, 0.00%), (TMO, 189, 0.32%, 0.00%), (MMM, 486, 0.31%, 0.00%), (EMR, 509, 0.31%, 0.00%), (PFE, 2,795, 0.29%, 0.00%), (GILD, 615, 0.28%, 0.00%), (TJX, 507, 0.26%, 0.00%), (CVS, 988, 0.26%, 0.00%), (DHR, 317, 0.25%, 0.00%), (MO, 988, 0.24%, 0.00%), (CMCSA, 1,620, 0.24%, 0.00%), (LOW, 255, 0.23%, 0.00%), (INTC, 2,406, 0.23%, 0.00%), (MDLZ, 779, 0.23%, 0.00%), (ELV, 182, 0.21%, 0.00%), (UPS, 499, 0.21%, 0.00%), (BMY, 1,000, 0.20%, 0.00%), (PYPL, 589, 0.18%, 0.00%), (CL, 433, 0.16%, 0.00%), (USB, 755, 0.15%, 0.00%), (FDX, 153, 0.15%, 0.00%), (TGT, 210, 0.09%, 0.00%), (SC9061B, nan, nan%, 0.00%), (SC9063B, nan, nan%, 0.00%), (SP9062B, nan, nan%, 0.00%), (SP9065B, nan, nan%, 0.00%), (SP9064B, nan, nan%, 0.00%), (XP9065B, nan, nan%, 0.00%)</t>
  </si>
  <si>
    <t>(AVGO, 1,647, 3.04%, 0.00%), (META, 585, 2.69%, 0.00%), (BRK/B, 681, 2.09%, 0.00%), (GOOGL, 1,568, 1.90%, 0.00%), (CSCO, 4,132, 1.82%, 0.00%), (LIN, 585, 1.80%, 0.00%), (AMT, 1,186, 1.74%, 0.00%), (TSLA, 783, 1.65%, 0.00%), (JPM, 862, 1.63%, 0.00%), (GOOG, 1,277, 1.55%, 0.00%), (XOM, 2,086, 1.46%, 0.00%), (V, 642, 1.46%, 0.00%), (LLY, 246, 1.21%, 0.00%), (CB, 655, 1.16%, 0.00%), (MA, 304, 1.09%, 0.00%), (WM, 733, 1.07%, 0.00%), (GE, 610, 1.04%, 0.00%), (ORCL, 614, 0.97%, 0.00%), (NEE, 1,883, 0.92%, 0.00%), (NFLX, 115, 0.91%, 0.00%), (UNH, 457, 0.83%, 0.00%), (JNJ, 751, 0.80%, 0.00%), (PG, 790, 0.79%, 0.00%), (COST, 128, 0.78%, 0.00%), (KO, 1,728, 0.78%, 0.00%), (WMT, 1,249, 0.77%, 0.00%), (PLTR, 783, 0.77%, 0.00%), (CVX, 793, 0.77%, 0.00%), (RTX, 751, 0.74%, 0.00%), (CAT, 272, 0.73%, 0.00%), (MCD, 373, 0.72%, 0.00%), (ABT, 861, 0.69%, 0.00%), (PM, 573, 0.67%, 0.00%), (ABBV, 551, 0.66%, 0.00%), (HD, 282, 0.66%, 0.00%), (IBM, 353, 0.65%, 0.00%), (BAC, 2,043, 0.63%, 0.00%), (BA, 422, 0.63%, 0.00%), (BKNG, 17, 0.63%, 0.00%), (CRM, 365, 0.62%, 0.00%), (SO, 1,004, 0.61%, 0.00%), (ISRG, 177, 0.59%, 0.00%), (NKE, 1,220, 0.59%, 0.00%), (AMD, 572, 0.58%, 0.00%), (HON, 367, 0.56%, 0.00%), (DUK, 708, 0.55%, 0.00%), (ETN, 223, 0.54%, 0.00%), (GS, 117, 0.54%, 0.00%), (UBER, 908, 0.53%, 0.00%), (WFC, 1,019, 0.53%, 0.00%), (INTU, 107, 0.53%, 0.00%), (MET, 1,016, 0.51%, 0.00%), (NOW, 79, 0.49%, 0.00%), (DE, 143, 0.46%, 0.00%), (PEP, 505, 0.46%, 0.00%), (TXN, 322, 0.45%, 0.00%), (ACN, 239, 0.43%, 0.00%), (T, 2,432, 0.43%, 0.00%), (MS, 461, 0.42%, 0.00%), (AXP, 207, 0.41%, 0.00%), (MRK, 789, 0.40%, 0.00%), (SPGI, 118, 0.40%, 0.00%), (QCOM, 392, 0.40%, 0.00%), (ADBE, 168, 0.40%, 0.00%), (VZ, 1,427, 0.39%, 0.00%), (BLK, 54, 0.39%, 0.00%), (DIS, 486, 0.38%, 0.00%), (UNP, 261, 0.38%, 0.00%), (MDT, 637, 0.37%, 0.00%), (COP, 614, 0.36%, 0.00%), (AMAT, 291, 0.36%, 0.00%), (LMT, 119, 0.36%, 0.00%), (SBUX, 590, 0.36%, 0.00%), (C, 579, 0.35%, 0.00%), (SCHW, 555, 0.35%, 0.00%), (AMGN, 168, 0.32%, 0.00%), (TMO, 119, 0.31%, 0.00%), (MMM, 307, 0.30%, 0.00%), (EMR, 322, 0.30%, 0.00%), (PFE, 1,767, 0.28%, 0.00%), (GILD, 389, 0.27%, 0.00%), (TJX, 321, 0.26%, 0.00%), (CVS, 625, 0.25%, 0.00%), (DHR, 200, 0.24%, 0.00%), (MO, 624, 0.24%, 0.00%), (LOW, 161, 0.23%, 0.00%), (CMCSA, 1,024, 0.23%, 0.00%), (INTC, 1,521, 0.23%, 0.00%), (MDLZ, 493, 0.22%, 0.00%), (ELV, 115, 0.21%, 0.00%), (UPS, 315, 0.20%, 0.00%), (BMY, 632, 0.19%, 0.00%), (PYPL, 372, 0.18%, 0.00%), (CL, 274, 0.15%, 0.00%), (USB, 478, 0.14%, 0.00%), (FDX, 97, 0.14%, 0.00%), (TGT, 133, 0.09%, 0.00%), (SC8071B, nan, nan%, 0.00%), (SC8073B, nan, nan%, 0.00%), (SP8072B, nan, nan%, 0.00%), (SP8075B, nan, nan%, 0.00%), (SP8074B, nan, nan%, 0.00%), (XP8075B, nan, nan%, 0.00%)</t>
  </si>
  <si>
    <t>(AVGO, 14,920, 3.10%, 0.00%), (META, 5,300, 2.73%, 0.00%), (BRK/B, 6,166, 2.13%, 0.00%), (GOOGL, 14,206, 1.93%, 0.00%), (CSCO, 37,440, 1.86%, 0.00%), (LIN, 5,297, 1.83%, 0.00%), (AMT, 10,746, 1.77%, 0.00%), (TSLA, 7,092, 1.68%, 0.00%), (JPM, 7,808, 1.66%, 0.00%), (GOOG, 11,571, 1.58%, 0.00%), (V, 5,813, 1.49%, 0.00%), (XOM, 18,900, 1.49%, 0.00%), (LLY, 2,226, 1.23%, 0.00%), (CB, 5,931, 1.19%, 0.00%), (MA, 2,757, 1.11%, 0.00%), (WM, 6,643, 1.09%, 0.00%), (GE, 5,530, 1.06%, 0.00%), (ORCL, 5,563, 0.99%, 0.00%), (NEE, 17,065, 0.94%, 0.00%), (NFLX, 1,039, 0.93%, 0.00%), (UNH, 4,140, 0.85%, 0.00%), (KO, 16,439, 0.84%, 0.00%), (JNJ, 6,801, 0.81%, 0.00%), (PG, 7,156, 0.81%, 0.00%), (COST, 1,156, 0.80%, 0.00%), (WMT, 11,321, 0.79%, 0.00%), (PLTR, 7,095, 0.78%, 0.00%), (CVX, 7,187, 0.78%, 0.00%), (RTX, 6,801, 0.75%, 0.00%), (CAT, 2,467, 0.74%, 0.00%), (MCD, 3,381, 0.73%, 0.00%), (ABT, 7,802, 0.71%, 0.00%), (PM, 5,189, 0.68%, 0.00%), (ABBV, 4,992, 0.68%, 0.00%), (HD, 2,559, 0.67%, 0.00%), (IBM, 3,200, 0.66%, 0.00%), (BKNG, 156, 0.65%, 0.00%), (BAC, 18,513, 0.64%, 0.00%), (BA, 3,820, 0.64%, 0.00%), (CRM, 3,309, 0.63%, 0.00%), (SO, 9,093, 0.62%, 0.00%), (NKE, 11,054, 0.60%, 0.00%), (ISRG, 1,602, 0.60%, 0.00%), (AMD, 5,184, 0.59%, 0.00%), (HON, 3,322, 0.57%, 0.00%), (DUK, 6,411, 0.56%, 0.00%), (ETN, 2,019, 0.55%, 0.00%), (GS, 1,056, 0.54%, 0.00%), (UBER, 8,227, 0.54%, 0.00%), (WFC, 9,234, 0.54%, 0.00%), (INTU, 970, 0.54%, 0.00%), (MET, 9,202, 0.52%, 0.00%), (NOW, 713, 0.50%, 0.00%), (DE, 1,300, 0.47%, 0.00%), (PEP, 4,579, 0.47%, 0.00%), (TXN, 2,914, 0.45%, 0.00%), (T, 22,033, 0.44%, 0.00%), (MS, 4,173, 0.43%, 0.00%), (AXP, 1,872, 0.41%, 0.00%), (AMGN, 1,918, 0.41%, 0.00%), (MRK, 7,146, 0.41%, 0.00%), (QCOM, 3,549, 0.41%, 0.00%), (SPGI, 1,068, 0.41%, 0.00%), (ADBE, 1,524, 0.41%, 0.00%), (VZ, 12,926, 0.40%, 0.00%), (BLK, 490, 0.39%, 0.00%), (UNP, 2,369, 0.39%, 0.00%), (DIS, 4,403, 0.39%, 0.00%), (MDT, 5,769, 0.38%, 0.00%), (COP, 5,562, 0.37%, 0.00%), (AMAT, 2,634, 0.37%, 0.00%), (SBUX, 5,348, 0.36%, 0.00%), (LMT, 1,078, 0.36%, 0.00%), (C, 5,245, 0.35%, 0.00%), (SCHW, 5,029, 0.35%, 0.00%), (ACN, 1,563, 0.32%, 0.00%), (TMO, 1,080, 0.32%, 0.00%), (MMM, 2,782, 0.31%, 0.00%), (EMR, 2,913, 0.30%, 0.00%), (PFE, 16,008, 0.28%, 0.00%), (GILD, 3,520, 0.28%, 0.00%), (TJX, 2,905, 0.26%, 0.00%), (CVS, 5,661, 0.25%, 0.00%), (DHR, 1,816, 0.25%, 0.00%), (MO, 5,656, 0.24%, 0.00%), (CMCSA, 9,280, 0.23%, 0.00%), (LOW, 1,461, 0.23%, 0.00%), (INTC, 13,778, 0.23%, 0.00%), (MDLZ, 4,463, 0.23%, 0.00%), (ELV, 1,043, 0.21%, 0.00%), (UPS, 2,857, 0.21%, 0.00%), (BMY, 5,729, 0.19%, 0.00%), (PYPL, 3,373, 0.18%, 0.00%), (CL, 2,483, 0.16%, 0.00%), (USB, 4,327, 0.14%, 0.00%), (FDX, 878, 0.14%, 0.00%), (TGT, 1,202, 0.09%, 0.00%), (SC23471B, nan, nan%, 0.00%), (SC23473B, nan, nan%, 0.00%), (SP23472B, nan, nan%, 0.00%), (SP23475B, nan, nan%, 0.00%), (SP23474B, nan, nan%, 0.00%), (XP23475B, nan, nan%, 0.00%)</t>
  </si>
  <si>
    <t>(AVGO, 11,111, 3.09%, 0.00%), (META, 3,947, 2.72%, 0.00%), (BRK/B, 4,592, 2.12%, 0.00%), (GOOGL, 10,579, 1.92%, 0.00%), (CSCO, 27,882, 1.85%, 0.00%), (LIN, 3,945, 1.82%, 0.00%), (AMT, 8,003, 1.77%, 0.00%), (TSLA, 5,282, 1.68%, 0.00%), (JPM, 5,815, 1.65%, 0.00%), (GOOG, 8,617, 1.57%, 0.00%), (V, 4,329, 1.48%, 0.00%), (XOM, 14,075, 1.48%, 0.00%), (LLY, 1,658, 1.23%, 0.00%), (CB, 4,417, 1.18%, 0.00%), (MA, 2,053, 1.11%, 0.00%), (WM, 4,947, 1.09%, 0.00%), (GE, 4,118, 1.06%, 0.00%), (ORCL, 4,143, 0.99%, 0.00%), (NEE, 12,709, 0.94%, 0.00%), (NFLX, 774, 0.92%, 0.00%), (UNH, 3,083, 0.84%, 0.00%), (KO, 12,236, 0.83%, 0.00%), (JNJ, 5,065, 0.81%, 0.00%), (PG, 5,329, 0.80%, 0.00%), (COST, 861, 0.79%, 0.00%), (WMT, 8,431, 0.78%, 0.00%), (PLTR, 5,284, 0.78%, 0.00%), (CVX, 5,352, 0.78%, 0.00%), (RTX, 5,065, 0.75%, 0.00%), (CAT, 1,837, 0.74%, 0.00%), (MCD, 2,518, 0.73%, 0.00%), (ABT, 5,810, 0.70%, 0.00%), (PM, 3,864, 0.67%, 0.00%), (ABBV, 3,717, 0.67%, 0.00%), (HD, 1,905, 0.67%, 0.00%), (IBM, 2,383, 0.66%, 0.00%), (BKNG, 116, 0.64%, 0.00%), (BAC, 13,787, 0.64%, 0.00%), (BA, 2,845, 0.64%, 0.00%), (CRM, 2,464, 0.63%, 0.00%), (SO, 6,771, 0.62%, 0.00%), (NKE, 8,232, 0.60%, 0.00%), (ISRG, 1,193, 0.60%, 0.00%), (AMD, 3,861, 0.59%, 0.00%), (HON, 2,474, 0.57%, 0.00%), (DUK, 4,774, 0.56%, 0.00%), (ETN, 1,504, 0.55%, 0.00%), (GS, 786, 0.54%, 0.00%), (UBER, 6,127, 0.54%, 0.00%), (WFC, 6,876, 0.54%, 0.00%), (INTU, 722, 0.54%, 0.00%), (MET, 6,852, 0.51%, 0.00%), (NOW, 531, 0.49%, 0.00%), (DE, 968, 0.47%, 0.00%), (PEP, 3,410, 0.47%, 0.00%), (TXN, 2,170, 0.45%, 0.00%), (T, 16,408, 0.44%, 0.00%), (MS, 3,108, 0.43%, 0.00%), (AXP, 1,394, 0.41%, 0.00%), (AMGN, 1,431, 0.41%, 0.00%), (MRK, 5,321, 0.41%, 0.00%), (QCOM, 2,643, 0.41%, 0.00%), (SPGI, 795, 0.41%, 0.00%), (ADBE, 1,135, 0.40%, 0.00%), (VZ, 9,626, 0.40%, 0.00%), (BLK, 365, 0.39%, 0.00%), (UNP, 1,764, 0.39%, 0.00%), (DIS, 3,279, 0.39%, 0.00%), (MDT, 4,296, 0.38%, 0.00%), (COP, 4,142, 0.37%, 0.00%), (AMAT, 1,961, 0.37%, 0.00%), (SBUX, 3,983, 0.36%, 0.00%), (LMT, 803, 0.36%, 0.00%), (C, 3,906, 0.35%, 0.00%), (SCHW, 3,745, 0.35%, 0.00%), (ACN, 1,211, 0.33%, 0.00%), (TMO, 805, 0.32%, 0.00%), (MMM, 2,072, 0.31%, 0.00%), (EMR, 2,170, 0.30%, 0.00%), (PFE, 11,921, 0.28%, 0.00%), (GILD, 2,622, 0.28%, 0.00%), (TJX, 2,163, 0.26%, 0.00%), (CVS, 4,215, 0.25%, 0.00%), (DHR, 1,352, 0.25%, 0.00%), (MO, 4,212, 0.24%, 0.00%), (CMCSA, 6,911, 0.23%, 0.00%), (LOW, 1,088, 0.23%, 0.00%), (INTC, 10,260, 0.23%, 0.00%), (MDLZ, 3,323, 0.22%, 0.00%), (ELV, 777, 0.21%, 0.00%), (UPS, 2,128, 0.20%, 0.00%), (BMY, 4,266, 0.19%, 0.00%), (PYPL, 2,512, 0.18%, 0.00%), (CL, 1,849, 0.16%, 0.00%), (USB, 3,222, 0.14%, 0.00%), (FDX, 654, 0.14%, 0.00%), (TGT, 895, 0.09%, 0.00%), (SC22171B, nan, nan%, 0.00%), (SC22173B, nan, nan%, 0.00%), (SP22172B, nan, nan%, 0.00%), (SP22175B, nan, nan%, 0.00%), (SP22174B, nan, nan%, 0.00%), (XP22175B, nan, nan%, 0.00%)</t>
  </si>
  <si>
    <t>(META, 1,485, 2.60%, 0.00%), (BRK/B, 1,728, 2.03%, 0.00%), (GOOGL, 3,981, 1.84%, 0.00%), (CSCO, 10,491, 1.76%, 0.00%), (LIN, 1,484, 1.74%, 0.00%), (AMT, 3,011, 1.68%, 0.00%), (TSLA, 1,987, 1.60%, 0.00%), (JPM, 2,188, 1.57%, 0.00%), (GOOG, 3,242, 1.50%, 0.00%), (V, 1,629, 1.41%, 0.00%), (XOM, 5,296, 1.41%, 0.00%), (LLY, 624, 1.17%, 0.00%), (CB, 1,662, 1.13%, 0.00%), (MA, 773, 1.05%, 0.00%), (WM, 1,862, 1.04%, 0.00%), (GE, 1,550, 1.01%, 0.00%), (ORCL, 1,559, 0.94%, 0.00%), (NEE, 4,782, 0.89%, 0.00%), (NFLX, 291, 0.88%, 0.00%), (UNH, 1,160, 0.80%, 0.00%), (JNJ, 1,906, 0.77%, 0.00%), (PG, 2,005, 0.76%, 0.00%), (KO, 4,426, 0.76%, 0.00%), (COST, 324, 0.76%, 0.00%), (WMT, 3,172, 0.75%, 0.00%), (PLTR, 1,988, 0.74%, 0.00%), (CVX, 2,014, 0.74%, 0.00%), (RTX, 1,906, 0.71%, 0.00%), (CAT, 691, 0.70%, 0.00%), (MCD, 948, 0.69%, 0.00%), (ABT, 2,186, 0.67%, 0.00%), (PM, 1,454, 0.64%, 0.00%), (ABBV, 1,399, 0.64%, 0.00%), (HD, 717, 0.64%, 0.00%), (IBM, 897, 0.63%, 0.00%), (BKNG, 44, 0.62%, 0.00%), (BAC, 5,188, 0.61%, 0.00%), (BA, 1,070, 0.61%, 0.00%), (CRM, 927, 0.60%, 0.00%), (SO, 2,548, 0.59%, 0.00%), (ISRG, 449, 0.57%, 0.00%), (NKE, 3,098, 0.57%, 0.00%), (AMD, 1,453, 0.56%, 0.00%), (HON, 931, 0.54%, 0.00%), (DUK, 1,796, 0.53%, 0.00%), (ETN, 566, 0.52%, 0.00%), (UBER, 2,305, 0.52%, 0.00%), (GS, 296, 0.52%, 0.00%), (WFC, 2,588, 0.51%, 0.00%), (INTU, 272, 0.51%, 0.00%), (MET, 2,578, 0.49%, 0.00%), (NOW, 200, 0.48%, 0.00%), (DE, 364, 0.45%, 0.00%), (PEP, 1,283, 0.45%, 0.00%), (TXN, 817, 0.43%, 0.00%), (T, 6,174, 0.41%, 0.00%), (MS, 1,169, 0.41%, 0.00%), (AXP, 525, 0.39%, 0.00%), (MRK, 2,002, 0.39%, 0.00%), (QCOM, 995, 0.39%, 0.00%), (SPGI, 299, 0.39%, 0.00%), (ADBE, 427, 0.38%, 0.00%), (AMGN, 525, 0.38%, 0.00%), (VZ, 3,622, 0.38%, 0.00%), (BLK, 137, 0.37%, 0.00%), (UNP, 664, 0.37%, 0.00%), (DIS, 1,234, 0.37%, 0.00%), (MDT, 1,617, 0.36%, 0.00%), (ACN, 506, 0.35%, 0.00%), (COP, 1,559, 0.35%, 0.00%), (AMAT, 738, 0.35%, 0.00%), (SBUX, 1,499, 0.34%, 0.00%), (LMT, 302, 0.34%, 0.00%), (C, 1,470, 0.34%, 0.00%), (SCHW, 1,409, 0.33%, 0.00%), (TMO, 303, 0.30%, 0.00%), (MMM, 780, 0.29%, 0.00%), (EMR, 816, 0.29%, 0.00%), (PFE, 4,486, 0.27%, 0.00%), (GILD, 986, 0.26%, 0.00%), (TJX, 814, 0.25%, 0.00%), (CVS, 1,586, 0.24%, 0.00%), (DHR, 509, 0.24%, 0.00%), (MO, 1,585, 0.23%, 0.00%), (CMCSA, 2,601, 0.22%, 0.00%), (LOW, 409, 0.22%, 0.00%), (INTC, 3,861, 0.22%, 0.00%), (MDLZ, 1,251, 0.21%, 0.00%), (ELV, 292, 0.20%, 0.00%), (UPS, 801, 0.19%, 0.00%), (BMY, 1,605, 0.18%, 0.00%), (PYPL, 945, 0.17%, 0.00%), (CL, 696, 0.15%, 0.00%), (USB, 1,212, 0.14%, 0.00%), (FDX, 246, 0.14%, 0.00%), (TGT, 337, 0.08%, 0.00%), (SC28181B, nan, nan%, 0.00%), (SC28183B, nan, nan%, 0.00%), (SP28182B, nan, nan%, 0.00%), (SP28185B, nan, nan%, 0.00%), (SP28184B, nan, nan%, 0.00%), (XP28185B, nan, nan%, 0.00%)</t>
  </si>
  <si>
    <t>(META, 1,824, 2.63%, 0.00%), (BRK/B, 2,122, 2.05%, 0.00%), (GOOGL, 4,889, 1.86%, 0.00%), (CSCO, 12,884, 1.79%, 0.00%), (LIN, 1,823, 1.76%, 0.00%), (AMT, 3,698, 1.70%, 0.00%), (TSLA, 2,441, 1.62%, 0.00%), (JPM, 2,687, 1.59%, 0.00%), (GOOG, 3,982, 1.52%, 0.00%), (V, 2,001, 1.43%, 0.00%), (XOM, 6,504, 1.43%, 0.00%), (LLY, 766, 1.19%, 0.00%), (CB, 2,041, 1.14%, 0.00%), (MA, 949, 1.07%, 0.00%), (WM, 2,286, 1.05%, 0.00%), (GE, 1,903, 1.02%, 0.00%), (ORCL, 1,914, 0.95%, 0.00%), (NEE, 5,873, 0.91%, 0.00%), (NFLX, 358, 0.89%, 0.00%), (UNH, 1,425, 0.82%, 0.00%), (JNJ, 2,340, 0.78%, 0.00%), (KO, 5,453, 0.78%, 0.00%), (PG, 2,463, 0.77%, 0.00%), (COST, 398, 0.77%, 0.00%), (WMT, 3,896, 0.76%, 0.00%), (PLTR, 2,442, 0.75%, 0.00%), (CVX, 2,473, 0.75%, 0.00%), (RTX, 2,340, 0.72%, 0.00%), (CAT, 849, 0.71%, 0.00%), (MCD, 1,164, 0.70%, 0.00%), (ABT, 2,685, 0.68%, 0.00%), (PM, 1,786, 0.65%, 0.00%), (ABBV, 1,718, 0.65%, 0.00%), (HD, 880, 0.65%, 0.00%), (IBM, 1,101, 0.64%, 0.00%), (BKNG, 54, 0.62%, 0.00%), (BAC, 6,371, 0.62%, 0.00%), (BA, 1,314, 0.61%, 0.00%), (CRM, 1,139, 0.61%, 0.00%), (SO, 3,129, 0.60%, 0.00%), (ISRG, 551, 0.58%, 0.00%), (NKE, 3,804, 0.58%, 0.00%), (AMD, 1,784, 0.57%, 0.00%), (HON, 1,143, 0.55%, 0.00%), (DUK, 2,206, 0.54%, 0.00%), (ETN, 695, 0.53%, 0.00%), (UBER, 2,831, 0.52%, 0.00%), (GS, 363, 0.52%, 0.00%), (WFC, 3,178, 0.52%, 0.00%), (INTU, 334, 0.52%, 0.00%), (MET, 3,167, 0.50%, 0.00%), (NOW, 245, 0.47%, 0.00%), (DE, 447, 0.45%, 0.00%), (PEP, 1,576, 0.45%, 0.00%), (TXN, 1,003, 0.44%, 0.00%), (T, 7,582, 0.42%, 0.00%), (MS, 1,436, 0.41%, 0.00%), (AXP, 644, 0.40%, 0.00%), (MRK, 2,459, 0.40%, 0.00%), (SPGI, 368, 0.39%, 0.00%), (QCOM, 1,221, 0.39%, 0.00%), (ADBE, 524, 0.39%, 0.00%), (VZ, 4,448, 0.38%, 0.00%), (BLK, 169, 0.38%, 0.00%), (AMGN, 623, 0.37%, 0.00%), (UNP, 815, 0.37%, 0.00%), (DIS, 1,515, 0.37%, 0.00%), (MDT, 1,985, 0.36%, 0.00%), (COP, 1,914, 0.35%, 0.00%), (AMAT, 906, 0.35%, 0.00%), (SBUX, 1,841, 0.35%, 0.00%), (LMT, 371, 0.35%, 0.00%), (C, 1,805, 0.34%, 0.00%), (SCHW, 1,731, 0.34%, 0.00%), (ACN, 544, 0.31%, 0.00%), (TMO, 372, 0.31%, 0.00%), (MMM, 958, 0.30%, 0.00%), (EMR, 1,003, 0.29%, 0.00%), (PFE, 5,509, 0.27%, 0.00%), (GILD, 1,212, 0.27%, 0.00%), (TJX, 1,000, 0.25%, 0.00%), (CVS, 1,948, 0.24%, 0.00%), (DHR, 625, 0.24%, 0.00%), (MO, 1,946, 0.23%, 0.00%), (CMCSA, 3,194, 0.23%, 0.00%), (LOW, 503, 0.23%, 0.00%), (INTC, 4,741, 0.22%, 0.00%), (MDLZ, 1,536, 0.22%, 0.00%), (ELV, 359, 0.20%, 0.00%), (UPS, 983, 0.20%, 0.00%), (BMY, 1,972, 0.19%, 0.00%), (PYPL, 1,161, 0.18%, 0.00%), (CL, 854, 0.15%, 0.00%), (USB, 1,489, 0.14%, 0.00%), (FDX, 302, 0.14%, 0.00%), (TGT, 413, 0.09%, 0.00%), (SC13481B, nan, nan%, 0.00%), (SC13483B, nan, nan%, 0.00%), (SP13482B, nan, nan%, 0.00%), (SP13485B, nan, nan%, 0.00%), (SP13484B, nan, nan%, 0.00%), (XP13485B, nan, nan%, 0.00%)</t>
  </si>
  <si>
    <t>(AVGO, 8,548, 3.09%, 0.00%), (META, 3,036, 2.72%, 0.00%), (BRK/B, 3,533, 2.13%, 0.00%), (GOOGL, 8,139, 1.93%, 0.00%), (CSCO, 21,450, 1.85%, 0.00%), (LIN, 3,035, 1.82%, 0.00%), (AMT, 6,157, 1.77%, 0.00%), (TSLA, 4,063, 1.68%, 0.00%), (JPM, 4,473, 1.65%, 0.00%), (GOOG, 6,629, 1.58%, 0.00%), (V, 3,331, 1.48%, 0.00%), (XOM, 10,828, 1.48%, 0.00%), (LLY, 1,275, 1.23%, 0.00%), (CB, 3,398, 1.18%, 0.00%), (MA, 1,580, 1.11%, 0.00%), (WM, 3,806, 1.09%, 0.00%), (GE, 3,168, 1.06%, 0.00%), (ORCL, 3,187, 0.99%, 0.00%), (NEE, 9,777, 0.94%, 0.00%), (NFLX, 595, 0.92%, 0.00%), (UNH, 2,372, 0.85%, 0.00%), (JNJ, 3,896, 0.81%, 0.00%), (PG, 4,100, 0.80%, 0.00%), (KO, 9,013, 0.80%, 0.00%), (COST, 662, 0.79%, 0.00%), (WMT, 6,486, 0.78%, 0.00%), (PLTR, 4,065, 0.78%, 0.00%), (CVX, 4,117, 0.78%, 0.00%), (RTX, 3,896, 0.75%, 0.00%), (CAT, 1,413, 0.74%, 0.00%), (MCD, 1,937, 0.73%, 0.00%), (ABT, 4,470, 0.70%, 0.00%), (PM, 2,973, 0.68%, 0.00%), (ABBV, 2,860, 0.67%, 0.00%), (HD, 1,466, 0.67%, 0.00%), (IBM, 1,834, 0.66%, 0.00%), (BKNG, 89, 0.64%, 0.00%), (BAC, 10,607, 0.64%, 0.00%), (BA, 2,188, 0.64%, 0.00%), (CRM, 1,896, 0.63%, 0.00%), (SO, 5,209, 0.62%, 0.00%), (ISRG, 918, 0.60%, 0.00%), (NKE, 6,333, 0.60%, 0.00%), (AMD, 2,970, 0.59%, 0.00%), (HON, 1,903, 0.57%, 0.00%), (DUK, 3,673, 0.56%, 0.00%), (ETN, 1,157, 0.55%, 0.00%), (GS, 605, 0.54%, 0.00%), (UBER, 4,713, 0.54%, 0.00%), (WFC, 5,290, 0.54%, 0.00%), (INTU, 556, 0.54%, 0.00%), (MET, 5,272, 0.51%, 0.00%), (NOW, 409, 0.49%, 0.00%), (DE, 745, 0.47%, 0.00%), (PEP, 2,623, 0.47%, 0.00%), (TXN, 1,670, 0.45%, 0.00%), (T, 12,623, 0.44%, 0.00%), (MS, 2,391, 0.43%, 0.00%), (AXP, 1,073, 0.41%, 0.00%), (MRK, 4,094, 0.41%, 0.00%), (SPGI, 612, 0.41%, 0.00%), (QCOM, 2,033, 0.41%, 0.00%), (ADBE, 873, 0.40%, 0.00%), (AMGN, 1,070, 0.40%, 0.00%), (VZ, 7,406, 0.40%, 0.00%), (BLK, 281, 0.39%, 0.00%), (UNP, 1,357, 0.39%, 0.00%), (DIS, 2,522, 0.39%, 0.00%), (MDT, 3,305, 0.38%, 0.00%), (ACN, 1,039, 0.37%, 0.00%), (AMAT, 1,509, 0.37%, 0.00%), (COP, 3,187, 0.37%, 0.00%), (LMT, 618, 0.36%, 0.00%), (SBUX, 3,064, 0.36%, 0.00%), (C, 3,005, 0.35%, 0.00%), (SCHW, 2,881, 0.35%, 0.00%), (TMO, 619, 0.32%, 0.00%), (MMM, 1,594, 0.31%, 0.00%), (EMR, 1,669, 0.30%, 0.00%), (PFE, 9,171, 0.28%, 0.00%), (GILD, 2,017, 0.28%, 0.00%), (TJX, 1,664, 0.26%, 0.00%), (CVS, 3,243, 0.25%, 0.00%), (DHR, 1,040, 0.25%, 0.00%), (MO, 3,241, 0.24%, 0.00%), (CMCSA, 5,317, 0.23%, 0.00%), (LOW, 837, 0.23%, 0.00%), (INTC, 7,894, 0.23%, 0.00%), (MDLZ, 2,557, 0.22%, 0.00%), (ELV, 598, 0.21%, 0.00%), (UPS, 1,637, 0.20%, 0.00%), (BMY, 3,282, 0.19%, 0.00%), (PYPL, 1,932, 0.18%, 0.00%), (CL, 1,422, 0.16%, 0.00%), (USB, 2,479, 0.14%, 0.00%), (FDX, 503, 0.14%, 0.00%), (TGT, 688, 0.09%, 0.00%), (SC26771B, nan, nan%, 0.00%), (SC26773B, nan, nan%, 0.00%), (SP26772B, nan, nan%, 0.00%), (SP26775B, nan, nan%, 0.00%), (SP26774B, nan, nan%, 0.00%), (XP26775B, nan, nan%, 0.00%)</t>
  </si>
  <si>
    <t>EBAY, BK, MSFT, BKNG, META, JPM, EWBC, GOOGL, BLK, UNM, RJF, AMAT</t>
  </si>
  <si>
    <t>(MLI, 12,446, 1.89%, 0.01%), (V, 2,973, 1.87%, 0.00%), (EA, 6,630, 1.87%, 0.00%), (AXP, 3,354, 1.83%, 0.00%), (PHM, 8,436, 1.81%, 0.00%), (TRV, 3,783, 1.80%, 0.00%), (SNA, 2,964, 1.75%, 0.01%), (HIG, 7,961, 1.75%, 0.00%), (ADP, 3,176, 1.72%, 0.00%), (KLAC, 1,052, 1.69%, 0.00%), (NVDA, 5,555, 1.67%, 0.00%), (CB, 3,354, 1.67%, 0.00%), (CTSH, 12,016, 1.64%, 0.00%), (PCAR, 9,402, 1.63%, 0.00%), (CRM, 3,406, 1.60%, 0.00%), (ROST, 6,624, 1.60%, 0.00%), (SYF, 12,415, 1.56%, 0.00%), (PAYC, 3,637, 1.52%, 0.01%), (LEN, 7,018, 1.49%, 0.00%), (ACN, 2,833, 1.44%, 0.00%), (QCOM, 4,796, 1.36%, 0.00%), (WSM, 4,204, 1.34%, 0.00%), (BKR, 17,683, 1.26%, 0.00%), (DHI, 4,664, 1.26%, 0.00%), (ODFL, 4,074, 1.21%, 0.00%), (AFL, 6,568, 1.20%, 0.00%), (AAPL, 3,096, 1.18%, 0.00%), (ELV, 2,277, 1.15%, 0.00%), (CSCO, 8,896, 1.09%, 0.00%), (LRCX, 6,125, 1.07%, 0.00%), (GE, 2,147, 1.00%, 0.00%), (STT, 4,930, 0.97%, 0.00%), (MPWR, 759, 0.96%, 0.00%), (PNC, 2,640, 0.94%, 0.00%), (CF, 5,635, 0.93%, 0.00%), (MTB, 2,624, 0.93%, 0.00%), (AMP, 960, 0.92%, 0.00%), (COST, 493, 0.84%, 0.00%), (CSL, 1,106, 0.83%, 0.00%), (XOM, 4,128, 0.80%, 0.00%), (ABT, 3,549, 0.79%, 0.00%), (EOG, 3,713, 0.78%, 0.00%), (EG, 1,249, 0.75%, 0.00%), (NTRS, 2,289, 0.52%, 0.00%), (GEV, 503, 0.50%, 0.00%), (CRBG, 7,863, 0.49%, 0.00%), (MA, 477, 0.48%, 0.00%), (JNJ, 1,532, 0.46%, 0.00%), (DOV, 1,338, 0.45%, 0.00%), (WTFC, 1,844, 0.44%, 0.00%), (ACM, 2,165, 0.44%, 0.00%), (SLM, 7,348, 0.44%, 0.00%), (CINF, 1,592, 0.43%, 0.00%), (MCK, 331, 0.42%, 0.00%), (EQH, 4,437, 0.42%, 0.00%), (MTG, 8,993, 0.41%, 0.00%), (JXN, 2,583, 0.41%, 0.00%), (ALL, 1,133, 0.40%, 0.00%), (NUE, 1,530, 0.39%, 0.00%), (LNC, 6,259, 0.39%, 0.00%), (ADM, 3,811, 0.38%, 0.00%), (NKE, 2,790, 0.37%,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</si>
  <si>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3.16%, 0.00%), (META, 1,406, 2.82%, 0.00%), (BRK/B, 1,636, 2.23%, 0.00%), (GOOGL, 3,769, 2.03%, 0.00%), (CSCO, 9,933, 1.94%, 0.00%), (LIN, 1,405, 1.90%, 0.00%), (AMT, 2,851, 1.88%, 0.00%), (TSLA, 1,882, 1.77%, 0.00%), (JPM, 2,071, 1.73%, 0.00%), (GOOG, 3,070, 1.66%, 0.00%), (XOM, 5,014, 1.55%, 0.00%), (V, 1,542, 1.55%, 0.00%), (LLY, 590, 1.30%, 0.00%), (CB, 1,573, 1.25%, 0.00%), (MA, 732, 1.16%, 0.00%), (WM, 1,762, 1.14%, 0.00%), (GE, 1,467, 1.09%, 0.00%), (ORCL, 1,476, 1.00%, 0.00%), (NEE, 4,527, 0.99%, 0.00%), (NFLX, 276, 0.95%, 0.00%), (UNH, 1,098, 0.89%, 0.00%), (JNJ, 1,804, 0.86%, 0.00%), (PG, 1,898, 0.85%, 0.00%), (COST, 307, 0.83%, 0.00%), (WMT, 3,004, 0.82%, 0.00%), (CVX, 1,907, 0.81%, 0.00%), (PLTR, 1,882, 0.80%, 0.00%), (CAT, 654, 0.78%, 0.00%), (RTX, 1,804, 0.77%, 0.00%), (MCD, 897, 0.76%, 0.00%), (ABT, 2,070, 0.74%, 0.00%), (HD, 679, 0.71%, 0.00%), (ABBV, 1,324, 0.71%, 0.00%), (KO, 3,452, 0.68%, 0.00%), (IBM, 849, 0.68%, 0.00%), (BKNG, 41, 0.67%, 0.00%), (BAC, 4,912, 0.67%, 0.00%), (PM, 1,377, 0.66%, 0.00%), (BA, 1,013, 0.66%, 0.00%), (CRM, 878, 0.66%, 0.00%), (SO, 2,412, 0.66%, 0.00%), (NKE, 2,933, 0.63%, 0.00%), (ISRG, 425, 0.62%, 0.00%), (AMD, 1,375, 0.60%, 0.00%), (HON, 881, 0.59%, 0.00%), (DUK, 1,701, 0.59%, 0.00%), (WFC, 2,450, 0.57%, 0.00%), (ETN, 536, 0.57%, 0.00%), (UBER, 2,183, 0.57%, 0.00%), (GS, 280, 0.56%, 0.00%), (INTU, 257, 0.56%, 0.00%), (MET, 2,441, 0.54%, 0.00%), (NOW, 189, 0.51%, 0.00%), (PEP, 1,215, 0.50%, 0.00%), (DE, 345, 0.50%, 0.00%), (TXN, 773, 0.47%, 0.00%), (ACN, 574, 0.47%, 0.00%), (T, 5,845, 0.45%, 0.00%), (MS, 1,107, 0.44%, 0.00%), (MRK, 1,896, 0.44%, 0.00%), (AXP, 497, 0.43%, 0.00%), (ADBE, 404, 0.43%, 0.00%), (QCOM, 942, 0.42%, 0.00%), (SPGI, 283, 0.42%, 0.00%), (VZ, 3,429, 0.41%, 0.00%), (UNP, 628, 0.41%, 0.00%), (BLK, 130, 0.41%, 0.00%), (DIS, 1,168, 0.40%, 0.00%), (MDT, 1,530, 0.40%, 0.00%), (COP, 1,476, 0.39%, 0.00%), (SBUX, 1,419, 0.38%, 0.00%), (C, 1,392, 0.37%, 0.00%), (AMAT, 699, 0.37%, 0.00%), (SCHW, 1,334, 0.36%, 0.00%), (AMGN, 405, 0.35%, 0.00%), (LMT, 286, 0.34%, 0.00%), (TMO, 287, 0.34%, 0.00%), (MMM, 738, 0.32%, 0.00%), (EMR, 773, 0.32%, 0.00%), (PFE, 4,247, 0.30%, 0.00%), (GILD, 934, 0.29%, 0.00%), (TJX, 771, 0.27%, 0.00%), (CVS, 1,502, 0.26%, 0.00%), (DHR, 482, 0.26%, 0.00%), (MO, 1,501, 0.25%, 0.00%), (LOW, 388, 0.25%, 0.00%), (CMCSA, 2,462, 0.25%, 0.00%), (INTC, 3,655, 0.24%, 0.00%), (MDLZ, 1,184, 0.24%, 0.00%), (ELV, 277, 0.22%, 0.00%), (UPS, 758, 0.22%, 0.00%), (BMY, 1,520, 0.21%, 0.00%), (PYPL, 895, 0.19%,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</si>
  <si>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3.04%, 0.00%), (META, 925, 2.72%, 0.00%), (BRK/B, 1,077, 2.15%, 0.00%), (GOOGL, 2,480, 1.95%, 0.00%), (CSCO, 6,537, 1.87%, 0.00%), (LIN, 925, 1.83%, 0.00%), (AMT, 1,876, 1.81%, 0.00%), (TSLA, 1,238, 1.70%, 0.00%), (JPM, 1,363, 1.67%, 0.00%), (GOOG, 2,020, 1.60%, 0.00%), (XOM, 3,300, 1.49%, 0.00%), (V, 1,015, 1.49%, 0.00%), (LLY, 389, 1.26%, 0.00%), (CB, 1,035, 1.20%, 0.00%), (MA, 481, 1.12%, 0.00%), (WM, 1,160, 1.10%, 0.00%), (GE, 966, 1.05%, 0.00%), (ORCL, 971, 0.96%, 0.00%), (NEE, 2,980, 0.95%, 0.00%), (NFLX, 181, 0.91%, 0.00%), (UNH, 723, 0.86%, 0.00%), (JNJ, 1,187, 0.83%, 0.00%), (PG, 1,249, 0.82%, 0.00%), (COST, 202, 0.80%, 0.00%), (WMT, 1,977, 0.79%, 0.00%), (CVX, 1,255, 0.78%, 0.00%), (PLTR, 1,239, 0.77%, 0.00%), (CAT, 431, 0.75%, 0.00%), (RTX, 1,187, 0.74%, 0.00%), (MCD, 590, 0.73%, 0.00%), (ABT, 1,362, 0.71%, 0.00%), (HD, 447, 0.68%, 0.00%), (ABBV, 872, 0.68%, 0.00%), (KO, 2,272, 0.66%, 0.00%), (IBM, 559, 0.65%, 0.00%), (BKNG, 27, 0.65%, 0.00%), (BAC, 3,232, 0.65%, 0.00%), (PM, 906, 0.64%, 0.00%), (BA, 667, 0.64%, 0.00%), (CRM, 578, 0.63%, 0.00%), (SO, 1,588, 0.63%, 0.00%), (NKE, 1,930, 0.61%, 0.00%), (ISRG, 280, 0.59%, 0.00%), (AMD, 905, 0.58%, 0.00%), (HON, 580, 0.57%, 0.00%), (DUK, 1,119, 0.56%, 0.00%), (WFC, 1,612, 0.55%, 0.00%), (ETN, 353, 0.55%, 0.00%), (UBER, 1,436, 0.55%, 0.00%), (GS, 184, 0.54%, 0.00%), (INTU, 169, 0.54%, 0.00%), (MET, 1,607, 0.52%, 0.00%), (NOW, 124, 0.50%, 0.00%), (PEP, 799, 0.48%, 0.00%), (DE, 227, 0.48%, 0.00%), (TXN, 509, 0.45%, 0.00%), (ACN, 378, 0.45%, 0.00%), (T, 3,847, 0.44%, 0.00%), (MS, 729, 0.43%, 0.00%), (MRK, 1,248, 0.42%, 0.00%), (AXP, 327, 0.42%, 0.00%), (ADBE, 266, 0.41%, 0.00%), (QCOM, 620, 0.41%, 0.00%), (SPGI, 186, 0.40%, 0.00%), (VZ, 2,257, 0.40%, 0.00%), (UNP, 414, 0.39%, 0.00%), (BLK, 86, 0.39%, 0.00%), (DIS, 769, 0.39%, 0.00%), (MDT, 1,007, 0.38%, 0.00%), (COP, 971, 0.38%, 0.00%), (SBUX, 934, 0.37%, 0.00%), (C, 916, 0.36%, 0.00%), (AMAT, 460, 0.36%, 0.00%), (SCHW, 878, 0.35%, 0.00%), (AMGN, 267, 0.34%, 0.00%), (LMT, 188, 0.33%, 0.00%), (TMO, 189, 0.33%, 0.00%), (MMM, 486, 0.31%, 0.00%), (EMR, 509, 0.31%, 0.00%), (PFE, 2,795, 0.29%, 0.00%), (GILD, 615, 0.28%, 0.00%), (TJX, 507, 0.26%, 0.00%), (CVS, 988, 0.25%, 0.00%), (DHR, 317, 0.25%, 0.00%), (MO, 988, 0.24%, 0.00%), (LOW, 255, 0.24%, 0.00%), (CMCSA, 1,620, 0.24%, 0.00%), (INTC, 2,406, 0.23%, 0.00%), (MDLZ, 779, 0.23%, 0.00%), (ELV, 182, 0.22%, 0.00%), (UPS, 499, 0.21%, 0.00%), (BMY, 1,000, 0.20%, 0.00%), (PYPL, 589, 0.18%, 0.00%), (CL, 433, 0.16%, 0.00%), (FDX, 153, 0.15%, 0.00%), (USB, 755, 0.15%, 0.00%), (TGT, 210, 0.09%, 0.00%), (SC9061B, nan, nan%, 0.00%), (SC9063B, nan, nan%, 0.00%), (SP9062B, nan, nan%, 0.00%), (SP9065B, nan, nan%, 0.00%), (SP9064B, nan, nan%, 0.00%), (XP9065B, nan, nan%, 0.00%)</t>
  </si>
  <si>
    <t>(AVGO, 1,647, 2.96%, 0.00%), (META, 585, 2.66%, 0.00%), (BRK/B, 681, 2.10%, 0.00%), (GOOGL, 1,568, 1.91%, 0.00%), (CSCO, 4,132, 1.82%, 0.00%), (LIN, 585, 1.78%, 0.00%), (AMT, 1,186, 1.76%, 0.00%), (TSLA, 783, 1.66%, 0.00%), (JPM, 862, 1.63%, 0.00%), (GOOG, 1,277, 1.56%, 0.00%), (XOM, 2,086, 1.46%, 0.00%), (V, 642, 1.45%, 0.00%), (LLY, 246, 1.22%, 0.00%), (CB, 655, 1.17%, 0.00%), (MA, 304, 1.09%, 0.00%), (WM, 733, 1.07%, 0.00%), (GE, 610, 1.02%, 0.00%), (ORCL, 614, 0.94%, 0.00%), (NEE, 1,883, 0.93%, 0.00%), (NFLX, 115, 0.89%, 0.00%), (UNH, 457, 0.84%, 0.00%), (JNJ, 751, 0.81%, 0.00%), (PG, 790, 0.80%, 0.00%), (COST, 128, 0.78%, 0.00%), (WMT, 1,249, 0.77%, 0.00%), (CVX, 793, 0.76%, 0.00%), (PLTR, 783, 0.75%, 0.00%), (CAT, 272, 0.73%, 0.00%), (RTX, 751, 0.72%, 0.00%), (MCD, 373, 0.71%, 0.00%), (ABT, 861, 0.69%, 0.00%), (ABBV, 551, 0.66%, 0.00%), (HD, 282, 0.66%, 0.00%), (KO, 1,435, 0.64%, 0.00%), (IBM, 353, 0.64%, 0.00%), (BKNG, 17, 0.63%, 0.00%), (BAC, 2,043, 0.63%, 0.00%), (PM, 573, 0.62%, 0.00%), (BA, 422, 0.62%, 0.00%), (CRM, 365, 0.62%, 0.00%), (SO, 1,004, 0.62%, 0.00%), (NKE, 1,220, 0.59%, 0.00%), (ISRG, 177, 0.58%, 0.00%), (AMD, 572, 0.57%, 0.00%), (HON, 367, 0.56%, 0.00%), (DUK, 708, 0.55%, 0.00%), (WFC, 1,019, 0.54%, 0.00%), (UBER, 908, 0.53%, 0.00%), (ETN, 223, 0.53%, 0.00%), (GS, 117, 0.53%, 0.00%), (INTU, 107, 0.53%, 0.00%), (MET, 1,016, 0.51%, 0.00%), (NOW, 79, 0.49%, 0.00%), (PEP, 505, 0.47%, 0.00%), (DE, 143, 0.47%, 0.00%), (TXN, 322, 0.44%, 0.00%), (ACN, 239, 0.44%, 0.00%), (T, 2,432, 0.43%, 0.00%), (MS, 461, 0.42%, 0.00%), (MRK, 789, 0.41%, 0.00%), (AXP, 207, 0.41%, 0.00%), (ADBE, 168, 0.40%, 0.00%), (QCOM, 392, 0.40%, 0.00%), (SPGI, 118, 0.39%, 0.00%), (VZ, 1,427, 0.39%, 0.00%), (UNP, 261, 0.38%, 0.00%), (BLK, 54, 0.38%, 0.00%), (DIS, 486, 0.38%, 0.00%), (MDT, 637, 0.37%, 0.00%), (COP, 614, 0.37%, 0.00%), (SBUX, 590, 0.36%, 0.00%), (C, 579, 0.35%, 0.00%), (AMAT, 291, 0.35%, 0.00%), (SCHW, 555, 0.34%, 0.00%), (AMGN, 168, 0.33%, 0.00%), (TMO, 119, 0.32%, 0.00%), (LMT, 119, 0.32%, 0.00%), (EMR, 322, 0.30%, 0.00%), (MMM, 307, 0.30%, 0.00%), (PFE, 1,767, 0.28%, 0.00%), (GILD, 389, 0.28%, 0.00%), (TJX, 321, 0.26%, 0.00%), (CVS, 625, 0.25%, 0.00%), (DHR, 200, 0.24%, 0.00%), (MO, 624, 0.24%, 0.00%), (LOW, 161, 0.23%, 0.00%), (CMCSA, 1,024, 0.23%, 0.00%), (INTC, 1,521, 0.23%, 0.00%), (MDLZ, 493, 0.22%, 0.00%), (ELV, 115, 0.21%, 0.00%), (UPS, 315, 0.20%, 0.00%), (BMY, 632, 0.19%, 0.00%), (PYPL, 372, 0.18%, 0.00%), (CL, 274, 0.16%, 0.00%), (FDX, 97, 0.14%, 0.00%), (USB, 478, 0.14%, 0.00%), (TGT, 133, 0.09%, 0.00%), (SC8071B, nan, nan%, 0.00%), (SC8073B, nan, nan%, 0.00%), (SP8072B, nan, nan%, 0.00%), (SP8075B, nan, nan%, 0.00%), (SP8074B, nan, nan%, 0.00%), (XP8075B, nan, nan%, 0.00%)</t>
  </si>
  <si>
    <t>(AVGO, 14,920, 3.02%, 0.00%), (META, 5,300, 2.70%, 0.00%), (BRK/B, 6,166, 2.14%, 0.00%), (GOOGL, 14,206, 1.94%, 0.00%), (CSCO, 37,440, 1.85%, 0.00%), (LIN, 5,297, 1.82%, 0.00%), (AMT, 10,746, 1.80%, 0.00%), (TSLA, 7,092, 1.69%, 0.00%), (JPM, 7,808, 1.66%, 0.00%), (GOOG, 11,571, 1.59%, 0.00%), (XOM, 18,900, 1.48%, 0.00%), (V, 5,813, 1.48%, 0.00%), (LLY, 2,226, 1.25%, 0.00%), (CB, 5,931, 1.20%, 0.00%), (MA, 2,757, 1.11%, 0.00%), (WM, 6,643, 1.09%, 0.00%), (GE, 5,530, 1.04%, 0.00%), (ORCL, 5,563, 0.96%, 0.00%), (NEE, 17,065, 0.95%, 0.00%), (NFLX, 1,039, 0.90%, 0.00%), (UNH, 4,140, 0.85%, 0.00%), (JNJ, 6,801, 0.82%, 0.00%), (PG, 7,156, 0.81%, 0.00%), (COST, 1,156, 0.80%, 0.00%), (WMT, 11,321, 0.79%, 0.00%), (CVX, 7,187, 0.78%, 0.00%), (PLTR, 7,095, 0.76%, 0.00%), (CAT, 2,467, 0.74%, 0.00%), (RTX, 6,801, 0.73%, 0.00%), (MCD, 3,381, 0.73%, 0.00%), (ABT, 7,802, 0.71%, 0.00%), (HD, 2,559, 0.68%, 0.00%), (ABBV, 4,992, 0.68%, 0.00%), (KO, 13,014, 0.66%, 0.00%), (BKNG, 156, 0.65%, 0.00%), (IBM, 3,200, 0.65%, 0.00%), (BAC, 18,513, 0.64%, 0.00%), (PM, 5,189, 0.64%, 0.00%), (BA, 3,820, 0.64%, 0.00%), (CRM, 3,309, 0.63%, 0.00%), (SO, 9,093, 0.63%, 0.00%), (NKE, 11,054, 0.60%, 0.00%), (ISRG, 1,602, 0.59%, 0.00%), (AMD, 5,184, 0.58%, 0.00%), (HON, 3,322, 0.57%, 0.00%), (DUK, 6,411, 0.56%, 0.00%), (WFC, 9,234, 0.55%, 0.00%), (UBER, 8,227, 0.54%, 0.00%), (ETN, 2,019, 0.54%, 0.00%), (GS, 1,056, 0.54%, 0.00%), (INTU, 970, 0.54%, 0.00%), (MET, 9,202, 0.52%, 0.00%), (NOW, 713, 0.49%, 0.00%), (PEP, 4,579, 0.48%, 0.00%), (DE, 1,300, 0.48%, 0.00%), (TXN, 2,914, 0.45%, 0.00%), (ACN, 2,163, 0.45%, 0.00%), (T, 22,033, 0.43%, 0.00%), (MS, 4,173, 0.43%, 0.00%), (MRK, 7,146, 0.42%, 0.00%), (AXP, 1,872, 0.41%, 0.00%), (ADBE, 1,524, 0.41%, 0.00%), (QCOM, 3,549, 0.41%, 0.00%), (SPGI, 1,068, 0.40%, 0.00%), (VZ, 12,926, 0.39%, 0.00%), (UNP, 2,369, 0.39%, 0.00%), (BLK, 490, 0.39%, 0.00%), (DIS, 4,403, 0.39%, 0.00%), (MDT, 5,769, 0.38%, 0.00%), (COP, 5,562, 0.37%, 0.00%), (SBUX, 5,348, 0.37%, 0.00%), (C, 5,245, 0.36%, 0.00%), (AMAT, 2,634, 0.35%, 0.00%), (SCHW, 5,029, 0.35%, 0.00%), (AMGN, 1,527, 0.33%, 0.00%), (LMT, 1,078, 0.33%, 0.00%), (TMO, 1,080, 0.33%, 0.00%), (MMM, 2,782, 0.31%, 0.00%), (EMR, 2,913, 0.30%, 0.00%), (PFE, 16,008, 0.29%, 0.00%), (GILD, 3,520, 0.28%, 0.00%), (TJX, 2,905, 0.26%, 0.00%), (CVS, 5,661, 0.25%, 0.00%), (DHR, 1,816, 0.25%, 0.00%), (MO, 5,656, 0.24%, 0.00%), (LOW, 1,461, 0.24%, 0.00%), (CMCSA, 9,280, 0.23%, 0.00%), (INTC, 13,778, 0.23%, 0.00%), (MDLZ, 4,463, 0.23%, 0.00%), (ELV, 1,043, 0.21%, 0.00%), (UPS, 2,857, 0.21%, 0.00%), (BMY, 5,729, 0.20%, 0.00%), (PYPL, 3,373, 0.18%, 0.00%), (CL, 2,483, 0.16%, 0.00%), (FDX, 878, 0.15%, 0.00%), (USB, 4,327, 0.15%, 0.00%), (TGT, 1,202, 0.09%, 0.00%), (SC23471B, nan, nan%, 0.00%), (SC23473B, nan, nan%, 0.00%), (SP23472B, nan, nan%, 0.00%), (SP23475B, nan, nan%, 0.00%), (SP23474B, nan, nan%, 0.00%), (XP23475B, nan, nan%, 0.00%)</t>
  </si>
  <si>
    <t>(AVGO, 11,111, 3.01%, 0.00%), (META, 3,947, 2.69%, 0.00%), (BRK/B, 4,592, 2.13%, 0.00%), (GOOGL, 10,579, 1.93%, 0.00%), (CSCO, 27,882, 1.85%, 0.00%), (LIN, 3,945, 1.81%, 0.00%), (AMT, 8,003, 1.79%, 0.00%), (TSLA, 5,282, 1.68%, 0.00%), (JPM, 5,815, 1.65%, 0.00%), (GOOG, 8,617, 1.58%, 0.00%), (XOM, 14,075, 1.48%, 0.00%), (V, 4,329, 1.47%, 0.00%), (LLY, 1,658, 1.24%, 0.00%), (CB, 4,417, 1.19%, 0.00%), (MA, 2,053, 1.11%, 0.00%), (WM, 4,947, 1.09%, 0.00%), (GE, 4,118, 1.04%, 0.00%), (ORCL, 4,143, 0.96%, 0.00%), (NEE, 12,709, 0.94%, 0.00%), (NFLX, 774, 0.90%, 0.00%), (UNH, 3,083, 0.85%, 0.00%), (JNJ, 5,065, 0.82%, 0.00%), (PG, 5,329, 0.81%, 0.00%), (COST, 861, 0.79%, 0.00%), (WMT, 8,431, 0.78%, 0.00%), (CVX, 5,352, 0.78%, 0.00%), (PLTR, 5,284, 0.76%, 0.00%), (CAT, 1,837, 0.74%, 0.00%), (RTX, 5,065, 0.73%, 0.00%), (MCD, 2,518, 0.73%, 0.00%), (ABT, 5,810, 0.70%, 0.00%), (HD, 1,905, 0.67%, 0.00%), (ABBV, 3,717, 0.67%, 0.00%), (KO, 9,691, 0.65%, 0.00%), (BKNG, 116, 0.65%, 0.00%), (IBM, 2,383, 0.65%, 0.00%), (BAC, 13,787, 0.64%, 0.00%), (PM, 3,864, 0.63%, 0.00%), (BA, 2,845, 0.63%, 0.00%), (CRM, 2,464, 0.63%, 0.00%), (SO, 6,771, 0.63%, 0.00%), (NKE, 8,232, 0.60%, 0.00%), (ISRG, 1,193, 0.59%, 0.00%), (AMD, 3,861, 0.58%, 0.00%), (HON, 2,474, 0.57%, 0.00%), (DUK, 4,774, 0.56%, 0.00%), (WFC, 6,876, 0.54%, 0.00%), (ETN, 1,504, 0.54%, 0.00%), (UBER, 6,127, 0.54%, 0.00%), (GS, 786, 0.54%, 0.00%), (INTU, 722, 0.53%, 0.00%), (MET, 6,852, 0.51%, 0.00%), (NOW, 531, 0.49%, 0.00%), (PEP, 3,410, 0.48%, 0.00%), (DE, 968, 0.47%, 0.00%), (TXN, 2,170, 0.45%, 0.00%), (ACN, 1,620, 0.45%, 0.00%), (T, 16,408, 0.43%, 0.00%), (MS, 3,108, 0.42%, 0.00%), (MRK, 5,321, 0.42%, 0.00%), (AXP, 1,394, 0.41%, 0.00%), (ADBE, 1,135, 0.41%, 0.00%), (QCOM, 2,643, 0.40%, 0.00%), (SPGI, 795, 0.40%, 0.00%), (VZ, 9,626, 0.39%, 0.00%), (UNP, 1,764, 0.39%, 0.00%), (BLK, 365, 0.39%, 0.00%), (DIS, 3,279, 0.38%, 0.00%), (MDT, 4,296, 0.38%, 0.00%), (COP, 4,142, 0.37%, 0.00%), (SBUX, 3,983, 0.37%, 0.00%), (C, 3,906, 0.36%, 0.00%), (AMAT, 1,961, 0.35%, 0.00%), (SCHW, 3,745, 0.35%, 0.00%), (AMGN, 1,137, 0.33%, 0.00%), (LMT, 803, 0.33%, 0.00%), (TMO, 805, 0.33%, 0.00%), (MMM, 2,072, 0.30%, 0.00%), (EMR, 2,170, 0.30%, 0.00%), (PFE, 11,921, 0.29%, 0.00%), (GILD, 2,622, 0.28%, 0.00%), (TJX, 2,163, 0.26%, 0.00%), (CVS, 4,215, 0.25%, 0.00%), (DHR, 1,352, 0.24%, 0.00%), (MO, 4,212, 0.24%, 0.00%), (LOW, 1,088, 0.23%, 0.00%), (CMCSA, 6,911, 0.23%, 0.00%), (INTC, 10,260, 0.23%, 0.00%), (MDLZ, 3,323, 0.23%, 0.00%), (ELV, 777, 0.21%, 0.00%), (UPS, 2,128, 0.21%, 0.00%), (BMY, 4,266, 0.20%, 0.00%), (PYPL, 2,512, 0.18%,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</si>
  <si>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2.57%, 0.00%), (BRK/B, 1,728, 2.03%, 0.00%), (GOOGL, 3,981, 1.85%, 0.00%), (CSCO, 10,491, 1.76%, 0.00%), (LIN, 1,484, 1.72%, 0.00%), (AMT, 3,011, 1.71%, 0.00%), (TSLA, 1,987, 1.60%, 0.00%), (JPM, 2,188, 1.57%, 0.00%), (GOOG, 3,242, 1.51%, 0.00%), (XOM, 5,296, 1.41%, 0.00%), (V, 1,629, 1.40%, 0.00%), (LLY, 624, 1.19%, 0.00%), (CB, 1,662, 1.14%, 0.00%), (MA, 773, 1.06%, 0.00%), (WM, 1,862, 1.04%, 0.00%), (GE, 1,550, 0.99%, 0.00%), (ORCL, 1,559, 0.91%, 0.00%), (NEE, 4,782, 0.90%, 0.00%), (NFLX, 291, 0.86%, 0.00%), (UNH, 1,160, 0.81%, 0.00%), (JNJ, 1,906, 0.78%, 0.00%), (PG, 2,005, 0.77%, 0.00%), (COST, 324, 0.75%, 0.00%), (WMT, 3,172, 0.75%, 0.00%), (CVX, 2,014, 0.74%, 0.00%), (PLTR, 1,988, 0.72%, 0.00%), (CAT, 691, 0.71%, 0.00%), (RTX, 1,906, 0.70%, 0.00%), (MCD, 948, 0.69%, 0.00%), (ABT, 2,186, 0.67%, 0.00%), (ABBV, 1,399, 0.64%, 0.00%), (HD, 717, 0.64%, 0.00%), (BKNG, 44, 0.62%, 0.00%), (KO, 3,644, 0.62%, 0.00%), (IBM, 897, 0.62%, 0.00%), (BAC, 5,188, 0.61%, 0.00%), (PM, 1,454, 0.60%, 0.00%), (BA, 1,070, 0.60%, 0.00%), (CRM, 927, 0.60%, 0.00%), (SO, 2,548, 0.60%, 0.00%), (NKE, 3,098, 0.57%, 0.00%), (ISRG, 449, 0.56%, 0.00%), (AMD, 1,453, 0.55%, 0.00%), (HON, 931, 0.54%, 0.00%), (DUK, 1,796, 0.53%, 0.00%), (WFC, 2,588, 0.52%, 0.00%), (UBER, 2,305, 0.52%, 0.00%), (ETN, 566, 0.52%, 0.00%), (GS, 296, 0.51%, 0.00%), (INTU, 272, 0.51%, 0.00%), (MET, 2,578, 0.49%, 0.00%), (NOW, 200, 0.47%, 0.00%), (PEP, 1,283, 0.46%, 0.00%), (DE, 364, 0.45%, 0.00%), (TXN, 817, 0.43%, 0.00%), (ACN, 606, 0.42%, 0.00%), (T, 6,174, 0.41%, 0.00%), (MS, 1,169, 0.40%, 0.00%), (MRK, 2,002, 0.40%, 0.00%), (AXP, 525, 0.39%, 0.00%), (ADBE, 427, 0.39%, 0.00%), (QCOM, 995, 0.39%, 0.00%), (SPGI, 299, 0.38%, 0.00%), (VZ, 3,622, 0.38%, 0.00%), (UNP, 664, 0.37%, 0.00%), (BLK, 137, 0.37%, 0.00%), (DIS, 1,234, 0.37%, 0.00%), (MDT, 1,617, 0.36%, 0.00%), (COP, 1,559, 0.35%, 0.00%), (SBUX, 1,499, 0.35%, 0.00%), (C, 1,470, 0.34%, 0.00%), (AMAT, 738, 0.34%, 0.00%), (SCHW, 1,409, 0.33%, 0.00%), (AMGN, 428, 0.32%, 0.00%), (LMT, 302, 0.31%, 0.00%), (TMO, 303, 0.31%, 0.00%), (MMM, 780, 0.29%, 0.00%), (EMR, 816, 0.29%, 0.00%), (PFE, 4,486, 0.27%, 0.00%), (GILD, 986, 0.27%, 0.00%), (TJX, 814, 0.25%, 0.00%), (CVS, 1,586, 0.24%, 0.00%), (DHR, 509, 0.23%, 0.00%), (MO, 1,585, 0.23%, 0.00%), (LOW, 409, 0.22%, 0.00%), (CMCSA, 2,601, 0.22%, 0.00%), (INTC, 3,861, 0.22%, 0.00%), (MDLZ, 1,251, 0.22%, 0.00%), (ELV, 292, 0.20%, 0.00%), (UPS, 801, 0.20%, 0.00%), (BMY, 1,605, 0.19%, 0.00%), (PYPL, 945, 0.17%,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</si>
  <si>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NVDA, MSFT, AAPL, AMZN, AVGO, META</t>
  </si>
  <si>
    <t>(BRK/B, 1,876, 1.85%, 0.00%), (GOOGL, 4,322, 1.69%, 0.00%), (CSCO, 11,389, 1.61%, 0.00%), (LIN, 1,612, 1.57%, 0.00%), (AMT, 3,269, 1.56%, 0.00%), (TSLA, 2,158, 1.47%, 0.00%), (JPM, 2,375, 1.44%, 0.00%), (GOOG, 3,520, 1.38%, 0.00%), (XOM, 5,750, 1.29%, 0.00%), (V, 1,769, 1.28%, 0.00%), (LLY, 677, 1.08%, 0.00%), (CB, 1,804, 1.04%, 0.00%), (MA, 839, 0.97%, 0.00%), (WM, 2,021, 0.95%, 0.00%), (GE, 1,682, 0.90%, 0.00%), (ORCL, 1,692, 0.83%, 0.00%), (NEE, 5,192, 0.82%, 0.00%), (NFLX, 316, 0.78%, 0.00%), (UNH, 1,260, 0.74%, 0.00%), (JNJ, 2,069, 0.71%, 0.00%), (PG, 2,177, 0.71%, 0.00%), (COST, 352, 0.69%, 0.00%), (WMT, 3,444, 0.68%, 0.00%), (CVX, 2,186, 0.68%, 0.00%), (PLTR, 2,159, 0.66%, 0.00%), (CAT, 751, 0.65%, 0.00%), (RTX, 2,069, 0.64%, 0.00%), (MCD, 1,029, 0.63%, 0.00%), (ABT, 2,374, 0.61%, 0.00%), (ABBV, 1,519, 0.59%, 0.00%), (HD, 778, 0.59%, 0.00%), (BKNG, 48, 0.57%, 0.00%), (KO, 3,920, 0.56%, 0.00%), (IBM, 973, 0.56%, 0.00%), (BAC, 5,632, 0.56%, 0.00%), (PM, 1,579, 0.55%, 0.00%), (BA, 1,162, 0.55%, 0.00%), (CRM, 1,007, 0.55%, 0.00%), (SO, 2,766, 0.54%, 0.00%), (NKE, 3,363, 0.52%, 0.00%), (ISRG, 487, 0.51%, 0.00%), (AMD, 1,577, 0.50%, 0.00%), (HON, 1,010, 0.49%, 0.00%), (DUK, 1,950, 0.49%, 0.00%), (WFC, 2,809, 0.47%, 0.00%), (UBER, 2,503, 0.47%, 0.00%), (ETN, 614, 0.47%, 0.00%), (GS, 321, 0.47%, 0.00%), (INTU, 295, 0.47%, 0.00%), (MET, 2,800, 0.45%, 0.00%), (NOW, 217, 0.42%, 0.00%), (PEP, 1,393, 0.42%, 0.00%), (DE, 395, 0.41%, 0.00%), (TXN, 887, 0.39%, 0.00%), (ACN, 661, 0.39%, 0.00%), (T, 6,702, 0.38%, 0.00%), (MS, 1,269, 0.37%, 0.00%), (MRK, 2,174, 0.37%, 0.00%), (AXP, 569, 0.36%, 0.00%), (ADBE, 463, 0.36%, 0.00%), (QCOM, 1,079, 0.35%, 0.00%), (SPGI, 325, 0.35%, 0.00%), (VZ, 3,932, 0.34%, 0.00%), (UNP, 720, 0.34%, 0.00%), (BLK, 149, 0.34%, 0.00%), (DIS, 1,339, 0.33%, 0.00%), (MDT, 1,755, 0.33%, 0.00%), (COP, 1,692, 0.32%, 0.00%), (SBUX, 1,627, 0.32%, 0.00%), (C, 1,596, 0.31%, 0.00%), (AMAT, 801, 0.31%, 0.00%), (SCHW, 1,530, 0.30%, 0.00%), (AMGN, 463, 0.29%, 0.00%), (LMT, 328, 0.29%, 0.00%), (TMO, 329, 0.28%, 0.00%), (MMM, 847, 0.26%, 0.00%), (EMR, 887, 0.26%, 0.00%), (PFE, 4,870, 0.25%, 0.00%), (GILD, 1,071, 0.24%, 0.00%), (TJX, 884, 0.23%, 0.00%), (CVS, 1,722, 0.22%, 0.00%), (DHR, 552, 0.21%, 0.00%), (MO, 1,720, 0.21%, 0.00%), (LOW, 445, 0.20%, 0.00%), (CMCSA, 2,823, 0.20%, 0.00%), (INTC, 4,191, 0.20%, 0.00%), (MDLZ, 1,358, 0.20%, 0.00%), (ELV, 317, 0.19%, 0.00%), (UPS, 869, 0.18%, 0.00%), (BMY, 1,743, 0.17%, 0.00%), (PYPL, 1,026, 0.16%, 0.00%), (CL, 755, 0.14%, 0.00%), (FDX, 267, 0.13%, 0.00%), (USB, 1,316, 0.13%, 0.00%), (TGT, 365, 0.08%, 0.00%), (SC13481B, nan, nan%, 0.00%), (SC13483B, nan, nan%, 0.00%), (SP13482B, nan, nan%, 0.00%), (SP13485B, nan, nan%, 0.00%), (SP13484B, nan, nan%, 0.00%), (XP13485B, nan, nan%, 0.00%)</t>
  </si>
  <si>
    <t>(AVGO, 8,548, 3.01%, 0.00%), (META, 3,036, 2.70%, 0.00%), (BRK/B, 3,533, 2.13%, 0.00%), (GOOGL, 8,139, 1.94%, 0.00%), (CSCO, 21,450, 1.85%, 0.00%), (LIN, 3,035, 1.81%, 0.00%), (AMT, 6,157, 1.79%, 0.00%), (TSLA, 4,063, 1.69%, 0.00%), (JPM, 4,473, 1.65%, 0.00%), (GOOG, 6,629, 1.59%, 0.00%), (XOM, 10,828, 1.48%, 0.00%), (V, 3,331, 1.48%, 0.00%), (LLY, 1,275, 1.24%, 0.00%), (CB, 3,398, 1.19%, 0.00%), (MA, 1,580, 1.11%, 0.00%), (WM, 3,806, 1.09%, 0.00%), (GE, 3,168, 1.04%, 0.00%), (ORCL, 3,187, 0.96%, 0.00%), (NEE, 9,777, 0.94%, 0.00%), (NFLX, 595, 0.90%, 0.00%), (UNH, 2,372, 0.85%, 0.00%), (JNJ, 3,896, 0.82%, 0.00%), (PG, 4,100, 0.81%, 0.00%), (COST, 662, 0.79%, 0.00%), (WMT, 6,486, 0.78%, 0.00%), (CVX, 4,117, 0.78%, 0.00%), (PLTR, 4,065, 0.76%, 0.00%), (CAT, 1,413, 0.74%, 0.00%), (RTX, 3,896, 0.73%, 0.00%), (MCD, 1,937, 0.73%, 0.00%), (ABT, 4,470, 0.70%, 0.00%), (HD, 1,466, 0.68%, 0.00%), (ABBV, 2,860, 0.67%, 0.00%), (KO, 7,451, 0.65%, 0.00%), (IBM, 1,834, 0.65%, 0.00%), (BKNG, 89, 0.65%, 0.00%), (BAC, 10,607, 0.64%, 0.00%), (PM, 2,973, 0.63%, 0.00%), (BA, 2,188, 0.63%, 0.00%), (CRM, 1,896, 0.63%, 0.00%), (SO, 5,209, 0.63%, 0.00%), (NKE, 6,333, 0.60%, 0.00%), (ISRG, 918, 0.59%, 0.00%), (AMD, 2,970, 0.58%, 0.00%), (HON, 1,903, 0.57%, 0.00%), (DUK, 3,673, 0.56%, 0.00%), (WFC, 5,290, 0.55%, 0.00%), (UBER, 4,713, 0.54%, 0.00%), (ETN, 1,157, 0.54%, 0.00%), (GS, 605, 0.54%, 0.00%), (INTU, 556, 0.53%, 0.00%), (MET, 5,272, 0.51%, 0.00%), (NOW, 409, 0.49%, 0.00%), (PEP, 2,623, 0.48%, 0.00%), (DE, 745, 0.47%, 0.00%), (TXN, 1,670, 0.45%, 0.00%), (ACN, 1,239, 0.44%, 0.00%), (T, 12,623, 0.43%, 0.00%), (MS, 2,391, 0.42%, 0.00%), (MRK, 4,094, 0.42%, 0.00%), (AXP, 1,073, 0.41%, 0.00%), (ADBE, 873, 0.41%, 0.00%), (QCOM, 2,033, 0.40%, 0.00%), (SPGI, 612, 0.40%, 0.00%), (VZ, 7,406, 0.39%, 0.00%), (UNP, 1,357, 0.39%, 0.00%), (BLK, 281, 0.39%, 0.00%), (DIS, 2,522, 0.38%, 0.00%), (MDT, 3,305, 0.38%, 0.00%), (COP, 3,187, 0.37%, 0.00%), (SBUX, 3,064, 0.37%, 0.00%), (C, 3,005, 0.36%, 0.00%), (AMAT, 1,509, 0.35%, 0.00%), (SCHW, 2,881, 0.35%, 0.00%), (AMGN, 874, 0.33%, 0.00%), (TMO, 619, 0.33%, 0.00%), (LMT, 618, 0.33%, 0.00%), (MMM, 1,594, 0.30%, 0.00%), (EMR, 1,669, 0.30%, 0.00%), (PFE, 9,171, 0.29%, 0.00%), (GILD, 2,017, 0.28%, 0.00%), (TJX, 1,664, 0.26%, 0.00%), (CVS, 3,243, 0.25%, 0.00%), (DHR, 1,040, 0.25%, 0.00%), (MO, 3,241, 0.24%, 0.00%), (LOW, 837, 0.24%, 0.00%), (CMCSA, 5,317, 0.23%, 0.00%), (INTC, 7,894, 0.23%, 0.00%), (MDLZ, 2,557, 0.23%, 0.00%), (ELV, 598, 0.21%, 0.00%), (UPS, 1,637, 0.21%, 0.00%), (BMY, 3,282, 0.20%, 0.00%), (PYPL, 1,932, 0.18%,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</si>
  <si>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BKNG, MSFT, META, JPM, BLK, EWBC, GOOGL, UNM, MLI, RJF</t>
  </si>
  <si>
    <t>(AMAT, 5,696, 1.91%, 0.00%), (V, 2,973, 1.88%, 0.00%), (EA, 6,630, 1.85%, 0.00%), (AXP, 3,354, 1.84%, 0.00%), (PHM, 8,436, 1.80%, 0.00%), (TRV, 3,783, 1.79%, 0.00%), (SNA, 2,964, 1.77%, 0.01%), (HIG, 7,961, 1.75%, 0.00%), (ADP, 3,176, 1.72%, 0.00%), (PCAR, 9,402, 1.71%, 0.00%), (NVDA, 5,555, 1.68%, 0.00%), (KLAC, 1,052, 1.67%, 0.00%), (CTSH, 12,016, 1.66%, 0.00%), (CB, 3,354, 1.62%, 0.00%), (ROST, 6,624, 1.62%, 0.00%), (CRM, 3,406, 1.60%, 0.00%), (SYF, 12,415, 1.57%, 0.00%), (PAYC, 3,637, 1.52%, 0.01%), (LEN, 7,018, 1.47%, 0.00%), (ACN, 2,833, 1.46%, 0.00%), (WSM, 4,204, 1.37%, 0.00%), (QCOM, 4,796, 1.35%, 0.00%), (BKR, 17,683, 1.32%, 0.00%), (DHI, 4,664, 1.25%, 0.00%), (ODFL, 4,074, 1.21%, 0.00%), (AFL, 6,568, 1.20%, 0.00%), (AAPL, 3,096, 1.18%, 0.00%), (ELV, 2,277, 1.16%, 0.00%), (CSCO, 8,896, 1.09%, 0.00%), (LRCX, 6,125, 1.06%, 0.00%), (GE, 2,147, 1.01%, 0.00%), (MPWR, 759, 0.97%, 0.00%), (STT, 4,930, 0.96%, 0.00%), (CF, 5,635, 0.94%, 0.00%), (PNC, 2,640, 0.92%, 0.00%), (AMP, 960, 0.92%, 0.00%), (MTB, 2,624, 0.91%, 0.00%), (CSL, 1,106, 0.84%, 0.00%), (COST, 493, 0.83%, 0.00%), (XOM, 4,128, 0.81%, 0.00%), (ABT, 3,549, 0.80%, 0.00%), (EOG, 3,713, 0.78%, 0.00%), (EG, 1,249, 0.75%, 0.00%), (GEV, 503, 0.56%, 0.00%), (NTRS, 2,289, 0.50%, 0.00%), (CRBG, 7,863, 0.49%, 0.00%), (MA, 477, 0.48%, 0.00%), (JNJ, 1,532, 0.46%, 0.00%), (DOV, 1,338, 0.46%, 0.00%), (WTFC, 1,844, 0.45%, 0.00%), (ACM, 2,165, 0.44%, 0.00%), (SLM, 7,348, 0.43%, 0.00%), (CINF, 1,592, 0.43%, 0.00%), (MCK, 331, 0.42%, 0.00%), (EQH, 4,437, 0.42%, 0.00%), (JXN, 2,583, 0.41%, 0.00%), (MTG, 8,993, 0.41%, 0.00%), (ALL, 1,133, 0.40%, 0.00%), (NUE, 1,530, 0.40%, 0.00%), (LNC, 6,259, 0.39%, 0.00%), (NKE, 2,790, 0.38%, 0.00%), (ADM, 3,811, 0.38%, 0.00%), (PGR, 835, 0.37%, 0.00%), (FANG, 1,191, 0.30%, 0.00%), (SC13N61B, nan, nan%, 0.00%), (SC13N63B, nan, nan%, 0.00%), (SP13N62B, nan, nan%, 0.00%), (SP13N65B, nan, nan%, 0.00%), (SP13N64B, nan, nan%, 0.00%), (SPX Index, nan, nan%, 0.00%), (XP13N65B, nan, nan%, 0.00%)</t>
  </si>
  <si>
    <t>(AVGO, 3,958, 3.11%, 0.00%), (META, 1,406, 2.82%, 0.00%), (BRK/B, 1,636, 2.24%, 0.00%), (GOOGL, 3,769, 2.02%, 0.00%), (CSCO, 9,933, 1.93%, 0.00%), (LIN, 1,405, 1.89%, 0.00%), (AMT, 2,851, 1.88%, 0.00%), (TSLA, 1,882, 1.77%, 0.00%), (JPM, 2,071, 1.73%, 0.00%), (GOOG, 3,070, 1.65%, 0.00%), (XOM, 5,014, 1.56%, 0.00%), (V, 1,542, 1.55%, 0.00%), (LLY, 590, 1.31%, 0.00%), (CB, 1,573, 1.21%, 0.00%), (MA, 732, 1.16%, 0.00%), (WM, 1,762, 1.14%, 0.00%), (GE, 1,467, 1.09%, 0.00%), (ORCL, 1,476, 1.01%, 0.00%), (NEE, 4,527, 0.98%, 0.00%), (NFLX, 276, 0.93%, 0.00%), (UNH, 1,098, 0.89%, 0.00%), (JNJ, 1,804, 0.86%, 0.00%), (PG, 1,898, 0.85%, 0.00%), (COST, 307, 0.83%, 0.00%), (CVX, 1,907, 0.82%, 0.00%), (WMT, 3,004, 0.82%, 0.00%), (PLTR, 1,882, 0.80%, 0.00%), (CAT, 654, 0.79%, 0.00%), (RTX, 1,804, 0.77%, 0.00%), (MCD, 897, 0.76%, 0.00%), (ABT, 2,070, 0.74%, 0.00%), (HD, 679, 0.72%, 0.00%), (ABBV, 1,324, 0.71%, 0.00%), (KO, 3,452, 0.68%, 0.00%), (IBM, 849, 0.68%, 0.00%), (BKNG, 41, 0.67%, 0.00%), (BAC, 4,912, 0.67%, 0.00%), (BA, 1,013, 0.66%, 0.00%), (CRM, 878, 0.66%, 0.00%), (SO, 2,412, 0.66%, 0.00%), (PM, 1,377, 0.65%, 0.00%), (NKE, 2,933, 0.64%, 0.00%), (ISRG, 425, 0.62%, 0.00%), (AMD, 1,375, 0.61%, 0.00%), (HON, 881, 0.60%, 0.00%), (DUK, 1,701, 0.58%, 0.00%), (ETN, 536, 0.58%, 0.00%), (WFC, 2,450, 0.58%, 0.00%), (UBER, 2,183, 0.56%, 0.00%), (GS, 280, 0.56%, 0.00%), (INTU, 257, 0.56%, 0.00%), (MET, 2,441, 0.54%, 0.00%), (PEP, 1,215, 0.51%, 0.00%), (NOW, 189, 0.50%, 0.00%), (DE, 345, 0.50%, 0.00%), (ACN, 574, 0.47%, 0.00%), (T, 5,845, 0.45%, 0.00%), (MRK, 1,896, 0.44%, 0.00%), (MS, 1,107, 0.44%, 0.00%), (AXP, 497, 0.43%, 0.00%), (ADBE, 404, 0.42%, 0.00%), (QCOM, 942, 0.42%, 0.00%), (SPGI, 283, 0.41%, 0.00%), (TXN, 773, 0.41%, 0.00%), (BLK, 130, 0.41%, 0.00%), (VZ, 3,429, 0.41%, 0.00%), (DIS, 1,168, 0.41%, 0.00%), (UNP, 628, 0.41%, 0.00%), (MDT, 1,530, 0.40%, 0.00%), (COP, 1,476, 0.39%, 0.00%), (SBUX, 1,419, 0.39%, 0.00%), (C, 1,392, 0.37%, 0.00%), (AMAT, 699, 0.37%, 0.00%), (TMO, 287, 0.37%, 0.00%), (SCHW, 1,334, 0.36%, 0.00%), (AMGN, 405, 0.35%, 0.00%), (LMT, 286, 0.34%, 0.00%), (EMR, 773, 0.32%, 0.00%), (MMM, 738, 0.32%, 0.00%), (PFE, 4,247, 0.30%, 0.00%), (GILD, 934, 0.29%, 0.00%), (TJX, 771, 0.28%, 0.00%), (DHR, 482, 0.27%, 0.00%), (CVS, 1,502, 0.26%, 0.00%), (MO, 1,501, 0.25%, 0.00%), (CMCSA, 2,462, 0.25%, 0.00%), (MDLZ, 1,184, 0.24%, 0.00%), (INTC, 3,655, 0.24%, 0.00%), (ELV, 277, 0.23%, 0.00%), (UPS, 758, 0.22%, 0.00%), (BMY, 1,520, 0.21%, 0.00%), (PYPL, 895, 0.19%, 0.00%), (LOW, 288, 0.19%,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</si>
  <si>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3.00%, 0.00%), (META, 925, 2.72%, 0.00%), (BRK/B, 1,077, 2.16%, 0.00%), (GOOGL, 2,480, 1.95%, 0.00%), (CSCO, 6,537, 1.86%, 0.00%), (LIN, 925, 1.83%, 0.00%), (AMT, 1,876, 1.82%, 0.00%), (TSLA, 1,238, 1.70%, 0.00%), (JPM, 1,363, 1.67%, 0.00%), (GOOG, 2,020, 1.59%, 0.00%), (XOM, 3,300, 1.50%, 0.00%), (V, 1,015, 1.49%, 0.00%), (LLY, 389, 1.26%, 0.00%), (CB, 1,035, 1.16%, 0.00%), (MA, 481, 1.12%, 0.00%), (WM, 1,160, 1.10%, 0.00%), (GE, 966, 1.05%, 0.00%), (ORCL, 971, 0.97%, 0.00%), (NEE, 2,980, 0.94%, 0.00%), (NFLX, 181, 0.90%, 0.00%), (UNH, 723, 0.86%, 0.00%), (JNJ, 1,187, 0.83%, 0.00%), (PG, 1,249, 0.82%, 0.00%), (COST, 202, 0.80%, 0.00%), (CVX, 1,255, 0.79%, 0.00%), (WMT, 1,977, 0.79%, 0.00%), (PLTR, 1,239, 0.77%, 0.00%), (CAT, 431, 0.76%, 0.00%), (RTX, 1,187, 0.75%, 0.00%), (MCD, 590, 0.74%, 0.00%), (ABT, 1,362, 0.71%, 0.00%), (HD, 447, 0.69%, 0.00%), (ABBV, 872, 0.68%, 0.00%), (KO, 2,272, 0.66%, 0.00%), (IBM, 559, 0.66%, 0.00%), (BKNG, 27, 0.65%, 0.00%), (BAC, 3,232, 0.64%, 0.00%), (BA, 667, 0.64%, 0.00%), (SO, 1,588, 0.63%, 0.00%), (CRM, 578, 0.63%, 0.00%), (PM, 906, 0.62%, 0.00%), (NKE, 1,930, 0.61%, 0.00%), (ISRG, 280, 0.60%, 0.00%), (AMD, 905, 0.59%, 0.00%), (HON, 580, 0.57%, 0.00%), (DUK, 1,119, 0.56%, 0.00%), (ETN, 353, 0.56%, 0.00%), (WFC, 1,612, 0.56%, 0.00%), (UBER, 1,436, 0.54%, 0.00%), (GS, 184, 0.54%, 0.00%), (INTU, 169, 0.54%, 0.00%), (MET, 1,607, 0.52%, 0.00%), (NOW, 124, 0.49%, 0.00%), (PEP, 799, 0.49%, 0.00%), (DE, 227, 0.48%, 0.00%), (ACN, 378, 0.45%, 0.00%), (T, 3,847, 0.43%, 0.00%), (MRK, 1,248, 0.43%, 0.00%), (MS, 729, 0.43%, 0.00%), (AXP, 327, 0.42%, 0.00%), (ADBE, 266, 0.41%, 0.00%), (QCOM, 620, 0.41%, 0.00%), (TXN, 509, 0.40%, 0.00%), (SPGI, 186, 0.40%, 0.00%), (BLK, 86, 0.40%, 0.00%), (VZ, 2,257, 0.40%, 0.00%), (UNP, 414, 0.39%, 0.00%), (DIS, 769, 0.39%, 0.00%), (MDT, 1,007, 0.38%, 0.00%), (COP, 971, 0.38%, 0.00%), (SBUX, 934, 0.38%, 0.00%), (C, 916, 0.36%, 0.00%), (AMAT, 460, 0.36%, 0.00%), (SCHW, 878, 0.35%, 0.00%), (TMO, 189, 0.35%, 0.00%), (AMGN, 267, 0.34%, 0.00%), (LMT, 188, 0.33%, 0.00%), (EMR, 509, 0.31%, 0.00%), (MMM, 486, 0.31%, 0.00%), (PFE, 2,795, 0.29%, 0.00%), (GILD, 615, 0.28%, 0.00%), (TJX, 507, 0.27%, 0.00%), (DHR, 317, 0.26%, 0.00%), (CVS, 988, 0.25%, 0.00%), (MO, 988, 0.24%, 0.00%), (CMCSA, 1,620, 0.24%, 0.00%), (MDLZ, 779, 0.23%, 0.00%), (INTC, 2,406, 0.23%, 0.00%), (ELV, 182, 0.22%, 0.00%), (UPS, 499, 0.21%, 0.00%), (BMY, 1,000, 0.20%, 0.00%), (PYPL, 589, 0.19%, 0.00%), (CL, 433, 0.16%, 0.00%), (FDX, 153, 0.15%, 0.00%), (LOW, 155, 0.15%, 0.00%), (USB, 755, 0.15%, 0.00%), (TGT, 210, 0.09%, 0.00%), (SC9061B, nan, nan%, 0.00%), (SC9063B, nan, nan%, 0.00%), (SP9062B, nan, nan%, 0.00%), (SP9065B, nan, nan%, 0.00%), (SP9064B, nan, nan%, 0.00%), (XP9065B, nan, nan%, 0.00%)</t>
  </si>
  <si>
    <t>(META, 585, 2.65%, 0.00%), (BRK/B, 681, 2.10%, 0.00%), (GOOGL, 1,568, 1.90%, 0.00%), (CSCO, 4,132, 1.81%, 0.00%), (LIN, 585, 1.78%, 0.00%), (AMT, 1,186, 1.77%, 0.00%), (TSLA, 783, 1.66%, 0.00%), (JPM, 862, 1.63%, 0.00%), (GOOG, 1,277, 1.56%, 0.00%), (XOM, 2,086, 1.47%, 0.00%), (V, 642, 1.45%, 0.00%), (LLY, 246, 1.23%, 0.00%), (CB, 655, 1.14%, 0.00%), (MA, 304, 1.09%, 0.00%), (WM, 733, 1.07%, 0.00%), (GE, 610, 1.03%, 0.00%), (ORCL, 614, 0.95%, 0.00%), (NEE, 1,883, 0.92%, 0.00%), (NFLX, 115, 0.88%, 0.00%), (UNH, 457, 0.84%, 0.00%), (JNJ, 751, 0.81%, 0.00%), (PG, 790, 0.80%, 0.00%), (COST, 128, 0.78%, 0.00%), (CVX, 793, 0.77%, 0.00%), (WMT, 1,249, 0.77%, 0.00%), (PLTR, 783, 0.75%, 0.00%), (CAT, 272, 0.74%, 0.00%), (RTX, 751, 0.73%, 0.00%), (MCD, 373, 0.72%, 0.00%), (ABT, 861, 0.69%, 0.00%), (HD, 282, 0.67%, 0.00%), (ABBV, 551, 0.66%, 0.00%), (KO, 1,435, 0.64%, 0.00%), (IBM, 353, 0.64%, 0.00%), (BKNG, 17, 0.63%, 0.00%), (BAC, 2,043, 0.63%, 0.00%), (BA, 422, 0.63%, 0.00%), (SO, 1,004, 0.62%, 0.00%), (CRM, 365, 0.62%, 0.00%), (PM, 573, 0.61%, 0.00%), (NKE, 1,220, 0.60%, 0.00%), (ISRG, 177, 0.59%, 0.00%), (AMD, 572, 0.58%, 0.00%), (HON, 367, 0.56%, 0.00%), (DUK, 708, 0.55%, 0.00%), (ETN, 223, 0.55%, 0.00%), (WFC, 1,019, 0.54%, 0.00%), (UBER, 908, 0.53%, 0.00%), (GS, 117, 0.53%, 0.00%), (INTU, 107, 0.53%, 0.00%), (MET, 1,016, 0.51%, 0.00%), (NOW, 79, 0.48%, 0.00%), (PEP, 505, 0.48%, 0.00%), (DE, 143, 0.47%, 0.00%), (ACN, 239, 0.44%, 0.00%), (T, 2,432, 0.42%, 0.00%), (MRK, 789, 0.42%, 0.00%), (MS, 461, 0.42%, 0.00%), (AXP, 207, 0.41%, 0.00%), (ADBE, 168, 0.40%, 0.00%), (QCOM, 392, 0.40%, 0.00%), (SPGI, 118, 0.39%, 0.00%), (TXN, 322, 0.39%, 0.00%), (VZ, 1,427, 0.39%, 0.00%), (BLK, 54, 0.38%, 0.00%), (DIS, 486, 0.38%, 0.00%), (UNP, 261, 0.38%, 0.00%), (MDT, 637, 0.37%, 0.00%), (COP, 614, 0.37%, 0.00%), (SBUX, 590, 0.37%, 0.00%), (TMO, 119, 0.36%, 0.00%), (C, 579, 0.35%, 0.00%), (AMAT, 291, 0.35%, 0.00%), (SCHW, 555, 0.34%, 0.00%), (AMGN, 168, 0.33%, 0.00%), (LMT, 119, 0.32%, 0.00%), (EMR, 322, 0.30%, 0.00%), (MMM, 307, 0.30%, 0.00%), (PFE, 1,767, 0.29%, 0.00%), (GILD, 389, 0.28%, 0.00%), (TJX, 321, 0.26%, 0.00%), (DHR, 200, 0.25%, 0.00%), (CVS, 625, 0.25%, 0.00%), (MO, 624, 0.24%, 0.00%), (LOW, 161, 0.24%, 0.00%), (CMCSA, 1,024, 0.23%, 0.00%), (MDLZ, 493, 0.22%, 0.00%), (INTC, 1,521, 0.22%, 0.00%), (ELV, 115, 0.21%, 0.00%), (UPS, 315, 0.20%, 0.00%), (BMY, 632, 0.20%, 0.00%), (PYPL, 372, 0.18%, 0.00%), (CL, 274, 0.16%,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</si>
  <si>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2.98%, 0.00%), (META, 5,300, 2.70%, 0.00%), (BRK/B, 6,166, 2.14%, 0.00%), (GOOGL, 14,206, 1.93%, 0.00%), (CSCO, 37,440, 1.85%, 0.00%), (LIN, 5,297, 1.81%, 0.00%), (AMT, 10,746, 1.80%, 0.00%), (TSLA, 7,092, 1.69%, 0.00%), (JPM, 7,808, 1.66%, 0.00%), (GOOG, 11,571, 1.58%, 0.00%), (XOM, 18,900, 1.49%, 0.00%), (V, 5,813, 1.48%, 0.00%), (LLY, 2,226, 1.25%, 0.00%), (CB, 5,931, 1.16%, 0.00%), (MA, 2,757, 1.11%, 0.00%), (WM, 6,643, 1.09%, 0.00%), (GE, 5,530, 1.05%, 0.00%), (ORCL, 5,563, 0.97%, 0.00%), (NEE, 17,065, 0.93%, 0.00%), (NFLX, 1,039, 0.89%, 0.00%), (UNH, 4,140, 0.85%, 0.00%), (JNJ, 6,801, 0.82%, 0.00%), (PG, 7,156, 0.82%, 0.00%), (COST, 1,156, 0.79%, 0.00%), (CVX, 7,187, 0.79%, 0.00%), (WMT, 11,321, 0.78%, 0.00%), (PLTR, 7,095, 0.77%, 0.00%), (CAT, 2,467, 0.75%, 0.00%), (RTX, 6,801, 0.74%, 0.00%), (MCD, 3,381, 0.73%, 0.00%), (ABT, 7,802, 0.71%, 0.00%), (HD, 2,559, 0.69%, 0.00%), (ABBV, 4,992, 0.68%, 0.00%), (KO, 13,014, 0.66%, 0.00%), (IBM, 3,200, 0.65%, 0.00%), (BKNG, 156, 0.65%, 0.00%), (BAC, 18,513, 0.64%, 0.00%), (BA, 3,820, 0.64%, 0.00%), (CRM, 3,309, 0.63%, 0.00%), (SO, 9,093, 0.63%, 0.00%), (PM, 5,189, 0.62%, 0.00%), (NKE, 11,054, 0.61%, 0.00%), (ISRG, 1,602, 0.60%, 0.00%), (AMD, 5,184, 0.59%, 0.00%), (HON, 3,322, 0.57%, 0.00%), (DUK, 6,411, 0.56%, 0.00%), (ETN, 2,019, 0.56%, 0.00%), (WFC, 9,234, 0.55%, 0.00%), (UBER, 8,227, 0.54%, 0.00%), (GS, 1,056, 0.54%, 0.00%), (INTU, 970, 0.54%, 0.00%), (MET, 9,202, 0.52%, 0.00%), (NOW, 713, 0.49%, 0.00%), (PEP, 4,579, 0.48%, 0.00%), (DE, 1,300, 0.48%, 0.00%), (ACN, 2,163, 0.45%, 0.00%), (T, 22,033, 0.43%, 0.00%), (MRK, 7,146, 0.42%, 0.00%), (MS, 4,173, 0.42%, 0.00%), (AXP, 1,872, 0.42%, 0.00%), (ADBE, 1,524, 0.41%, 0.00%), (QCOM, 3,549, 0.40%, 0.00%), (SPGI, 1,068, 0.40%, 0.00%), (TXN, 2,914, 0.40%, 0.00%), (VZ, 12,926, 0.39%, 0.00%), (BLK, 490, 0.39%, 0.00%), (UNP, 2,369, 0.39%, 0.00%), (DIS, 4,403, 0.39%, 0.00%), (MDT, 5,769, 0.38%, 0.00%), (COP, 5,562, 0.38%, 0.00%), (SBUX, 5,348, 0.37%, 0.00%), (C, 5,245, 0.36%, 0.00%), (AMAT, 2,634, 0.36%, 0.00%), (TMO, 1,080, 0.35%, 0.00%), (SCHW, 5,029, 0.35%, 0.00%), (AMGN, 1,527, 0.34%, 0.00%), (LMT, 1,078, 0.32%, 0.00%), (EMR, 2,913, 0.31%, 0.00%), (MMM, 2,782, 0.31%, 0.00%), (PFE, 16,008, 0.29%, 0.00%), (GILD, 3,520, 0.28%, 0.00%), (TJX, 2,905, 0.26%, 0.00%), (DHR, 1,816, 0.26%, 0.00%), (CVS, 5,661, 0.25%, 0.00%), (MO, 5,656, 0.24%, 0.00%), (CMCSA, 9,280, 0.24%, 0.00%), (MDLZ, 4,463, 0.23%, 0.00%), (INTC, 13,778, 0.23%, 0.00%), (ELV, 1,043, 0.22%, 0.00%), (UPS, 2,857, 0.21%, 0.00%), (BMY, 5,729, 0.20%, 0.00%), (PYPL, 3,373, 0.18%, 0.00%), (LOW, 1,061, 0.17%, 0.00%), (CL, 2,483, 0.16%, 0.00%), (FDX, 878, 0.15%, 0.00%), (USB, 4,327, 0.14%, 0.00%), (TGT, 1,202, 0.09%, 0.00%), (SC23471B, nan, nan%, 0.00%), (SC23473B, nan, nan%, 0.00%), (SP23472B, nan, nan%, 0.00%), (SP23475B, nan, nan%, 0.00%), (SP23474B, nan, nan%, 0.00%), (XP23475B, nan, nan%, 0.00%)</t>
  </si>
  <si>
    <t>(AVGO, 11,111, 2.97%, 0.00%), (META, 3,947, 2.69%, 0.00%), (BRK/B, 4,592, 2.14%, 0.00%), (GOOGL, 10,579, 1.93%, 0.00%), (CSCO, 27,882, 1.84%, 0.00%), (LIN, 3,945, 1.81%, 0.00%), (AMT, 8,003, 1.80%, 0.00%), (TSLA, 5,282, 1.68%, 0.00%), (JPM, 5,815, 1.65%, 0.00%), (GOOG, 8,617, 1.58%, 0.00%), (XOM, 14,075, 1.49%, 0.00%), (V, 4,329, 1.48%, 0.00%), (LLY, 1,658, 1.25%, 0.00%), (CB, 4,417, 1.15%, 0.00%), (MA, 2,053, 1.10%, 0.00%), (WM, 4,947, 1.09%, 0.00%), (GE, 4,118, 1.04%, 0.00%), (ORCL, 4,143, 0.96%, 0.00%), (NEE, 12,709, 0.93%, 0.00%), (NFLX, 774, 0.89%, 0.00%), (UNH, 3,083, 0.85%, 0.00%), (JNJ, 5,065, 0.82%, 0.00%), (PG, 5,329, 0.82%, 0.00%), (COST, 861, 0.79%, 0.00%), (CVX, 5,352, 0.78%, 0.00%), (WMT, 8,431, 0.78%, 0.00%), (PLTR, 5,284, 0.77%, 0.00%), (CAT, 1,837, 0.75%, 0.00%), (RTX, 5,065, 0.74%, 0.00%), (MCD, 2,518, 0.73%, 0.00%), (ABT, 5,810, 0.71%, 0.00%), (HD, 1,905, 0.68%, 0.00%), (ABBV, 3,717, 0.68%, 0.00%), (KO, 9,691, 0.65%, 0.00%), (IBM, 2,383, 0.65%, 0.00%), (BKNG, 116, 0.65%, 0.00%), (BAC, 13,787, 0.64%, 0.00%), (BA, 2,845, 0.63%, 0.00%), (CRM, 2,464, 0.63%, 0.00%), (SO, 6,771, 0.63%, 0.00%), (PM, 3,864, 0.62%, 0.00%), (NKE, 8,232, 0.61%, 0.00%), (ISRG, 1,193, 0.59%, 0.00%), (AMD, 3,861, 0.58%, 0.00%), (HON, 2,474, 0.57%, 0.00%), (DUK, 4,774, 0.56%, 0.00%), (ETN, 1,504, 0.55%, 0.00%), (WFC, 6,876, 0.55%, 0.00%), (UBER, 6,127, 0.54%, 0.00%), (GS, 786, 0.54%, 0.00%), (INTU, 722, 0.53%, 0.00%), (MET, 6,852, 0.52%, 0.00%), (NOW, 531, 0.49%, 0.00%), (PEP, 3,410, 0.48%, 0.00%), (DE, 968, 0.48%, 0.00%), (ACN, 1,620, 0.45%, 0.00%), (T, 16,408, 0.43%, 0.00%), (MRK, 5,321, 0.42%, 0.00%), (MS, 3,108, 0.42%, 0.00%), (AXP, 1,394, 0.41%, 0.00%), (ADBE, 1,135, 0.41%, 0.00%), (QCOM, 2,643, 0.40%, 0.00%), (SPGI, 795, 0.40%, 0.00%), (TXN, 2,170, 0.40%, 0.00%), (VZ, 9,626, 0.39%, 0.00%), (BLK, 365, 0.39%, 0.00%), (UNP, 1,764, 0.39%, 0.00%), (DIS, 3,279, 0.39%, 0.00%), (MDT, 4,296, 0.38%, 0.00%), (COP, 4,142, 0.37%, 0.00%), (SBUX, 3,983, 0.37%, 0.00%), (C, 3,906, 0.36%, 0.00%), (TMO, 805, 0.36%, 0.00%), (AMAT, 1,961, 0.36%, 0.00%), (SCHW, 3,745, 0.35%, 0.00%), (AMGN, 1,137, 0.33%, 0.00%), (LMT, 803, 0.32%, 0.00%), (EMR, 2,170, 0.31%, 0.00%), (MMM, 2,072, 0.31%, 0.00%), (PFE, 11,921, 0.29%, 0.00%), (GILD, 2,622, 0.28%, 0.00%), (TJX, 2,163, 0.26%, 0.00%), (DHR, 1,352, 0.25%, 0.00%), (CVS, 4,215, 0.25%, 0.00%), (MO, 4,212, 0.24%, 0.00%), (CMCSA, 6,911, 0.24%, 0.00%), (MDLZ, 3,323, 0.23%, 0.00%), (INTC, 10,260, 0.23%, 0.00%), (ELV, 777, 0.22%, 0.00%), (UPS, 2,128, 0.21%, 0.00%), (BMY, 4,266, 0.20%, 0.00%), (PYPL, 2,512, 0.18%, 0.00%), (LOW, 788, 0.17%,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</si>
  <si>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2.57%, 0.00%), (BRK/B, 1,728, 2.04%, 0.00%), (GOOGL, 3,981, 1.84%, 0.00%), (CSCO, 10,491, 1.76%, 0.00%), (LIN, 1,484, 1.72%, 0.00%), (AMT, 3,011, 1.71%, 0.00%), (TSLA, 1,987, 1.61%, 0.00%), (JPM, 2,188, 1.58%, 0.00%), (GOOG, 3,242, 1.50%, 0.00%), (XOM, 5,296, 1.42%, 0.00%), (V, 1,629, 1.41%, 0.00%), (LLY, 624, 1.19%, 0.00%), (CB, 1,662, 1.10%, 0.00%), (MA, 773, 1.05%, 0.00%), (WM, 1,862, 1.04%, 0.00%), (GE, 1,550, 0.99%, 0.00%), (ORCL, 1,559, 0.92%, 0.00%), (NEE, 4,782, 0.89%, 0.00%), (NFLX, 291, 0.85%, 0.00%), (UNH, 1,160, 0.81%, 0.00%), (JNJ, 1,906, 0.78%, 0.00%), (PG, 2,005, 0.78%, 0.00%), (COST, 324, 0.75%, 0.00%), (CVX, 2,014, 0.75%, 0.00%), (WMT, 3,172, 0.74%, 0.00%), (PLTR, 1,988, 0.73%, 0.00%), (CAT, 691, 0.72%, 0.00%), (RTX, 1,906, 0.70%, 0.00%), (MCD, 948, 0.70%, 0.00%), (ABT, 2,186, 0.67%, 0.00%), (HD, 717, 0.65%, 0.00%), (ABBV, 1,399, 0.64%, 0.00%), (IBM, 897, 0.62%, 0.00%), (BKNG, 44, 0.62%, 0.00%), (KO, 3,644, 0.62%, 0.00%), (BAC, 5,188, 0.61%, 0.00%), (BA, 1,070, 0.60%, 0.00%), (CRM, 927, 0.60%, 0.00%), (SO, 2,548, 0.60%, 0.00%), (PM, 1,454, 0.59%, 0.00%), (NKE, 3,098, 0.58%, 0.00%), (ISRG, 449, 0.57%, 0.00%), (AMD, 1,453, 0.56%, 0.00%), (HON, 931, 0.54%, 0.00%), (DUK, 1,796, 0.53%, 0.00%), (ETN, 566, 0.53%, 0.00%), (WFC, 2,588, 0.52%, 0.00%), (UBER, 2,305, 0.51%, 0.00%), (GS, 296, 0.51%, 0.00%), (INTU, 272, 0.51%, 0.00%), (MET, 2,578, 0.49%, 0.00%), (NOW, 200, 0.47%, 0.00%), (PEP, 1,283, 0.46%, 0.00%), (DE, 364, 0.45%, 0.00%), (ACN, 606, 0.43%, 0.00%), (T, 6,174, 0.41%, 0.00%), (MRK, 2,002, 0.40%, 0.00%), (MS, 1,169, 0.40%, 0.00%), (AXP, 525, 0.39%, 0.00%), (ADBE, 427, 0.39%, 0.00%), (QCOM, 995, 0.38%, 0.00%), (SPGI, 299, 0.38%, 0.00%), (TXN, 817, 0.38%, 0.00%), (VZ, 3,622, 0.37%, 0.00%), (BLK, 137, 0.37%, 0.00%), (UNP, 664, 0.37%, 0.00%), (DIS, 1,234, 0.37%, 0.00%), (MDT, 1,617, 0.36%, 0.00%), (COP, 1,559, 0.36%, 0.00%), (SBUX, 1,499, 0.36%, 0.00%), (C, 1,470, 0.34%, 0.00%), (AMAT, 738, 0.34%, 0.00%), (TMO, 303, 0.33%, 0.00%), (SCHW, 1,409, 0.33%, 0.00%), (AMGN, 428, 0.32%, 0.00%), (LMT, 302, 0.31%, 0.00%), (EMR, 816, 0.29%, 0.00%), (MMM, 780, 0.29%, 0.00%), (PFE, 4,486, 0.28%, 0.00%), (GILD, 986, 0.27%, 0.00%), (TJX, 814, 0.25%, 0.00%), (DHR, 509, 0.24%, 0.00%), (CVS, 1,586, 0.24%, 0.00%), (MO, 1,585, 0.23%, 0.00%), (CMCSA, 2,601, 0.23%, 0.00%), (MDLZ, 1,251, 0.22%, 0.00%), (INTC, 3,861, 0.22%, 0.00%), (ELV, 292, 0.20%, 0.00%), (UPS, 801, 0.20%, 0.00%), (BMY, 1,605, 0.19%, 0.00%), (PYPL, 945, 0.18%, 0.00%), (LOW, 309, 0.17%,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</si>
  <si>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(BRK/B, 1,876, 1.86%, 0.00%), (GOOGL, 4,322, 1.68%, 0.00%), (CSCO, 11,389, 1.60%, 0.00%), (LIN, 1,612, 1.57%, 0.00%), (AMT, 3,269, 1.56%, 0.00%), (TSLA, 2,158, 1.47%, 0.00%), (JPM, 2,375, 1.44%, 0.00%), (GOOG, 3,520, 1.37%, 0.00%), (XOM, 5,750, 1.29%, 0.00%), (V, 1,769, 1.28%, 0.00%), (LLY, 677, 1.09%, 0.00%), (CB, 1,804, 1.00%, 0.00%), (MA, 839, 0.96%, 0.00%), (WM, 2,021, 0.95%, 0.00%), (GE, 1,682, 0.91%, 0.00%), (ORCL, 1,692, 0.84%, 0.00%), (NEE, 5,192, 0.81%, 0.00%), (NFLX, 316, 0.77%, 0.00%), (UNH, 1,260, 0.74%, 0.00%), (JNJ, 2,069, 0.72%, 0.00%), (PG, 2,177, 0.71%, 0.00%), (COST, 352, 0.69%, 0.00%), (CVX, 2,186, 0.68%, 0.00%), (WMT, 3,444, 0.68%, 0.00%), (PLTR, 2,159, 0.67%, 0.00%), (CAT, 751, 0.65%, 0.00%), (RTX, 2,069, 0.64%, 0.00%), (MCD, 1,029, 0.63%, 0.00%), (ABT, 2,374, 0.61%, 0.00%), (HD, 778, 0.59%, 0.00%), (ABBV, 1,519, 0.59%, 0.00%), (BKNG, 48, 0.57%, 0.00%), (IBM, 973, 0.57%, 0.00%), (KO, 3,920, 0.56%, 0.00%), (BAC, 5,632, 0.56%, 0.00%), (BA, 1,162, 0.55%, 0.00%), (SO, 2,766, 0.54%, 0.00%), (CRM, 1,007, 0.54%, 0.00%), (PM, 1,579, 0.54%, 0.00%), (NKE, 3,363, 0.53%, 0.00%), (ISRG, 487, 0.52%, 0.00%), (AMD, 1,577, 0.51%, 0.00%), (HON, 1,010, 0.49%, 0.00%), (DUK, 1,950, 0.48%, 0.00%), (ETN, 614, 0.48%, 0.00%), (WFC, 2,809, 0.48%, 0.00%), (UBER, 2,503, 0.47%, 0.00%), (GS, 321, 0.47%, 0.00%), (INTU, 295, 0.46%, 0.00%), (MET, 2,800, 0.45%, 0.00%), (NOW, 217, 0.42%, 0.00%), (PEP, 1,393, 0.42%, 0.00%), (DE, 395, 0.41%, 0.00%), (ACN, 661, 0.39%, 0.00%), (T, 6,702, 0.37%, 0.00%), (MRK, 2,174, 0.37%, 0.00%), (MS, 1,269, 0.37%, 0.00%), (AXP, 569, 0.36%, 0.00%), (ADBE, 463, 0.35%, 0.00%), (QCOM, 1,079, 0.35%, 0.00%), (SPGI, 325, 0.35%, 0.00%), (TXN, 887, 0.34%, 0.00%), (VZ, 3,932, 0.34%, 0.00%), (BLK, 149, 0.34%, 0.00%), (UNP, 720, 0.34%, 0.00%), (DIS, 1,339, 0.34%, 0.00%), (MDT, 1,755, 0.33%, 0.00%), (COP, 1,692, 0.33%, 0.00%), (SBUX, 1,627, 0.33%, 0.00%), (C, 1,596, 0.31%, 0.00%), (AMAT, 801, 0.31%, 0.00%), (TMO, 329, 0.31%, 0.00%), (SCHW, 1,530, 0.30%, 0.00%), (AMGN, 463, 0.29%, 0.00%), (LMT, 328, 0.28%, 0.00%), (EMR, 887, 0.27%, 0.00%), (MMM, 847, 0.27%, 0.00%), (PFE, 4,870, 0.25%, 0.00%), (GILD, 1,071, 0.24%, 0.00%), (TJX, 884, 0.23%, 0.00%), (DHR, 552, 0.22%, 0.00%), (CVS, 1,722, 0.22%, 0.00%), (MO, 1,720, 0.21%, 0.00%), (CMCSA, 2,823, 0.21%, 0.00%), (MDLZ, 1,358, 0.20%, 0.00%), (INTC, 4,191, 0.20%, 0.00%), (ELV, 317, 0.19%, 0.00%), (UPS, 869, 0.18%, 0.00%), (BMY, 1,743, 0.17%, 0.00%), (LOW, 345, 0.16%, 0.00%), (PYPL, 1,026, 0.16%, 0.00%), (CL, 755, 0.14%, 0.00%), (FDX, 267, 0.13%, 0.00%), (USB, 1,316, 0.13%, 0.00%), (TGT, 365, 0.08%, 0.00%), (SC13481B, nan, nan%, 0.00%), (SC13483B, nan, nan%, 0.00%), (SP13482B, nan, nan%, 0.00%), (SP13485B, nan, nan%, 0.00%), (SP13484B, nan, nan%, 0.00%), (XP13485B, nan, nan%, 0.00%)</t>
  </si>
  <si>
    <t>(AVGO, 8,548, 2.97%, 0.00%), (META, 3,036, 2.69%, 0.00%), (BRK/B, 3,533, 2.14%, 0.00%), (GOOGL, 8,139, 1.93%, 0.00%), (CSCO, 21,450, 1.84%, 0.00%), (LIN, 3,035, 1.81%, 0.00%), (AMT, 6,157, 1.80%, 0.00%), (TSLA, 4,063, 1.69%, 0.00%), (JPM, 4,473, 1.65%, 0.00%), (GOOG, 6,629, 1.58%, 0.00%), (XOM, 10,828, 1.49%, 0.00%), (V, 3,331, 1.48%, 0.00%), (LLY, 1,275, 1.25%, 0.00%), (CB, 3,398, 1.15%, 0.00%), (MA, 1,580, 1.10%, 0.00%), (WM, 3,806, 1.09%, 0.00%), (GE, 3,168, 1.04%, 0.00%), (ORCL, 3,187, 0.96%, 0.00%), (NEE, 9,777, 0.93%, 0.00%), (NFLX, 595, 0.89%, 0.00%), (UNH, 2,372, 0.85%, 0.00%), (JNJ, 3,896, 0.82%, 0.00%), (PG, 4,100, 0.82%, 0.00%), (COST, 662, 0.79%, 0.00%), (CVX, 4,117, 0.78%, 0.00%), (WMT, 6,486, 0.78%, 0.00%), (PLTR, 4,065, 0.77%, 0.00%), (CAT, 1,413, 0.75%, 0.00%), (RTX, 3,896, 0.74%, 0.00%), (MCD, 1,937, 0.73%, 0.00%), (ABT, 4,470, 0.71%, 0.00%), (HD, 1,466, 0.68%, 0.00%), (ABBV, 2,860, 0.67%, 0.00%), (IBM, 1,834, 0.65%, 0.00%), (KO, 7,451, 0.65%, 0.00%), (BKNG, 89, 0.65%, 0.00%), (BAC, 10,607, 0.64%, 0.00%), (BA, 2,188, 0.63%, 0.00%), (CRM, 1,896, 0.63%, 0.00%), (SO, 5,209, 0.63%, 0.00%), (PM, 2,973, 0.62%, 0.00%), (NKE, 6,333, 0.61%, 0.00%), (ISRG, 918, 0.59%, 0.00%), (AMD, 2,970, 0.58%, 0.00%), (HON, 1,903, 0.57%, 0.00%), (DUK, 3,673, 0.56%, 0.00%), (ETN, 1,157, 0.55%, 0.00%), (WFC, 5,290, 0.55%, 0.00%), (UBER, 4,713, 0.54%, 0.00%), (GS, 605, 0.54%, 0.00%), (INTU, 556, 0.53%, 0.00%), (MET, 5,272, 0.52%, 0.00%), (NOW, 409, 0.49%, 0.00%), (PEP, 2,623, 0.48%, 0.00%), (DE, 745, 0.48%, 0.00%), (ACN, 1,239, 0.45%, 0.00%), (T, 12,623, 0.43%, 0.00%), (MRK, 4,094, 0.42%, 0.00%), (MS, 2,391, 0.42%, 0.00%), (AXP, 1,073, 0.41%, 0.00%), (ADBE, 873, 0.41%, 0.00%), (QCOM, 2,033, 0.40%, 0.00%), (SPGI, 612, 0.40%, 0.00%), (TXN, 1,670, 0.39%, 0.00%), (VZ, 7,406, 0.39%, 0.00%), (BLK, 281, 0.39%, 0.00%), (UNP, 1,357, 0.39%, 0.00%), (DIS, 2,522, 0.39%, 0.00%), (MDT, 3,305, 0.38%, 0.00%), (COP, 3,187, 0.37%, 0.00%), (SBUX, 3,064, 0.37%, 0.00%), (TMO, 619, 0.36%, 0.00%), (C, 3,005, 0.36%, 0.00%), (AMAT, 1,509, 0.35%, 0.00%), (SCHW, 2,881, 0.35%, 0.00%), (AMGN, 874, 0.33%, 0.00%), (LMT, 618, 0.32%, 0.00%), (EMR, 1,669, 0.31%, 0.00%), (MMM, 1,594, 0.31%, 0.00%), (PFE, 9,171, 0.29%, 0.00%), (GILD, 2,017, 0.28%, 0.00%), (TJX, 1,664, 0.26%, 0.00%), (DHR, 1,040, 0.26%, 0.00%), (CVS, 3,243, 0.25%, 0.00%), (MO, 3,241, 0.24%, 0.00%), (CMCSA, 5,317, 0.24%, 0.00%), (MDLZ, 2,557, 0.23%, 0.00%), (INTC, 7,894, 0.23%, 0.00%), (ELV, 598, 0.22%, 0.00%), (UPS, 1,637, 0.21%, 0.00%), (BMY, 3,282, 0.20%, 0.00%), (PYPL, 1,932, 0.18%, 0.00%), (LOW, 637, 0.18%,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</si>
  <si>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META, MSFT, JPM, BKNG, BLK, GOOGL, RJF, MLI, EWBC, UNM</t>
  </si>
  <si>
    <t>(AMAT, 5,696, 1.93%, 0.00%), (V, 2,973, 1.90%, 0.00%), (AXP, 3,354, 1.86%, 0.00%), (EA, 6,630, 1.82%, 0.00%), (PHM, 8,436, 1.80%, 0.00%), (TRV, 3,783, 1.78%, 0.00%), (SNA, 2,964, 1.77%, 0.01%), (HIG, 7,961, 1.75%, 0.00%), (ADP, 3,176, 1.75%, 0.00%), (NVDA, 5,555, 1.72%, 0.00%), (KLAC, 1,052, 1.71%, 0.00%), (PCAR, 9,402, 1.71%, 0.00%), (CTSH, 12,016, 1.65%, 0.00%), (ROST, 6,624, 1.64%, 0.00%), (CB, 3,354, 1.63%, 0.00%), (CRM, 3,406, 1.63%, 0.00%), (SYF, 12,415, 1.61%, 0.00%), (PAYC, 3,637, 1.55%, 0.01%), (LEN, 7,018, 1.47%, 0.00%), (ACN, 2,833, 1.44%, 0.00%), (BKR, 17,683, 1.43%, 0.00%), (WSM, 4,204, 1.39%, 0.00%), (QCOM, 4,796, 1.36%, 0.00%), (DHI, 4,664, 1.23%, 0.00%), (ODFL, 4,074, 1.22%, 0.00%), (AFL, 6,568, 1.22%, 0.00%), (ELV, 2,277, 1.20%, 0.00%), (AAPL, 3,096, 1.19%, 0.00%), (CSCO, 8,896, 1.09%, 0.00%), (LRCX, 6,125, 1.08%, 0.00%), (GE, 2,147, 1.03%, 0.00%), (STT, 4,930, 0.98%, 0.00%), (MPWR, 759, 0.97%, 0.00%), (CF, 5,635, 0.95%, 0.00%), (PNC, 2,640, 0.94%, 0.00%), (MTB, 2,624, 0.92%, 0.00%), (AMP, 960, 0.87%, 0.00%), (CSL, 1,106, 0.85%, 0.00%), (COST, 493, 0.83%, 0.00%), (XOM, 4,128, 0.82%, 0.00%), (ABT, 3,549, 0.80%, 0.00%), (EOG, 3,713, 0.80%, 0.00%), (EG, 1,249, 0.75%, 0.00%), (GEV, 503, 0.57%, 0.00%), (NTRS, 2,289, 0.52%, 0.00%), (CRBG, 7,863, 0.50%, 0.00%), (MA, 477, 0.48%, 0.00%), (JNJ, 1,532, 0.47%, 0.00%), (DOV, 1,338, 0.45%, 0.00%), (WTFC, 1,844, 0.45%, 0.00%), (ACM, 2,165, 0.44%, 0.00%), (SLM, 7,348, 0.43%, 0.00%), (MCK, 331, 0.42%, 0.00%), (CINF, 1,592, 0.42%, 0.00%), (EQH, 4,437, 0.42%, 0.00%), (MTG, 8,993, 0.42%, 0.00%), (JXN, 2,583, 0.41%, 0.00%), (ALL, 1,133, 0.40%, 0.00%), (LNC, 6,259, 0.40%, 0.00%), (NUE, 1,530, 0.40%, 0.00%), (NKE, 2,790, 0.39%, 0.00%), (ADM, 3,811, 0.38%, 0.00%), (PGR, 835, 0.37%, 0.00%), (FANG, 1,191, 0.31%, 0.00%), (SC13N61B, nan, nan%, 0.00%), (SC13N63B, nan, nan%, 0.00%), (SP13N62B, nan, nan%, 0.00%), (SP13N65B, nan, nan%, 0.00%), (SP13N64B, nan, nan%, 0.00%), (SPX Index, nan, nan%, 0.00%), (XP13N65B, nan, nan%, 0.00%)</t>
  </si>
  <si>
    <t>(AVGO, 3,958, 3.20%, 0.00%), (META, 1,406, 2.86%, 0.00%), (BRK/B, 1,636, 2.25%, 0.00%), (GOOGL, 3,769, 2.05%, 0.00%), (CSCO, 9,933, 1.92%, 0.00%), (LIN, 1,405, 1.89%, 0.00%), (AMT, 2,851, 1.88%, 0.00%), (JPM, 2,071, 1.75%, 0.00%), (GOOG, 3,070, 1.67%, 0.00%), (TSLA, 1,882, 1.63%, 0.00%), (XOM, 5,014, 1.56%, 0.00%), (V, 1,542, 1.56%, 0.00%), (LLY, 590, 1.33%, 0.00%), (CB, 1,573, 1.22%, 0.00%), (MA, 732, 1.17%, 0.00%), (WM, 1,762, 1.15%, 0.00%), (GE, 1,467, 1.11%, 0.00%), (ORCL, 1,476, 1.02%, 0.00%), (NEE, 4,527, 0.93%, 0.00%), (NFLX, 276, 0.92%, 0.00%), (UNH, 1,098, 0.89%, 0.00%), (JNJ, 1,804, 0.87%, 0.00%), (PG, 1,898, 0.85%, 0.00%), (CVX, 1,907, 0.83%, 0.00%), (PLTR, 1,882, 0.83%, 0.00%), (WMT, 3,004, 0.82%, 0.00%), (COST, 307, 0.82%, 0.00%), (RTX, 1,804, 0.80%, 0.00%), (CAT, 654, 0.79%, 0.00%), (MCD, 897, 0.76%, 0.00%), (ABT, 2,070, 0.74%, 0.00%), (ABBV, 1,324, 0.72%, 0.00%), (HD, 679, 0.72%, 0.00%), (KO, 3,452, 0.68%, 0.00%), (BAC, 4,912, 0.68%, 0.00%), (BA, 1,013, 0.67%, 0.00%), (BKNG, 41, 0.67%, 0.00%), (CRM, 878, 0.66%, 0.00%), (SO, 2,412, 0.65%, 0.00%), (NKE, 2,933, 0.65%, 0.00%), (PM, 1,377, 0.64%, 0.00%), (IBM, 849, 0.62%, 0.00%), (AMD, 1,375, 0.62%, 0.00%), (ISRG, 425, 0.60%, 0.00%), (ETN, 536, 0.59%, 0.00%), (WFC, 2,450, 0.58%, 0.00%), (DUK, 1,701, 0.58%, 0.00%), (HON, 881, 0.57%, 0.00%), (UBER, 2,183, 0.57%, 0.00%), (INTU, 257, 0.57%, 0.00%), (GS, 280, 0.57%, 0.00%), (MET, 2,441, 0.54%, 0.00%), (NOW, 189, 0.53%, 0.00%), (DE, 345, 0.50%, 0.00%), (PEP, 1,215, 0.50%, 0.00%), (ACN, 574, 0.46%, 0.00%), (T, 5,845, 0.46%, 0.00%), (MS, 1,107, 0.45%, 0.00%), (MRK, 1,896, 0.45%, 0.00%), (AXP, 497, 0.44%, 0.00%), (ADBE, 404, 0.43%, 0.00%), (SPGI, 283, 0.43%, 0.00%), (QCOM, 942, 0.42%, 0.00%), (BLK, 130, 0.41%, 0.00%), (VZ, 3,429, 0.41%, 0.00%), (TXN, 773, 0.41%, 0.00%), (DIS, 1,168, 0.41%, 0.00%), (UNP, 628, 0.40%, 0.00%), (MDT, 1,530, 0.40%, 0.00%), (COP, 1,476, 0.40%, 0.00%), (SBUX, 1,419, 0.38%, 0.00%), (C, 1,392, 0.38%, 0.00%), (TMO, 287, 0.38%, 0.00%), (AMAT, 699, 0.37%, 0.00%), (SCHW, 1,334, 0.36%, 0.00%), (AMGN, 405, 0.35%, 0.00%), (LMT, 286, 0.35%, 0.00%), (EMR, 773, 0.32%, 0.00%), (MMM, 738, 0.32%, 0.00%), (PFE, 4,247, 0.30%, 0.00%), (GILD, 934, 0.30%, 0.00%), (DHR, 482, 0.28%, 0.00%), (TJX, 771, 0.28%, 0.00%), (CVS, 1,502, 0.26%, 0.00%), (LOW, 388, 0.25%, 0.00%), (MO, 1,501, 0.25%, 0.00%), (CMCSA, 2,462, 0.25%, 0.00%), (MDLZ, 1,184, 0.24%, 0.00%), (INTC, 3,655, 0.24%, 0.00%), (ELV, 277, 0.23%, 0.00%), (UPS, 758, 0.22%, 0.00%), (BMY, 1,520, 0.21%, 0.00%), (PYPL, 895, 0.20%, 0.00%), (CL, 659, 0.17%, 0.00%), (FDX, 233, 0.15%,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</si>
  <si>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3.08%, 0.00%), (META, 925, 2.76%, 0.00%), (BRK/B, 1,077, 2.17%, 0.00%), (GOOGL, 2,480, 1.97%, 0.00%), (CSCO, 6,537, 1.86%, 0.00%), (LIN, 925, 1.82%, 0.00%), (AMT, 1,876, 1.81%, 0.00%), (JPM, 1,363, 1.69%, 0.00%), (GOOG, 2,020, 1.61%, 0.00%), (TSLA, 1,238, 1.57%, 0.00%), (XOM, 3,300, 1.51%, 0.00%), (V, 1,015, 1.50%, 0.00%), (LLY, 389, 1.29%, 0.00%), (CB, 1,035, 1.17%, 0.00%), (MA, 481, 1.13%, 0.00%), (WM, 1,160, 1.11%, 0.00%), (GE, 966, 1.07%, 0.00%), (ORCL, 971, 0.98%, 0.00%), (NEE, 2,980, 0.90%, 0.00%), (NFLX, 181, 0.88%, 0.00%), (UNH, 723, 0.86%, 0.00%), (JNJ, 1,187, 0.83%, 0.00%), (PG, 1,249, 0.82%, 0.00%), (CVX, 1,255, 0.80%, 0.00%), (PLTR, 1,239, 0.80%, 0.00%), (WMT, 1,977, 0.79%, 0.00%), (COST, 202, 0.79%, 0.00%), (RTX, 1,187, 0.77%, 0.00%), (CAT, 431, 0.77%, 0.00%), (MCD, 590, 0.73%, 0.00%), (ABT, 1,362, 0.71%, 0.00%), (HD, 447, 0.70%, 0.00%), (ABBV, 872, 0.69%, 0.00%), (KO, 2,272, 0.66%, 0.00%), (BAC, 3,232, 0.65%, 0.00%), (BA, 667, 0.65%, 0.00%), (BKNG, 27, 0.65%, 0.00%), (CRM, 578, 0.64%, 0.00%), (SO, 1,588, 0.63%, 0.00%), (NKE, 1,930, 0.62%, 0.00%), (PM, 906, 0.61%, 0.00%), (IBM, 559, 0.60%, 0.00%), (AMD, 905, 0.60%, 0.00%), (ISRG, 280, 0.58%, 0.00%), (ETN, 353, 0.57%, 0.00%), (WFC, 1,612, 0.56%, 0.00%), (DUK, 1,119, 0.56%, 0.00%), (HON, 580, 0.55%, 0.00%), (UBER, 1,436, 0.55%, 0.00%), (INTU, 169, 0.55%, 0.00%), (GS, 184, 0.55%, 0.00%), (MET, 1,607, 0.53%, 0.00%), (NOW, 124, 0.52%, 0.00%), (PEP, 799, 0.49%, 0.00%), (DE, 227, 0.48%, 0.00%), (ACN, 378, 0.45%, 0.00%), (T, 3,847, 0.44%, 0.00%), (MS, 729, 0.43%, 0.00%), (MRK, 1,248, 0.43%, 0.00%), (AXP, 327, 0.42%, 0.00%), (ADBE, 266, 0.41%, 0.00%), (SPGI, 186, 0.41%, 0.00%), (QCOM, 620, 0.41%, 0.00%), (BLK, 86, 0.40%, 0.00%), (VZ, 2,257, 0.40%, 0.00%), (TXN, 509, 0.40%, 0.00%), (DIS, 769, 0.39%, 0.00%), (UNP, 414, 0.39%, 0.00%), (MDT, 1,007, 0.38%, 0.00%), (COP, 971, 0.38%, 0.00%), (SBUX, 934, 0.37%, 0.00%), (C, 916, 0.36%, 0.00%), (AMAT, 460, 0.36%, 0.00%), (TMO, 189, 0.35%, 0.00%), (SCHW, 878, 0.35%, 0.00%), (AMGN, 267, 0.34%, 0.00%), (LMT, 188, 0.33%, 0.00%), (EMR, 509, 0.31%, 0.00%), (MMM, 486, 0.31%, 0.00%), (PFE, 2,795, 0.29%, 0.00%), (GILD, 615, 0.29%, 0.00%), (TJX, 507, 0.27%, 0.00%), (DHR, 317, 0.27%, 0.00%), (CVS, 988, 0.25%, 0.00%), (LOW, 255, 0.24%, 0.00%), (MO, 988, 0.24%, 0.00%), (CMCSA, 1,620, 0.24%, 0.00%), (MDLZ, 779, 0.23%, 0.00%), (INTC, 2,406, 0.23%, 0.00%), (ELV, 182, 0.22%, 0.00%), (UPS, 499, 0.21%, 0.00%), (BMY, 1,000, 0.20%, 0.00%), (PYPL, 589, 0.19%, 0.00%), (CL, 433, 0.16%, 0.00%), (FDX, 153, 0.15%, 0.00%), (USB, 755, 0.15%, 0.00%), (TGT, 210, 0.09%, 0.00%), (SC9061B, nan, nan%, 0.00%), (SC9063B, nan, nan%, 0.00%), (SP9062B, nan, nan%, 0.00%), (SP9065B, nan, nan%, 0.00%), (SP9064B, nan, nan%, 0.00%), (XP9065B, nan, nan%, 0.00%)</t>
  </si>
  <si>
    <t>(AVGO, 1,647, 3.00%, 0.00%), (META, 585, 2.70%, 0.00%), (BRK/B, 681, 2.11%, 0.00%), (GOOGL, 1,568, 1.93%, 0.00%), (CSCO, 4,132, 1.81%, 0.00%), (LIN, 585, 1.77%, 0.00%), (AMT, 1,186, 1.76%, 0.00%), (JPM, 862, 1.65%, 0.00%), (GOOG, 1,277, 1.58%, 0.00%), (TSLA, 783, 1.53%, 0.00%), (XOM, 2,086, 1.47%, 0.00%), (V, 642, 1.46%, 0.00%), (LLY, 246, 1.25%, 0.00%), (CB, 655, 1.14%, 0.00%), (MA, 304, 1.10%, 0.00%), (WM, 733, 1.08%, 0.00%), (GE, 610, 1.05%, 0.00%), (ORCL, 614, 0.95%, 0.00%), (NEE, 1,883, 0.88%, 0.00%), (NFLX, 115, 0.86%, 0.00%), (UNH, 457, 0.84%, 0.00%), (JNJ, 751, 0.81%, 0.00%), (PG, 790, 0.80%, 0.00%), (CVX, 793, 0.78%, 0.00%), (PLTR, 783, 0.78%, 0.00%), (WMT, 1,249, 0.77%, 0.00%), (COST, 128, 0.77%, 0.00%), (RTX, 751, 0.75%, 0.00%), (CAT, 272, 0.74%, 0.00%), (MCD, 373, 0.71%, 0.00%), (ABT, 861, 0.69%, 0.00%), (ABBV, 551, 0.68%, 0.00%), (HD, 282, 0.67%, 0.00%), (KO, 1,435, 0.64%, 0.00%), (BAC, 2,043, 0.64%, 0.00%), (BA, 422, 0.63%, 0.00%), (BKNG, 17, 0.63%, 0.00%), (CRM, 365, 0.62%, 0.00%), (SO, 1,004, 0.61%, 0.00%), (NKE, 1,220, 0.61%, 0.00%), (PM, 573, 0.60%, 0.00%), (AMD, 572, 0.59%, 0.00%), (IBM, 353, 0.59%, 0.00%), (ISRG, 177, 0.57%, 0.00%), (ETN, 223, 0.55%, 0.00%), (WFC, 1,019, 0.55%, 0.00%), (DUK, 708, 0.54%, 0.00%), (GS, 117, 0.54%, 0.00%), (HON, 367, 0.54%, 0.00%), (UBER, 908, 0.54%, 0.00%), (INTU, 107, 0.54%, 0.00%), (MET, 1,016, 0.51%, 0.00%), (NOW, 79, 0.51%, 0.00%), (DE, 143, 0.47%, 0.00%), (PEP, 505, 0.47%, 0.00%), (ACN, 239, 0.43%, 0.00%), (T, 2,432, 0.43%, 0.00%), (MS, 461, 0.42%, 0.00%), (MRK, 789, 0.42%, 0.00%), (AXP, 207, 0.41%, 0.00%), (SPGI, 118, 0.40%, 0.00%), (ADBE, 168, 0.40%, 0.00%), (QCOM, 392, 0.40%, 0.00%), (VZ, 1,427, 0.39%, 0.00%), (BLK, 54, 0.39%, 0.00%), (TXN, 322, 0.39%, 0.00%), (DIS, 486, 0.38%, 0.00%), (UNP, 261, 0.38%, 0.00%), (MDT, 637, 0.38%, 0.00%), (COP, 614, 0.37%, 0.00%), (TMO, 119, 0.37%, 0.00%), (SBUX, 590, 0.36%, 0.00%), (C, 579, 0.36%, 0.00%), (AMAT, 291, 0.35%, 0.00%), (SCHW, 555, 0.34%, 0.00%), (AMGN, 168, 0.33%, 0.00%), (LMT, 119, 0.33%, 0.00%), (EMR, 322, 0.30%, 0.00%), (MMM, 307, 0.30%, 0.00%), (PFE, 1,767, 0.29%, 0.00%), (GILD, 389, 0.28%, 0.00%), (DHR, 200, 0.26%, 0.00%), (TJX, 321, 0.26%, 0.00%), (CVS, 625, 0.25%, 0.00%), (MO, 624, 0.24%, 0.00%), (LOW, 161, 0.24%, 0.00%), (CMCSA, 1,024, 0.23%, 0.00%), (MDLZ, 493, 0.22%, 0.00%), (INTC, 1,521, 0.22%, 0.00%), (ELV, 115, 0.22%, 0.00%), (UPS, 315, 0.21%, 0.00%), (BMY, 632, 0.20%, 0.00%), (PYPL, 372, 0.18%, 0.00%), (CL, 274, 0.16%,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</si>
  <si>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3.06%, 0.00%), (META, 5,300, 2.74%, 0.00%), (BRK/B, 6,166, 2.15%, 0.00%), (GOOGL, 14,206, 1.96%, 0.00%), (CSCO, 37,440, 1.84%, 0.00%), (LIN, 5,297, 1.81%, 0.00%), (AMT, 10,746, 1.80%, 0.00%), (JPM, 7,808, 1.68%, 0.00%), (GOOG, 11,571, 1.60%, 0.00%), (TSLA, 7,092, 1.56%, 0.00%), (XOM, 18,900, 1.50%, 0.00%), (V, 5,813, 1.49%, 0.00%), (LLY, 2,226, 1.28%, 0.00%), (CB, 5,931, 1.17%, 0.00%), (MA, 2,757, 1.12%, 0.00%), (WM, 6,643, 1.11%, 0.00%), (GE, 5,530, 1.07%, 0.00%), (ORCL, 5,563, 0.97%, 0.00%), (NEE, 17,065, 0.89%, 0.00%), (NFLX, 1,039, 0.88%, 0.00%), (UNH, 4,140, 0.86%, 0.00%), (JNJ, 6,801, 0.83%, 0.00%), (PG, 7,156, 0.82%, 0.00%), (CVX, 7,187, 0.79%, 0.00%), (PLTR, 7,095, 0.79%, 0.00%), (WMT, 11,321, 0.79%, 0.00%), (COST, 1,156, 0.79%, 0.00%), (RTX, 6,801, 0.77%, 0.00%), (CAT, 2,467, 0.76%, 0.00%), (MCD, 3,381, 0.72%, 0.00%), (ABT, 7,802, 0.71%, 0.00%), (ABBV, 4,992, 0.69%, 0.00%), (HD, 2,559, 0.69%, 0.00%), (KO, 13,014, 0.65%, 0.00%), (BAC, 18,513, 0.65%, 0.00%), (BKNG, 156, 0.65%, 0.00%), (BA, 3,820, 0.65%, 0.00%), (CRM, 3,309, 0.64%, 0.00%), (SO, 9,093, 0.63%, 0.00%), (NKE, 11,054, 0.62%, 0.00%), (PM, 5,189, 0.61%, 0.00%), (IBM, 3,200, 0.60%, 0.00%), (AMD, 5,184, 0.60%, 0.00%), (ISRG, 1,602, 0.58%, 0.00%), (ETN, 2,019, 0.56%, 0.00%), (WFC, 9,234, 0.56%, 0.00%), (DUK, 6,411, 0.55%, 0.00%), (HON, 3,322, 0.55%, 0.00%), (INTU, 970, 0.55%, 0.00%), (UBER, 8,227, 0.55%, 0.00%), (GS, 1,056, 0.55%, 0.00%), (MET, 9,202, 0.52%, 0.00%), (NOW, 713, 0.51%, 0.00%), (DE, 1,300, 0.48%, 0.00%), (PEP, 4,579, 0.48%, 0.00%), (ACN, 2,163, 0.44%, 0.00%), (T, 22,033, 0.44%, 0.00%), (MS, 4,173, 0.43%, 0.00%), (MRK, 7,146, 0.43%, 0.00%), (AXP, 1,872, 0.42%, 0.00%), (SPGI, 1,068, 0.41%, 0.00%), (ADBE, 1,524, 0.41%, 0.00%), (QCOM, 3,549, 0.40%, 0.00%), (BLK, 490, 0.40%, 0.00%), (VZ, 12,926, 0.40%, 0.00%), (TXN, 2,914, 0.39%, 0.00%), (DIS, 4,403, 0.39%, 0.00%), (UNP, 2,369, 0.39%, 0.00%), (MDT, 5,769, 0.38%, 0.00%), (COP, 5,562, 0.38%, 0.00%), (SBUX, 5,348, 0.36%, 0.00%), (TMO, 1,080, 0.36%, 0.00%), (C, 5,245, 0.36%, 0.00%), (AMAT, 2,634, 0.36%, 0.00%), (SCHW, 5,029, 0.35%, 0.00%), (AMGN, 1,527, 0.34%, 0.00%), (LMT, 1,078, 0.33%, 0.00%), (EMR, 2,913, 0.31%, 0.00%), (MMM, 2,782, 0.30%, 0.00%), (PFE, 16,008, 0.29%, 0.00%), (GILD, 3,520, 0.28%, 0.00%), (DHR, 1,816, 0.26%, 0.00%), (TJX, 2,905, 0.26%, 0.00%), (CVS, 5,661, 0.25%, 0.00%), (LOW, 1,461, 0.24%, 0.00%), (MO, 5,656, 0.24%, 0.00%), (CMCSA, 9,280, 0.24%, 0.00%), (MDLZ, 4,463, 0.23%, 0.00%), (INTC, 13,778, 0.23%, 0.00%), (ELV, 1,043, 0.22%, 0.00%), (UPS, 2,857, 0.21%, 0.00%), (BMY, 5,729, 0.20%, 0.00%), (PYPL, 3,373, 0.19%, 0.00%), (CL, 2,483, 0.16%, 0.00%), (FDX, 878, 0.15%, 0.00%), (USB, 4,327, 0.15%, 0.00%), (TGT, 1,202, 0.09%, 0.00%), (SC23471B, nan, nan%, 0.00%), (SC23473B, nan, nan%, 0.00%), (SP23472B, nan, nan%, 0.00%), (SP23475B, nan, nan%, 0.00%), (SP23474B, nan, nan%, 0.00%), (XP23475B, nan, nan%, 0.00%)</t>
  </si>
  <si>
    <t>(AVGO, 11,111, 3.05%, 0.00%), (META, 3,947, 2.73%, 0.00%), (BRK/B, 4,592, 2.14%, 0.00%), (GOOGL, 10,579, 1.95%, 0.00%), (CSCO, 27,882, 1.84%, 0.00%), (LIN, 3,945, 1.80%, 0.00%), (AMT, 8,003, 1.79%, 0.00%), (JPM, 5,815, 1.67%, 0.00%), (GOOG, 8,617, 1.60%, 0.00%), (TSLA, 5,282, 1.56%, 0.00%), (XOM, 14,075, 1.49%, 0.00%), (V, 4,329, 1.49%, 0.00%), (LLY, 1,658, 1.27%, 0.00%), (CB, 4,417, 1.16%, 0.00%), (MA, 2,053, 1.12%, 0.00%), (WM, 4,947, 1.10%, 0.00%), (GE, 4,118, 1.06%, 0.00%), (ORCL, 4,143, 0.97%, 0.00%), (NEE, 12,709, 0.89%, 0.00%), (NFLX, 774, 0.87%, 0.00%), (UNH, 3,083, 0.85%, 0.00%), (JNJ, 5,065, 0.83%, 0.00%), (PG, 5,329, 0.81%, 0.00%), (CVX, 5,352, 0.79%, 0.00%), (PLTR, 5,284, 0.79%, 0.00%), (WMT, 8,431, 0.79%, 0.00%), (COST, 861, 0.78%, 0.00%), (RTX, 5,065, 0.76%, 0.00%), (CAT, 1,837, 0.76%, 0.00%), (MCD, 2,518, 0.72%, 0.00%), (ABT, 5,810, 0.70%, 0.00%), (ABBV, 3,717, 0.69%, 0.00%), (HD, 1,905, 0.69%, 0.00%), (KO, 9,691, 0.65%, 0.00%), (BAC, 13,787, 0.65%, 0.00%), (BKNG, 116, 0.64%, 0.00%), (BA, 2,845, 0.64%, 0.00%), (CRM, 2,464, 0.63%, 0.00%), (SO, 6,771, 0.62%, 0.00%), (NKE, 8,232, 0.62%, 0.00%), (PM, 3,864, 0.61%, 0.00%), (IBM, 2,383, 0.60%, 0.00%), (AMD, 3,861, 0.59%, 0.00%), (ISRG, 1,193, 0.58%, 0.00%), (ETN, 1,504, 0.56%, 0.00%), (WFC, 6,876, 0.55%, 0.00%), (DUK, 4,774, 0.55%, 0.00%), (HON, 2,474, 0.55%, 0.00%), (UBER, 6,127, 0.55%, 0.00%), (INTU, 722, 0.55%, 0.00%), (GS, 786, 0.55%, 0.00%), (MET, 6,852, 0.52%, 0.00%), (NOW, 531, 0.51%, 0.00%), (DE, 968, 0.48%, 0.00%), (PEP, 3,410, 0.48%, 0.00%), (ACN, 1,620, 0.44%, 0.00%), (T, 16,408, 0.44%, 0.00%), (MS, 3,108, 0.43%, 0.00%), (MRK, 5,321, 0.43%, 0.00%), (AXP, 1,394, 0.42%, 0.00%), (SPGI, 795, 0.41%, 0.00%), (ADBE, 1,135, 0.41%, 0.00%), (QCOM, 2,643, 0.40%, 0.00%), (VZ, 9,626, 0.40%, 0.00%), (BLK, 365, 0.39%, 0.00%), (TXN, 2,170, 0.39%, 0.00%), (DIS, 3,279, 0.39%, 0.00%), (UNP, 1,764, 0.39%, 0.00%), (MDT, 4,296, 0.38%, 0.00%), (COP, 4,142, 0.38%, 0.00%), (TMO, 805, 0.36%, 0.00%), (SBUX, 3,983, 0.36%, 0.00%), (C, 3,906, 0.36%, 0.00%), (AMAT, 1,961, 0.36%, 0.00%), (SCHW, 3,745, 0.35%, 0.00%), (AMGN, 1,137, 0.34%, 0.00%), (LMT, 803, 0.33%, 0.00%), (EMR, 2,170, 0.31%, 0.00%), (MMM, 2,072, 0.30%, 0.00%), (PFE, 11,921, 0.29%, 0.00%), (GILD, 2,622, 0.28%, 0.00%), (DHR, 1,352, 0.26%, 0.00%), (TJX, 2,163, 0.26%, 0.00%), (CVS, 4,215, 0.25%, 0.00%), (LOW, 1,088, 0.24%, 0.00%), (MO, 4,212, 0.24%, 0.00%), (CMCSA, 6,911, 0.24%, 0.00%), (MDLZ, 3,323, 0.23%, 0.00%), (INTC, 10,260, 0.23%, 0.00%), (ELV, 777, 0.22%, 0.00%), (UPS, 2,128, 0.21%, 0.00%), (BMY, 4,266, 0.20%, 0.00%), (PYPL, 2,512, 0.19%,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</si>
  <si>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2.61%, 0.00%), (BRK/B, 1,728, 2.04%, 0.00%), (GOOGL, 3,981, 1.87%, 0.00%), (CSCO, 10,491, 1.75%, 0.00%), (LIN, 1,484, 1.72%, 0.00%), (AMT, 3,011, 1.71%, 0.00%), (JPM, 2,188, 1.59%, 0.00%), (GOOG, 3,242, 1.52%, 0.00%), (TSLA, 1,987, 1.48%, 0.00%), (XOM, 5,296, 1.42%, 0.00%), (V, 1,629, 1.42%, 0.00%), (LLY, 624, 1.22%, 0.00%), (CB, 1,662, 1.11%, 0.00%), (MA, 773, 1.07%, 0.00%), (WM, 1,862, 1.05%, 0.00%), (GE, 1,550, 1.01%, 0.00%), (ORCL, 1,559, 0.92%, 0.00%), (NEE, 4,782, 0.85%, 0.00%), (NFLX, 291, 0.83%, 0.00%), (UNH, 1,160, 0.81%, 0.00%), (JNJ, 1,906, 0.79%, 0.00%), (PG, 2,005, 0.78%, 0.00%), (CVX, 2,014, 0.75%, 0.00%), (PLTR, 1,988, 0.75%, 0.00%), (WMT, 3,172, 0.75%, 0.00%), (COST, 324, 0.75%, 0.00%), (RTX, 1,906, 0.73%, 0.00%), (CAT, 691, 0.72%, 0.00%), (MCD, 948, 0.69%, 0.00%), (ABT, 2,186, 0.67%, 0.00%), (ABBV, 1,399, 0.65%, 0.00%), (HD, 717, 0.65%, 0.00%), (KO, 3,644, 0.62%, 0.00%), (BKNG, 44, 0.62%, 0.00%), (BAC, 5,188, 0.62%, 0.00%), (BA, 1,070, 0.61%, 0.00%), (CRM, 927, 0.60%, 0.00%), (SO, 2,548, 0.59%, 0.00%), (NKE, 3,098, 0.59%, 0.00%), (PM, 1,454, 0.58%, 0.00%), (IBM, 897, 0.57%, 0.00%), (AMD, 1,453, 0.57%, 0.00%), (ISRG, 449, 0.55%, 0.00%), (ETN, 566, 0.53%, 0.00%), (WFC, 2,588, 0.53%, 0.00%), (DUK, 1,796, 0.53%, 0.00%), (UBER, 2,305, 0.52%, 0.00%), (HON, 931, 0.52%, 0.00%), (INTU, 272, 0.52%, 0.00%), (GS, 296, 0.52%, 0.00%), (MET, 2,578, 0.50%, 0.00%), (NOW, 200, 0.49%, 0.00%), (PEP, 1,283, 0.46%, 0.00%), (DE, 364, 0.46%, 0.00%), (ACN, 606, 0.42%, 0.00%), (T, 6,174, 0.42%, 0.00%), (MRK, 2,002, 0.41%, 0.00%), (MS, 1,169, 0.41%, 0.00%), (AXP, 525, 0.40%, 0.00%), (ADBE, 427, 0.39%, 0.00%), (SPGI, 299, 0.39%, 0.00%), (QCOM, 995, 0.38%, 0.00%), (VZ, 3,622, 0.38%, 0.00%), (BLK, 137, 0.38%, 0.00%), (TXN, 817, 0.38%, 0.00%), (DIS, 1,234, 0.37%, 0.00%), (UNP, 664, 0.37%, 0.00%), (MDT, 1,617, 0.36%, 0.00%), (COP, 1,559, 0.36%, 0.00%), (SBUX, 1,499, 0.35%, 0.00%), (C, 1,470, 0.35%, 0.00%), (TMO, 303, 0.34%, 0.00%), (AMAT, 738, 0.34%, 0.00%), (SCHW, 1,409, 0.33%, 0.00%), (AMGN, 428, 0.32%, 0.00%), (LMT, 302, 0.31%, 0.00%), (EMR, 816, 0.29%, 0.00%), (MMM, 780, 0.29%, 0.00%), (PFE, 4,486, 0.28%, 0.00%), (GILD, 986, 0.27%, 0.00%), (DHR, 509, 0.25%, 0.00%), (TJX, 814, 0.25%, 0.00%), (CVS, 1,586, 0.24%, 0.00%), (MO, 1,585, 0.23%, 0.00%), (LOW, 409, 0.23%, 0.00%), (CMCSA, 2,601, 0.23%, 0.00%), (MDLZ, 1,251, 0.22%, 0.00%), (INTC, 3,861, 0.22%, 0.00%), (ELV, 292, 0.21%, 0.00%), (UPS, 801, 0.20%, 0.00%), (BMY, 1,605, 0.19%, 0.00%), (PYPL, 945, 0.18%,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</si>
  <si>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(META, 1,612, 2.63%, 0.00%), (BRK/B, 1,876, 2.07%, 0.00%), (GOOGL, 4,322, 1.89%, 0.00%), (CSCO, 11,389, 1.77%, 0.00%), (LIN, 1,612, 1.74%, 0.00%), (AMT, 3,269, 1.73%, 0.00%), (JPM, 2,375, 1.61%, 0.00%), (GOOG, 3,520, 1.54%, 0.00%), (TSLA, 2,158, 1.50%, 0.00%), (XOM, 5,750, 1.44%, 0.00%), (V, 1,769, 1.43%, 0.00%), (LLY, 677, 1.22%, 0.00%), (CB, 1,804, 1.12%, 0.00%), (MA, 839, 1.08%, 0.00%), (WM, 2,021, 1.06%, 0.00%), (GE, 1,682, 1.02%, 0.00%), (ORCL, 1,692, 0.93%, 0.00%), (NEE, 5,192, 0.86%, 0.00%), (NFLX, 316, 0.84%, 0.00%), (UNH, 1,260, 0.82%, 0.00%), (JNJ, 2,069, 0.80%, 0.00%), (PG, 2,177, 0.79%, 0.00%), (CVX, 2,186, 0.76%, 0.00%), (PLTR, 2,159, 0.76%, 0.00%), (WMT, 3,444, 0.76%, 0.00%), (COST, 352, 0.76%, 0.00%), (RTX, 2,069, 0.74%, 0.00%), (CAT, 751, 0.73%, 0.00%), (MCD, 1,029, 0.70%, 0.00%), (ABT, 2,374, 0.68%, 0.00%), (ABBV, 1,519, 0.66%, 0.00%), (HD, 778, 0.66%, 0.00%), (BKNG, 48, 0.63%, 0.00%), (BAC, 5,632, 0.62%, 0.00%), (KO, 3,920, 0.62%, 0.00%), (BA, 1,162, 0.62%, 0.00%), (CRM, 1,007, 0.61%, 0.00%), (SO, 2,766, 0.60%, 0.00%), (NKE, 3,363, 0.59%, 0.00%), (PM, 1,579, 0.59%, 0.00%), (IBM, 973, 0.57%, 0.00%), (AMD, 1,577, 0.57%, 0.00%), (ISRG, 487, 0.55%, 0.00%), (ETN, 614, 0.54%, 0.00%), (WFC, 2,809, 0.54%, 0.00%), (DUK, 1,950, 0.53%, 0.00%), (UBER, 2,503, 0.53%, 0.00%), (HON, 1,010, 0.53%, 0.00%), (INTU, 295, 0.53%, 0.00%), (GS, 321, 0.52%, 0.00%), (MET, 2,800, 0.50%, 0.00%), (NOW, 217, 0.49%, 0.00%), (PEP, 1,393, 0.46%, 0.00%), (DE, 395, 0.46%, 0.00%), (ACN, 661, 0.43%, 0.00%), (T, 6,702, 0.42%, 0.00%), (MRK, 2,174, 0.41%, 0.00%), (MS, 1,269, 0.41%, 0.00%), (AXP, 569, 0.40%, 0.00%), (SPGI, 325, 0.39%, 0.00%), (ADBE, 463, 0.39%, 0.00%), (QCOM, 1,079, 0.39%, 0.00%), (VZ, 3,932, 0.38%, 0.00%), (BLK, 149, 0.38%, 0.00%), (TXN, 887, 0.38%, 0.00%), (DIS, 1,339, 0.37%, 0.00%), (UNP, 720, 0.37%, 0.00%), (MDT, 1,755, 0.37%, 0.00%), (COP, 1,692, 0.37%, 0.00%), (SBUX, 1,627, 0.35%, 0.00%), (C, 1,596, 0.35%, 0.00%), (TMO, 329, 0.35%, 0.00%), (AMAT, 801, 0.34%, 0.00%), (SCHW, 1,530, 0.33%, 0.00%), (AMGN, 463, 0.32%, 0.00%), (LMT, 328, 0.32%, 0.00%), (EMR, 887, 0.30%, 0.00%), (MMM, 847, 0.29%, 0.00%), (PFE, 4,870, 0.28%, 0.00%), (GILD, 1,071, 0.27%, 0.00%), (DHR, 552, 0.26%, 0.00%), (TJX, 884, 0.25%, 0.00%), (CVS, 1,722, 0.24%, 0.00%), (LOW, 445, 0.23%, 0.00%), (MO, 1,720, 0.23%, 0.00%), (CMCSA, 2,823, 0.23%, 0.00%), (MDLZ, 1,358, 0.22%, 0.00%), (INTC, 4,191, 0.22%, 0.00%), (ELV, 317, 0.21%, 0.00%), (UPS, 869, 0.20%, 0.00%), (BMY, 1,743, 0.19%, 0.00%), (PYPL, 1,026, 0.18%, 0.00%), (CL, 755, 0.15%, 0.00%), (FDX, 267, 0.14%, 0.00%), (USB, 1,316, 0.14%, 0.00%), (TGT, 365, 0.09%, 0.00%), (SC13481B, nan, nan%, 0.00%), (SC13483B, nan, nan%, 0.00%), (SP13482B, nan, nan%, 0.00%), (SP13485B, nan, nan%, 0.00%), (SP13484B, nan, nan%, 0.00%), (XP13485B, nan, nan%, 0.00%)</t>
  </si>
  <si>
    <t>(AVGO, 8,548, 3.05%, 0.00%), (META, 3,036, 2.73%, 0.00%), (BRK/B, 3,533, 2.14%, 0.00%), (GOOGL, 8,139, 1.96%, 0.00%), (CSCO, 21,450, 1.84%, 0.00%), (LIN, 3,035, 1.80%, 0.00%), (AMT, 6,157, 1.79%, 0.00%), (JPM, 4,473, 1.67%, 0.00%), (GOOG, 6,629, 1.60%, 0.00%), (TSLA, 4,063, 1.56%, 0.00%), (XOM, 10,828, 1.49%, 0.00%), (V, 3,331, 1.49%, 0.00%), (LLY, 1,275, 1.27%, 0.00%), (CB, 3,398, 1.16%, 0.00%), (MA, 1,580, 1.12%, 0.00%), (WM, 3,806, 1.10%, 0.00%), (GE, 3,168, 1.06%, 0.00%), (ORCL, 3,187, 0.97%, 0.00%), (NEE, 9,777, 0.89%, 0.00%), (NFLX, 595, 0.87%, 0.00%), (UNH, 2,372, 0.85%, 0.00%), (JNJ, 3,896, 0.83%, 0.00%), (PG, 4,100, 0.81%, 0.00%), (CVX, 4,117, 0.79%, 0.00%), (PLTR, 4,065, 0.79%, 0.00%), (WMT, 6,486, 0.79%, 0.00%), (COST, 662, 0.78%, 0.00%), (RTX, 3,896, 0.76%, 0.00%), (CAT, 1,413, 0.76%, 0.00%), (MCD, 1,937, 0.72%, 0.00%), (ABT, 4,470, 0.70%, 0.00%), (HD, 1,466, 0.69%, 0.00%), (ABBV, 2,860, 0.69%, 0.00%), (KO, 7,451, 0.65%, 0.00%), (BAC, 10,607, 0.65%, 0.00%), (BA, 2,188, 0.64%, 0.00%), (BKNG, 89, 0.64%, 0.00%), (CRM, 1,896, 0.63%, 0.00%), (SO, 5,209, 0.62%, 0.00%), (NKE, 6,333, 0.62%, 0.00%), (PM, 2,973, 0.61%, 0.00%), (IBM, 1,834, 0.59%, 0.00%), (AMD, 2,970, 0.59%, 0.00%), (ISRG, 918, 0.57%, 0.00%), (ETN, 1,157, 0.56%, 0.00%), (WFC, 5,290, 0.56%, 0.00%), (DUK, 3,673, 0.55%, 0.00%), (HON, 1,903, 0.55%, 0.00%), (UBER, 4,713, 0.55%, 0.00%), (INTU, 556, 0.55%, 0.00%), (GS, 605, 0.55%, 0.00%), (MET, 5,272, 0.52%, 0.00%), (NOW, 409, 0.51%, 0.00%), (DE, 745, 0.48%, 0.00%), (PEP, 2,623, 0.48%, 0.00%), (ACN, 1,239, 0.44%, 0.00%), (T, 12,623, 0.44%, 0.00%), (MRK, 4,094, 0.43%, 0.00%), (MS, 2,391, 0.43%, 0.00%), (AXP, 1,073, 0.42%, 0.00%), (SPGI, 612, 0.41%, 0.00%), (ADBE, 873, 0.41%, 0.00%), (QCOM, 2,033, 0.40%, 0.00%), (VZ, 7,406, 0.40%, 0.00%), (BLK, 281, 0.39%, 0.00%), (TXN, 1,670, 0.39%, 0.00%), (DIS, 2,522, 0.39%, 0.00%), (UNP, 1,357, 0.39%, 0.00%), (MDT, 3,305, 0.38%, 0.00%), (COP, 3,187, 0.38%, 0.00%), (TMO, 619, 0.37%, 0.00%), (SBUX, 3,064, 0.36%, 0.00%), (C, 3,005, 0.36%, 0.00%), (AMAT, 1,509, 0.36%, 0.00%), (SCHW, 2,881, 0.35%, 0.00%), (AMGN, 874, 0.34%, 0.00%), (LMT, 618, 0.33%, 0.00%), (EMR, 1,669, 0.31%, 0.00%), (MMM, 1,594, 0.30%, 0.00%), (PFE, 9,171, 0.29%, 0.00%), (GILD, 2,017, 0.28%, 0.00%), (DHR, 1,040, 0.26%, 0.00%), (TJX, 1,664, 0.26%, 0.00%), (CVS, 3,243, 0.25%, 0.00%), (MO, 3,241, 0.24%, 0.00%), (LOW, 837, 0.24%, 0.00%), (CMCSA, 5,317, 0.24%, 0.00%), (MDLZ, 2,557, 0.23%, 0.00%), (INTC, 7,894, 0.23%, 0.00%), (ELV, 598, 0.22%, 0.00%), (UPS, 1,637, 0.21%, 0.00%), (BMY, 3,282, 0.20%, 0.00%), (PYPL, 1,932, 0.19%,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</si>
  <si>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EBAY, BK, MSFT, META, JPM, BKNG, BLK, RJF, GOOGL, MLI, UNM, V</t>
  </si>
  <si>
    <t>(EWBC, 10,277, 1.90%, 0.01%), (AMAT, 5,696, 1.89%, 0.00%), (AXP, 3,354, 1.87%, 0.00%), (EA, 6,630, 1.81%, 0.00%), (TRV, 3,783, 1.78%, 0.00%), (HIG, 7,961, 1.77%, 0.00%), (ADP, 3,176, 1.75%, 0.00%), (SNA, 2,964, 1.75%, 0.01%), (PHM, 8,436, 1.74%, 0.00%), (NVDA, 5,555, 1.74%, 0.00%), (KLAC, 1,052, 1.70%, 0.00%), (PCAR, 9,402, 1.69%, 0.00%), (CTSH, 12,016, 1.65%, 0.00%), (CRM, 3,406, 1.65%, 0.00%), (ROST, 6,624, 1.64%, 0.00%), (CB, 3,354, 1.62%, 0.00%), (SYF, 12,415, 1.62%, 0.00%), (PAYC, 3,637, 1.56%, 0.01%), (BKR, 17,683, 1.45%, 0.00%), (ACN, 2,833, 1.44%, 0.00%), (LEN, 7,018, 1.43%, 0.00%), (WSM, 4,204, 1.37%, 0.00%), (QCOM, 4,796, 1.37%, 0.00%), (AFL, 6,568, 1.22%, 0.00%), (ODFL, 4,074, 1.21%, 0.00%), (DHI, 4,664, 1.20%, 0.00%), (AAPL, 3,096, 1.19%, 0.00%), (ELV, 2,277, 1.18%, 0.00%), (CSCO, 8,896, 1.09%, 0.00%), (LRCX, 6,125, 1.07%, 0.00%), (GE, 2,147, 1.05%, 0.00%), (STT, 4,930, 0.98%, 0.00%), (MPWR, 759, 0.97%, 0.00%), (CF, 5,635, 0.94%, 0.00%), (PNC, 2,640, 0.93%, 0.00%), (MTB, 2,624, 0.91%, 0.00%), (AMP, 960, 0.90%, 0.00%), (CSL, 1,106, 0.85%, 0.00%), (COST, 493, 0.83%, 0.00%), (XOM, 4,128, 0.82%, 0.00%), (ABT, 3,549, 0.80%, 0.00%), (EOG, 3,713, 0.79%, 0.00%), (EG, 1,249, 0.75%, 0.00%), (GEV, 503, 0.58%, 0.00%), (NTRS, 2,289, 0.53%, 0.00%), (CRBG, 7,863, 0.50%, 0.00%), (MA, 477, 0.49%, 0.00%), (JNJ, 1,532, 0.46%, 0.00%), (DOV, 1,338, 0.45%, 0.00%), (ACM, 2,165, 0.45%, 0.00%), (WTFC, 1,844, 0.44%, 0.00%), (SLM, 7,348, 0.43%, 0.00%), (CINF, 1,592, 0.43%, 0.00%), (MCK, 331, 0.42%, 0.00%), (EQH, 4,437, 0.42%, 0.00%), (MTG, 8,993, 0.41%, 0.00%), (JXN, 2,583, 0.41%, 0.00%), (ALL, 1,133, 0.40%, 0.00%), (NUE, 1,530, 0.40%, 0.00%), (LNC, 6,259, 0.39%, 0.00%), (NKE, 2,790, 0.38%, 0.00%), (PGR, 835, 0.38%, 0.00%), (ADM, 3,811, 0.37%, 0.00%), (FANG, 1,191, 0.31%, 0.00%), (SC13N61B, nan, nan%, 0.00%), (SC13N63B, nan, nan%, 0.00%), (SP13N62B, nan, nan%, 0.00%), (SP13N65B, nan, nan%, 0.00%), (SP13N64B, nan, nan%, 0.00%), (SPX Index, nan, nan%, 0.00%), (XP13N65B, nan, nan%, 0.00%)</t>
  </si>
  <si>
    <t>(AVGO, 3,958, 3.26%, 0.00%), (META, 1,406, 2.86%, 0.00%), (BRK/B, 1,636, 2.23%, 0.00%), (GOOGL, 3,769, 2.05%, 0.00%), (CSCO, 9,933, 1.93%, 0.00%), (LIN, 1,405, 1.88%, 0.00%), (AMT, 2,851, 1.86%, 0.00%), (JPM, 2,071, 1.74%, 0.00%), (TSLA, 1,882, 1.73%, 0.00%), (GOOG, 3,070, 1.67%, 0.00%), (XOM, 5,014, 1.57%, 0.00%), (V, 1,542, 1.56%, 0.00%), (LLY, 590, 1.33%, 0.00%), (CB, 1,573, 1.21%, 0.00%), (MA, 732, 1.17%, 0.00%), (WM, 1,762, 1.15%, 0.00%), (GE, 1,467, 1.12%, 0.00%), (ORCL, 1,476, 1.03%, 0.00%), (NFLX, 276, 0.93%, 0.00%), (NEE, 4,527, 0.92%, 0.00%), (UNH, 1,098, 0.89%, 0.00%), (JNJ, 1,804, 0.86%, 0.00%), (PG, 1,898, 0.85%, 0.00%), (PLTR, 1,882, 0.84%, 0.00%), (CVX, 1,907, 0.83%, 0.00%), (WMT, 3,004, 0.83%, 0.00%), (COST, 307, 0.82%, 0.00%), (RTX, 1,804, 0.80%, 0.00%), (CAT, 654, 0.79%, 0.00%), (MCD, 897, 0.75%, 0.00%), (ABT, 2,070, 0.74%, 0.00%), (HD, 679, 0.71%, 0.00%), (ABBV, 1,324, 0.71%, 0.00%), (KO, 3,452, 0.68%, 0.00%), (BAC, 4,912, 0.67%, 0.00%), (CRM, 878, 0.67%, 0.00%), (BA, 1,013, 0.67%, 0.00%), (BKNG, 41, 0.66%, 0.00%), (SO, 2,412, 0.65%, 0.00%), (AMD, 1,375, 0.64%, 0.00%), (NKE, 2,933, 0.63%, 0.00%), (PM, 1,377, 0.63%, 0.00%), (IBM, 849, 0.62%, 0.00%), (ISRG, 425, 0.60%, 0.00%), (ETN, 536, 0.59%, 0.00%), (WFC, 2,450, 0.58%, 0.00%), (DUK, 1,701, 0.58%, 0.00%), (INTU, 257, 0.58%, 0.00%), (GS, 280, 0.57%, 0.00%), (UBER, 2,183, 0.56%, 0.00%), (HON, 881, 0.56%, 0.00%), (MET, 2,441, 0.54%, 0.00%), (NOW, 189, 0.52%, 0.00%), (DE, 345, 0.50%, 0.00%), (PEP, 1,215, 0.50%, 0.00%), (ACN, 574, 0.46%, 0.00%), (T, 5,845, 0.46%, 0.00%), (MRK, 1,896, 0.45%, 0.00%), (MS, 1,107, 0.45%, 0.00%), (AXP, 497, 0.44%, 0.00%), (SPGI, 283, 0.43%, 0.00%), (ADBE, 404, 0.43%, 0.00%), (QCOM, 942, 0.42%, 0.00%), (BLK, 130, 0.41%, 0.00%), (VZ, 3,429, 0.41%, 0.00%), (TXN, 773, 0.41%, 0.00%), (DIS, 1,168, 0.40%, 0.00%), (MDT, 1,530, 0.40%, 0.00%), (UNP, 628, 0.40%, 0.00%), (COP, 1,476, 0.40%, 0.00%), (SBUX, 1,419, 0.38%, 0.00%), (TMO, 287, 0.37%, 0.00%), (C, 1,392, 0.37%, 0.00%), (AMAT, 699, 0.37%, 0.00%), (SCHW, 1,334, 0.36%, 0.00%), (AMGN, 405, 0.35%, 0.00%), (LMT, 286, 0.34%, 0.00%), (EMR, 773, 0.32%, 0.00%), (MMM, 738, 0.32%, 0.00%), (GILD, 934, 0.30%, 0.00%), (DHR, 482, 0.28%, 0.00%), (TJX, 771, 0.27%, 0.00%), (CVS, 1,502, 0.26%, 0.00%), (MO, 1,501, 0.25%, 0.00%), (LOW, 388, 0.25%, 0.00%), (MDLZ, 1,184, 0.24%, 0.00%), (CMCSA, 2,462, 0.23%, 0.00%), (ELV, 277, 0.23%, 0.00%), (UPS, 758, 0.22%, 0.00%), (PFE, 3,047, 0.21%, 0.00%), (INTC, 3,655, 0.21%, 0.00%), (BMY, 1,520, 0.21%, 0.00%), (PYPL, 895, 0.20%, 0.00%), (CL, 659, 0.16%, 0.00%), (FDX, 233, 0.16%, 0.00%), (USB, 1,148, 0.15%, 0.00%), (TGT, 319, 0.10%, 0.00%), (SC31761B, nan, nan%, 0.00%), (SC31763B, nan, nan%, 0.00%), (SP31762B, nan, nan%, 0.00%), (SP31765B, nan, nan%, 0.00%), (SP31764B, nan, nan%, 0.00%), (XP31765B, nan, nan%, 0.00%)</t>
  </si>
  <si>
    <t>(AVGO, 2,605, 3.15%, 0.00%), (META, 925, 2.75%, 0.00%), (BRK/B, 1,077, 2.16%, 0.00%), (GOOGL, 2,480, 1.98%, 0.00%), (CSCO, 6,537, 1.87%, 0.00%), (LIN, 925, 1.82%, 0.00%), (AMT, 1,876, 1.79%, 0.00%), (JPM, 1,363, 1.68%, 0.00%), (TSLA, 1,238, 1.66%, 0.00%), (GOOG, 2,020, 1.61%, 0.00%), (XOM, 3,300, 1.51%, 0.00%), (V, 1,015, 1.50%, 0.00%), (LLY, 389, 1.29%, 0.00%), (CB, 1,035, 1.16%, 0.00%), (MA, 481, 1.13%, 0.00%), (WM, 1,160, 1.11%, 0.00%), (GE, 966, 1.08%, 0.00%), (ORCL, 971, 0.99%, 0.00%), (NFLX, 181, 0.89%, 0.00%), (NEE, 2,980, 0.89%, 0.00%), (UNH, 723, 0.85%, 0.00%), (JNJ, 1,187, 0.83%, 0.00%), (PG, 1,249, 0.82%, 0.00%), (PLTR, 1,239, 0.81%, 0.00%), (WMT, 1,977, 0.80%, 0.00%), (CVX, 1,255, 0.80%, 0.00%), (COST, 202, 0.79%, 0.00%), (RTX, 1,187, 0.77%, 0.00%), (CAT, 431, 0.77%, 0.00%), (MCD, 590, 0.73%, 0.00%), (ABT, 1,362, 0.71%, 0.00%), (HD, 447, 0.69%, 0.00%), (ABBV, 872, 0.69%, 0.00%), (KO, 2,272, 0.65%, 0.00%), (BAC, 3,232, 0.65%, 0.00%), (CRM, 578, 0.64%, 0.00%), (BA, 667, 0.64%, 0.00%), (BKNG, 27, 0.64%, 0.00%), (SO, 1,588, 0.63%, 0.00%), (AMD, 905, 0.62%, 0.00%), (NKE, 1,930, 0.61%, 0.00%), (PM, 906, 0.61%, 0.00%), (IBM, 559, 0.60%, 0.00%), (ISRG, 280, 0.58%, 0.00%), (ETN, 353, 0.57%, 0.00%), (WFC, 1,612, 0.56%, 0.00%), (DUK, 1,119, 0.56%, 0.00%), (INTU, 169, 0.56%, 0.00%), (GS, 184, 0.55%, 0.00%), (UBER, 1,436, 0.54%, 0.00%), (HON, 580, 0.54%, 0.00%), (MET, 1,607, 0.52%, 0.00%), (NOW, 124, 0.50%, 0.00%), (DE, 227, 0.48%, 0.00%), (PEP, 799, 0.48%, 0.00%), (ACN, 378, 0.45%, 0.00%), (T, 3,847, 0.44%, 0.00%), (MS, 729, 0.43%, 0.00%), (MRK, 1,248, 0.43%, 0.00%), (AXP, 327, 0.42%, 0.00%), (SPGI, 186, 0.41%, 0.00%), (ADBE, 266, 0.41%, 0.00%), (QCOM, 620, 0.41%, 0.00%), (BLK, 86, 0.40%, 0.00%), (VZ, 2,257, 0.40%, 0.00%), (TXN, 509, 0.39%, 0.00%), (DIS, 769, 0.39%, 0.00%), (UNP, 414, 0.39%, 0.00%), (MDT, 1,007, 0.39%, 0.00%), (COP, 971, 0.38%, 0.00%), (SBUX, 934, 0.36%, 0.00%), (C, 916, 0.36%, 0.00%), (AMAT, 460, 0.36%, 0.00%), (SCHW, 878, 0.35%, 0.00%), (TMO, 189, 0.35%, 0.00%), (AMGN, 267, 0.34%, 0.00%), (LMT, 188, 0.33%, 0.00%), (EMR, 509, 0.31%, 0.00%), (MMM, 486, 0.31%, 0.00%), (GILD, 615, 0.29%, 0.00%), (DHR, 317, 0.27%, 0.00%), (TJX, 507, 0.26%, 0.00%), (CVS, 988, 0.25%, 0.00%), (MO, 988, 0.24%, 0.00%), (LOW, 255, 0.24%, 0.00%), (MDLZ, 779, 0.23%, 0.00%), (CMCSA, 1,620, 0.23%, 0.00%), (ELV, 182, 0.22%, 0.00%), (UPS, 499, 0.21%, 0.00%), (INTC, 2,406, 0.21%, 0.00%), (PFE, 1,995, 0.21%, 0.00%), (BMY, 1,000, 0.20%, 0.00%), (PYPL, 589, 0.19%, 0.00%), (CL, 433, 0.16%, 0.00%), (FDX, 153, 0.15%, 0.00%), (USB, 755, 0.14%, 0.00%), (TGT, 210, 0.09%, 0.00%), (SC9061B, nan, nan%, 0.00%), (SC9063B, nan, nan%, 0.00%), (SP9062B, nan, nan%, 0.00%), (SP9065B, nan, nan%, 0.00%), (SP9064B, nan, nan%, 0.00%), (XP9065B, nan, nan%, 0.00%)</t>
  </si>
  <si>
    <t>(AVGO, 1,647, 3.07%, 0.00%), (META, 585, 2.69%, 0.00%), (BRK/B, 681, 2.10%, 0.00%), (GOOGL, 1,568, 1.93%, 0.00%), (CSCO, 4,132, 1.82%, 0.00%), (LIN, 585, 1.77%, 0.00%), (AMT, 1,186, 1.74%, 0.00%), (JPM, 862, 1.64%, 0.00%), (TSLA, 783, 1.62%, 0.00%), (GOOG, 1,277, 1.58%, 0.00%), (XOM, 2,086, 1.48%, 0.00%), (V, 642, 1.46%, 0.00%), (LLY, 246, 1.25%, 0.00%), (CB, 655, 1.14%, 0.00%), (MA, 304, 1.10%, 0.00%), (WM, 733, 1.08%, 0.00%), (GE, 610, 1.06%, 0.00%), (ORCL, 614, 0.96%, 0.00%), (NFLX, 115, 0.88%, 0.00%), (NEE, 1,883, 0.86%, 0.00%), (UNH, 457, 0.83%, 0.00%), (JNJ, 751, 0.80%, 0.00%), (PG, 790, 0.80%, 0.00%), (PLTR, 783, 0.79%, 0.00%), (CVX, 793, 0.78%, 0.00%), (WMT, 1,249, 0.78%, 0.00%), (COST, 128, 0.77%, 0.00%), (RTX, 751, 0.75%, 0.00%), (CAT, 272, 0.74%, 0.00%), (MCD, 373, 0.71%, 0.00%), (ABT, 861, 0.69%, 0.00%), (ABBV, 551, 0.67%, 0.00%), (HD, 282, 0.67%, 0.00%), (KO, 1,435, 0.64%, 0.00%), (BAC, 2,043, 0.63%, 0.00%), (CRM, 365, 0.63%, 0.00%), (BA, 422, 0.63%, 0.00%), (BKNG, 17, 0.62%, 0.00%), (SO, 1,004, 0.61%, 0.00%), (AMD, 572, 0.61%, 0.00%), (NKE, 1,220, 0.59%, 0.00%), (PM, 573, 0.59%, 0.00%), (IBM, 353, 0.58%, 0.00%), (ISRG, 177, 0.56%, 0.00%), (ETN, 223, 0.55%, 0.00%), (WFC, 1,019, 0.55%, 0.00%), (DUK, 708, 0.55%, 0.00%), (GS, 117, 0.55%, 0.00%), (INTU, 107, 0.54%, 0.00%), (UBER, 908, 0.53%, 0.00%), (HON, 367, 0.53%, 0.00%), (MET, 1,016, 0.51%, 0.00%), (NOW, 79, 0.49%, 0.00%), (DE, 143, 0.47%, 0.00%), (PEP, 505, 0.47%, 0.00%), (ACN, 239, 0.43%, 0.00%), (T, 2,432, 0.43%, 0.00%), (MRK, 789, 0.42%, 0.00%), (MS, 461, 0.42%, 0.00%), (AXP, 207, 0.41%, 0.00%), (SPGI, 118, 0.41%, 0.00%), (ADBE, 168, 0.40%, 0.00%), (QCOM, 392, 0.40%, 0.00%), (BLK, 54, 0.39%, 0.00%), (VZ, 1,427, 0.39%, 0.00%), (TXN, 322, 0.38%, 0.00%), (DIS, 486, 0.38%, 0.00%), (MDT, 637, 0.38%, 0.00%), (UNP, 261, 0.37%, 0.00%), (COP, 614, 0.37%, 0.00%), (TMO, 119, 0.37%, 0.00%), (SBUX, 590, 0.35%, 0.00%), (C, 579, 0.35%, 0.00%), (AMAT, 291, 0.35%, 0.00%), (SCHW, 555, 0.34%, 0.00%), (AMGN, 168, 0.33%, 0.00%), (LMT, 119, 0.32%, 0.00%), (EMR, 322, 0.30%, 0.00%), (MMM, 307, 0.30%, 0.00%), (GILD, 389, 0.29%, 0.00%), (DHR, 200, 0.27%, 0.00%), (TJX, 321, 0.26%, 0.00%), (CVS, 625, 0.24%, 0.00%), (MO, 624, 0.24%, 0.00%), (LOW, 161, 0.23%, 0.00%), (MDLZ, 493, 0.22%, 0.00%), (CMCSA, 1,024, 0.22%, 0.00%), (PFE, 1,367, 0.22%, 0.00%), (ELV, 115, 0.21%, 0.00%), (UPS, 315, 0.21%, 0.00%), (INTC, 1,521, 0.20%, 0.00%), (BMY, 632, 0.19%, 0.00%), (PYPL, 372, 0.19%, 0.00%), (CL, 274, 0.15%, 0.00%), (FDX, 97, 0.15%, 0.00%), (USB, 478, 0.14%, 0.00%), (TGT, 133, 0.09%, 0.00%), (SC8071B, nan, nan%, 0.00%), (SC8073B, nan, nan%, 0.00%), (SP8072B, nan, nan%, 0.00%), (SP8075B, nan, nan%, 0.00%), (SP8074B, nan, nan%, 0.00%), (XP8075B, nan, nan%, 0.00%)</t>
  </si>
  <si>
    <t>(AVGO, 14,920, 3.12%, 0.00%), (META, 5,300, 2.74%, 0.00%), (BRK/B, 6,166, 2.14%, 0.00%), (GOOGL, 14,206, 1.96%, 0.00%), (CSCO, 37,440, 1.85%, 0.00%), (LIN, 5,297, 1.80%, 0.00%), (AMT, 10,746, 1.78%, 0.00%), (JPM, 7,808, 1.67%, 0.00%), (TSLA, 7,092, 1.65%, 0.00%), (GOOG, 11,571, 1.60%, 0.00%), (XOM, 18,900, 1.50%, 0.00%), (V, 5,813, 1.49%, 0.00%), (LLY, 2,226, 1.28%, 0.00%), (CB, 5,931, 1.16%, 0.00%), (MA, 2,757, 1.12%, 0.00%), (WM, 6,643, 1.10%, 0.00%), (GE, 5,530, 1.08%, 0.00%), (ORCL, 5,563, 0.98%, 0.00%), (NFLX, 1,039, 0.89%, 0.00%), (NEE, 17,065, 0.88%, 0.00%), (UNH, 4,140, 0.85%, 0.00%), (JNJ, 6,801, 0.82%, 0.00%), (PG, 7,156, 0.81%, 0.00%), (PLTR, 7,095, 0.81%, 0.00%), (CVX, 7,187, 0.79%, 0.00%), (WMT, 11,321, 0.79%, 0.00%), (COST, 1,156, 0.78%, 0.00%), (RTX, 6,801, 0.76%, 0.00%), (CAT, 2,467, 0.76%, 0.00%), (MCD, 3,381, 0.72%, 0.00%), (ABT, 7,802, 0.71%, 0.00%), (HD, 2,559, 0.68%, 0.00%), (ABBV, 4,992, 0.68%, 0.00%), (KO, 13,014, 0.65%, 0.00%), (BAC, 18,513, 0.64%, 0.00%), (CRM, 3,309, 0.64%, 0.00%), (BA, 3,820, 0.64%, 0.00%), (BKNG, 156, 0.64%, 0.00%), (SO, 9,093, 0.62%, 0.00%), (AMD, 5,184, 0.61%, 0.00%), (NKE, 11,054, 0.60%, 0.00%), (PM, 5,189, 0.60%, 0.00%), (IBM, 3,200, 0.60%, 0.00%), (ISRG, 1,602, 0.57%, 0.00%), (ETN, 2,019, 0.56%, 0.00%), (WFC, 9,234, 0.56%, 0.00%), (DUK, 6,411, 0.56%, 0.00%), (INTU, 970, 0.55%, 0.00%), (GS, 1,056, 0.55%, 0.00%), (UBER, 8,227, 0.54%, 0.00%), (HON, 3,322, 0.54%, 0.00%), (MET, 9,202, 0.52%, 0.00%), (NOW, 713, 0.50%, 0.00%), (DE, 1,300, 0.48%, 0.00%), (PEP, 4,579, 0.47%, 0.00%), (ACN, 2,163, 0.44%, 0.00%), (T, 22,033, 0.44%, 0.00%), (MRK, 7,146, 0.43%, 0.00%), (MS, 4,173, 0.43%, 0.00%), (AXP, 1,872, 0.42%, 0.00%), (SPGI, 1,068, 0.41%, 0.00%), (ADBE, 1,524, 0.41%, 0.00%), (QCOM, 3,549, 0.41%, 0.00%), (BLK, 490, 0.40%, 0.00%), (VZ, 12,926, 0.39%, 0.00%), (TXN, 2,914, 0.39%, 0.00%), (DIS, 4,403, 0.38%, 0.00%), (MDT, 5,769, 0.38%, 0.00%), (UNP, 2,369, 0.38%, 0.00%), (COP, 5,562, 0.38%, 0.00%), (TMO, 1,080, 0.36%, 0.00%), (SBUX, 5,348, 0.36%, 0.00%), (C, 5,245, 0.36%, 0.00%), (AMAT, 2,634, 0.35%, 0.00%), (SCHW, 5,029, 0.35%, 0.00%), (AMGN, 1,527, 0.33%, 0.00%), (LMT, 1,078, 0.33%, 0.00%), (EMR, 2,913, 0.31%, 0.00%), (MMM, 2,782, 0.30%, 0.00%), (GILD, 3,520, 0.29%, 0.00%), (DHR, 1,816, 0.27%, 0.00%), (TJX, 2,905, 0.26%, 0.00%), (CVS, 5,661, 0.25%, 0.00%), (MO, 5,656, 0.24%, 0.00%), (LOW, 1,461, 0.24%, 0.00%), (MDLZ, 4,463, 0.23%, 0.00%), (CMCSA, 9,280, 0.23%, 0.00%), (ELV, 1,043, 0.22%, 0.00%), (UPS, 2,857, 0.21%, 0.00%), (INTC, 13,778, 0.20%, 0.00%), (PFE, 11,408, 0.20%, 0.00%), (BMY, 5,729, 0.20%, 0.00%), (PYPL, 3,373, 0.19%, 0.00%), (CL, 2,483, 0.16%, 0.00%), (FDX, 878, 0.15%, 0.00%), (USB, 4,327, 0.14%, 0.00%), (TGT, 1,202, 0.09%, 0.00%), (SC23471B, nan, nan%, 0.00%), (SC23473B, nan, nan%, 0.00%), (SP23472B, nan, nan%, 0.00%), (SP23475B, nan, nan%, 0.00%), (SP23474B, nan, nan%, 0.00%), (XP23475B, nan, nan%, 0.00%)</t>
  </si>
  <si>
    <t>(AVGO, 11,111, 3.11%, 0.00%), (META, 3,947, 2.73%, 0.00%), (BRK/B, 4,592, 2.13%, 0.00%), (GOOGL, 10,579, 1.96%, 0.00%), (CSCO, 27,882, 1.85%, 0.00%), (LIN, 3,945, 1.80%, 0.00%), (AMT, 8,003, 1.77%, 0.00%), (JPM, 5,815, 1.67%, 0.00%), (TSLA, 5,282, 1.65%, 0.00%), (GOOG, 8,617, 1.60%, 0.00%), (XOM, 14,075, 1.50%, 0.00%), (V, 4,329, 1.49%, 0.00%), (LLY, 1,658, 1.27%, 0.00%), (CB, 4,417, 1.15%, 0.00%), (MA, 2,053, 1.12%, 0.00%), (WM, 4,947, 1.10%, 0.00%), (GE, 4,118, 1.07%, 0.00%), (ORCL, 4,143, 0.98%, 0.00%), (NFLX, 774, 0.89%, 0.00%), (NEE, 12,709, 0.88%, 0.00%), (UNH, 3,083, 0.85%, 0.00%), (JNJ, 5,065, 0.82%, 0.00%), (PG, 5,329, 0.81%, 0.00%), (PLTR, 5,284, 0.81%, 0.00%), (CVX, 5,352, 0.79%, 0.00%), (WMT, 8,431, 0.79%, 0.00%), (COST, 861, 0.78%, 0.00%), (RTX, 5,065, 0.76%, 0.00%), (CAT, 1,837, 0.76%, 0.00%), (MCD, 2,518, 0.72%, 0.00%), (ABT, 5,810, 0.70%, 0.00%), (HD, 1,905, 0.68%, 0.00%), (ABBV, 3,717, 0.68%, 0.00%), (KO, 9,691, 0.65%, 0.00%), (BAC, 13,787, 0.64%, 0.00%), (CRM, 2,464, 0.64%, 0.00%), (BA, 2,845, 0.64%, 0.00%), (BKNG, 116, 0.63%, 0.00%), (SO, 6,771, 0.62%, 0.00%), (AMD, 3,861, 0.61%, 0.00%), (NKE, 8,232, 0.60%, 0.00%), (PM, 3,864, 0.60%, 0.00%), (IBM, 2,383, 0.60%, 0.00%), (ISRG, 1,193, 0.57%, 0.00%), (ETN, 1,504, 0.56%, 0.00%), (WFC, 6,876, 0.56%, 0.00%), (DUK, 4,774, 0.55%, 0.00%), (INTU, 722, 0.55%, 0.00%), (GS, 786, 0.55%, 0.00%), (UBER, 6,127, 0.54%, 0.00%), (HON, 2,474, 0.53%, 0.00%), (MET, 6,852, 0.52%, 0.00%), (NOW, 531, 0.50%, 0.00%), (DE, 968, 0.48%, 0.00%), (PEP, 3,410, 0.47%, 0.00%), (ACN, 1,620, 0.44%, 0.00%), (T, 16,408, 0.44%, 0.00%), (MRK, 5,321, 0.43%, 0.00%), (MS, 3,108, 0.43%, 0.00%), (AXP, 1,394, 0.42%, 0.00%), (SPGI, 795, 0.41%, 0.00%), (ADBE, 1,135, 0.41%, 0.00%), (QCOM, 2,643, 0.40%, 0.00%), (BLK, 365, 0.39%, 0.00%), (VZ, 9,626, 0.39%, 0.00%), (TXN, 2,170, 0.39%, 0.00%), (DIS, 3,279, 0.38%, 0.00%), (MDT, 4,296, 0.38%, 0.00%), (UNP, 1,764, 0.38%, 0.00%), (COP, 4,142, 0.38%, 0.00%), (TMO, 805, 0.36%, 0.00%), (SBUX, 3,983, 0.36%, 0.00%), (C, 3,906, 0.36%, 0.00%), (AMAT, 1,961, 0.35%, 0.00%), (SCHW, 3,745, 0.35%, 0.00%), (AMGN, 1,137, 0.33%, 0.00%), (LMT, 803, 0.33%, 0.00%), (EMR, 2,170, 0.31%, 0.00%), (MMM, 2,072, 0.30%, 0.00%), (GILD, 2,622, 0.29%, 0.00%), (DHR, 1,352, 0.26%, 0.00%), (TJX, 2,163, 0.26%, 0.00%), (CVS, 4,215, 0.25%, 0.00%), (MO, 4,212, 0.24%, 0.00%), (LOW, 1,088, 0.24%, 0.00%), (MDLZ, 3,323, 0.23%, 0.00%), (CMCSA, 6,911, 0.22%, 0.00%), (ELV, 777, 0.22%, 0.00%), (UPS, 2,128, 0.21%, 0.00%), (INTC, 10,260, 0.20%, 0.00%), (PFE, 8,521, 0.20%, 0.00%), (BMY, 4,266, 0.20%, 0.00%), (PYPL, 2,512, 0.19%, 0.00%), (CL, 1,849, 0.16%, 0.00%), (FDX, 654, 0.15%, 0.00%), (USB, 3,222, 0.14%, 0.00%), (TGT, 895, 0.09%, 0.00%), (SC22171B, nan, nan%, 0.00%), (SC22173B, nan, nan%, 0.00%), (SP22172B, nan, nan%, 0.00%), (SP22175B, nan, nan%, 0.00%), (SP22174B, nan, nan%, 0.00%), (XP22175B, nan, nan%, 0.00%)</t>
  </si>
  <si>
    <t>(META, 1,485, 2.60%, 0.00%), (BRK/B, 1,728, 2.03%, 0.00%), (GOOGL, 3,981, 1.87%, 0.00%), (CSCO, 10,491, 1.76%, 0.00%), (LIN, 1,484, 1.71%, 0.00%), (AMT, 3,011, 1.69%, 0.00%), (JPM, 2,188, 1.59%, 0.00%), (TSLA, 1,987, 1.57%, 0.00%), (GOOG, 3,242, 1.53%, 0.00%), (XOM, 5,296, 1.43%, 0.00%), (V, 1,629, 1.42%, 0.00%), (LLY, 624, 1.22%, 0.00%), (CB, 1,662, 1.10%, 0.00%), (MA, 773, 1.07%, 0.00%), (WM, 1,862, 1.05%, 0.00%), (GE, 1,550, 1.02%, 0.00%), (ORCL, 1,559, 0.93%, 0.00%), (NFLX, 291, 0.85%, 0.00%), (NEE, 4,782, 0.84%, 0.00%), (UNH, 1,160, 0.81%, 0.00%), (JNJ, 1,906, 0.78%, 0.00%), (PG, 2,005, 0.77%, 0.00%), (PLTR, 1,988, 0.77%, 0.00%), (CVX, 2,014, 0.75%, 0.00%), (WMT, 3,172, 0.75%, 0.00%), (COST, 324, 0.74%, 0.00%), (RTX, 1,906, 0.73%, 0.00%), (CAT, 691, 0.72%, 0.00%), (MCD, 948, 0.69%, 0.00%), (ABT, 2,186, 0.67%, 0.00%), (HD, 717, 0.65%, 0.00%), (ABBV, 1,399, 0.65%, 0.00%), (KO, 3,644, 0.62%, 0.00%), (BAC, 5,188, 0.61%, 0.00%), (CRM, 927, 0.61%, 0.00%), (BKNG, 44, 0.61%, 0.00%), (BA, 1,070, 0.61%, 0.00%), (SO, 2,548, 0.59%, 0.00%), (AMD, 1,453, 0.59%, 0.00%), (NKE, 3,098, 0.57%, 0.00%), (PM, 1,454, 0.57%, 0.00%), (IBM, 897, 0.57%, 0.00%), (ISRG, 449, 0.54%, 0.00%), (ETN, 566, 0.54%, 0.00%), (WFC, 2,588, 0.53%, 0.00%), (DUK, 1,796, 0.53%, 0.00%), (INTU, 272, 0.53%, 0.00%), (GS, 296, 0.52%, 0.00%), (UBER, 2,305, 0.51%, 0.00%), (HON, 931, 0.51%, 0.00%), (MET, 2,578, 0.49%, 0.00%), (NOW, 200, 0.48%, 0.00%), (DE, 364, 0.45%, 0.00%), (PEP, 1,283, 0.45%, 0.00%), (ACN, 606, 0.42%, 0.00%), (T, 6,174, 0.42%, 0.00%), (MRK, 2,002, 0.41%, 0.00%), (MS, 1,169, 0.41%, 0.00%), (AXP, 525, 0.40%, 0.00%), (SPGI, 299, 0.39%, 0.00%), (ADBE, 427, 0.39%, 0.00%), (QCOM, 995, 0.39%, 0.00%), (BLK, 137, 0.38%, 0.00%), (VZ, 3,622, 0.37%, 0.00%), (TXN, 817, 0.37%, 0.00%), (DIS, 1,234, 0.37%, 0.00%), (MDT, 1,617, 0.36%, 0.00%), (UNP, 664, 0.36%, 0.00%), (COP, 1,559, 0.36%, 0.00%), (SBUX, 1,499, 0.34%, 0.00%), (TMO, 303, 0.34%, 0.00%), (C, 1,470, 0.34%, 0.00%), (AMAT, 738, 0.34%, 0.00%), (SCHW, 1,409, 0.33%, 0.00%), (AMGN, 428, 0.32%, 0.00%), (LMT, 302, 0.31%, 0.00%), (EMR, 816, 0.29%, 0.00%), (MMM, 780, 0.29%, 0.00%), (GILD, 986, 0.28%, 0.00%), (DHR, 509, 0.25%, 0.00%), (TJX, 814, 0.25%, 0.00%), (CVS, 1,586, 0.23%, 0.00%), (MO, 1,585, 0.23%, 0.00%), (LOW, 409, 0.23%, 0.00%), (MDLZ, 1,251, 0.22%, 0.00%), (CMCSA, 2,601, 0.21%, 0.00%), (ELV, 292, 0.21%, 0.00%), (PFE, 3,386, 0.20%, 0.00%), (UPS, 801, 0.20%, 0.00%), (INTC, 3,861, 0.19%, 0.00%), (BMY, 1,605, 0.19%, 0.00%), (PYPL, 945, 0.18%, 0.00%), (CL, 696, 0.15%, 0.00%), (FDX, 246, 0.14%, 0.00%), (USB, 1,212, 0.14%, 0.00%), (TGT, 337, 0.09%, 0.00%), (SC28181B, nan, nan%, 0.00%), (SC28183B, nan, nan%, 0.00%), (SP28182B, nan, nan%, 0.00%), (SP28185B, nan, nan%, 0.00%), (SP28184B, nan, nan%, 0.00%), (XP28185B, nan, nan%, 0.00%)</t>
  </si>
  <si>
    <t>(META, 1,612, 2.63%, 0.00%), (BRK/B, 1,876, 2.06%, 0.00%), (GOOGL, 4,322, 1.89%, 0.00%), (CSCO, 11,389, 1.78%, 0.00%), (LIN, 1,612, 1.73%, 0.00%), (AMT, 3,269, 1.71%, 0.00%), (JPM, 2,375, 1.61%, 0.00%), (TSLA, 2,158, 1.59%, 0.00%), (GOOG, 3,520, 1.54%, 0.00%), (XOM, 5,750, 1.44%, 0.00%), (V, 1,769, 1.43%, 0.00%), (LLY, 677, 1.22%, 0.00%), (CB, 1,804, 1.11%, 0.00%), (MA, 839, 1.08%, 0.00%), (WM, 2,021, 1.06%, 0.00%), (GE, 1,682, 1.04%, 0.00%), (ORCL, 1,692, 0.94%, 0.00%), (NFLX, 316, 0.85%, 0.00%), (NEE, 5,192, 0.84%, 0.00%), (UNH, 1,260, 0.82%, 0.00%), (JNJ, 2,069, 0.79%, 0.00%), (PG, 2,177, 0.78%, 0.00%), (PLTR, 2,159, 0.78%, 0.00%), (CVX, 2,186, 0.76%, 0.00%), (WMT, 3,444, 0.76%, 0.00%), (COST, 352, 0.75%, 0.00%), (RTX, 2,069, 0.74%, 0.00%), (CAT, 751, 0.73%, 0.00%), (MCD, 1,029, 0.69%, 0.00%), (ABT, 2,374, 0.68%, 0.00%), (HD, 778, 0.66%, 0.00%), (ABBV, 1,519, 0.65%, 0.00%), (BKNG, 48, 0.62%, 0.00%), (BAC, 5,632, 0.62%, 0.00%), (KO, 3,920, 0.62%, 0.00%), (CRM, 1,007, 0.62%, 0.00%), (BA, 1,162, 0.61%, 0.00%), (SO, 2,766, 0.60%, 0.00%), (AMD, 1,577, 0.59%, 0.00%), (NKE, 3,363, 0.58%, 0.00%), (PM, 1,579, 0.58%, 0.00%), (IBM, 973, 0.57%, 0.00%), (ISRG, 487, 0.55%, 0.00%), (ETN, 614, 0.54%, 0.00%), (WFC, 2,809, 0.54%, 0.00%), (DUK, 1,950, 0.53%, 0.00%), (INTU, 295, 0.53%, 0.00%), (GS, 321, 0.53%, 0.00%), (UBER, 2,503, 0.52%, 0.00%), (HON, 1,010, 0.51%, 0.00%), (MET, 2,800, 0.50%, 0.00%), (NOW, 217, 0.48%, 0.00%), (DE, 395, 0.46%, 0.00%), (PEP, 1,393, 0.46%, 0.00%), (ACN, 661, 0.43%, 0.00%), (T, 6,702, 0.43%, 0.00%), (MRK, 2,174, 0.41%, 0.00%), (MS, 1,269, 0.41%, 0.00%), (AXP, 569, 0.40%, 0.00%), (SPGI, 325, 0.39%, 0.00%), (ADBE, 463, 0.39%, 0.00%), (QCOM, 1,079, 0.39%, 0.00%), (BLK, 149, 0.38%, 0.00%), (VZ, 3,932, 0.38%, 0.00%), (TXN, 887, 0.37%, 0.00%), (DIS, 1,339, 0.37%, 0.00%), (MDT, 1,755, 0.37%, 0.00%), (UNP, 720, 0.37%, 0.00%), (COP, 1,692, 0.36%, 0.00%), (TMO, 329, 0.35%, 0.00%), (SBUX, 1,627, 0.35%, 0.00%), (C, 1,596, 0.34%, 0.00%), (AMAT, 801, 0.34%, 0.00%), (SCHW, 1,530, 0.34%, 0.00%), (AMGN, 463, 0.32%, 0.00%), (LMT, 328, 0.32%, 0.00%), (EMR, 887, 0.30%, 0.00%), (MMM, 847, 0.29%, 0.00%), (GILD, 1,071, 0.28%, 0.00%), (DHR, 552, 0.26%, 0.00%), (TJX, 884, 0.25%, 0.00%), (CVS, 1,722, 0.24%, 0.00%), (MO, 1,720, 0.23%, 0.00%), (LOW, 445, 0.23%, 0.00%), (MDLZ, 1,358, 0.22%, 0.00%), (CMCSA, 2,823, 0.22%, 0.00%), (PFE, 3,770, 0.21%, 0.00%), (ELV, 317, 0.21%, 0.00%), (UPS, 869, 0.20%, 0.00%), (INTC, 4,191, 0.20%, 0.00%), (BMY, 1,743, 0.19%, 0.00%), (PYPL, 1,026, 0.18%, 0.00%), (CL, 755, 0.15%, 0.00%), (FDX, 267, 0.14%, 0.00%), (USB, 1,316, 0.14%, 0.00%), (TGT, 365, 0.09%, 0.00%), (SC13481B, nan, nan%, 0.00%), (SC13483B, nan, nan%, 0.00%), (SP13482B, nan, nan%, 0.00%), (SP13485B, nan, nan%, 0.00%), (SP13484B, nan, nan%, 0.00%), (XP13485B, nan, nan%, 0.00%)</t>
  </si>
  <si>
    <t>(AVGO, 8,548, 3.11%, 0.00%), (META, 3,036, 2.73%, 0.00%), (BRK/B, 3,533, 2.13%, 0.00%), (GOOGL, 8,139, 1.96%, 0.00%), (CSCO, 21,450, 1.85%, 0.00%), (LIN, 3,035, 1.80%, 0.00%), (AMT, 6,157, 1.77%, 0.00%), (JPM, 4,473, 1.67%, 0.00%), (TSLA, 4,063, 1.65%, 0.00%), (GOOG, 6,629, 1.60%, 0.00%), (XOM, 10,828, 1.50%, 0.00%), (V, 3,331, 1.49%, 0.00%), (LLY, 1,275, 1.27%, 0.00%), (CB, 3,398, 1.15%, 0.00%), (MA, 1,580, 1.12%, 0.00%), (WM, 3,806, 1.10%, 0.00%), (GE, 3,168, 1.08%, 0.00%), (ORCL, 3,187, 0.98%, 0.00%), (NFLX, 595, 0.89%, 0.00%), (NEE, 9,777, 0.88%, 0.00%), (UNH, 2,372, 0.85%, 0.00%), (JNJ, 3,896, 0.82%, 0.00%), (PG, 4,100, 0.81%, 0.00%), (PLTR, 4,065, 0.81%, 0.00%), (CVX, 4,117, 0.79%, 0.00%), (WMT, 6,486, 0.79%, 0.00%), (COST, 662, 0.78%, 0.00%), (RTX, 3,896, 0.76%, 0.00%), (CAT, 1,413, 0.76%, 0.00%), (MCD, 1,937, 0.72%, 0.00%), (ABT, 4,470, 0.70%, 0.00%), (HD, 1,466, 0.68%, 0.00%), (ABBV, 2,860, 0.68%, 0.00%), (KO, 7,451, 0.65%, 0.00%), (BAC, 10,607, 0.64%, 0.00%), (CRM, 1,896, 0.64%, 0.00%), (BA, 2,188, 0.64%, 0.00%), (BKNG, 89, 0.63%, 0.00%), (SO, 5,209, 0.62%, 0.00%), (AMD, 2,970, 0.61%, 0.00%), (NKE, 6,333, 0.60%, 0.00%), (PM, 2,973, 0.60%, 0.00%), (IBM, 1,834, 0.59%, 0.00%), (ISRG, 918, 0.57%, 0.00%), (ETN, 1,157, 0.56%, 0.00%), (WFC, 5,290, 0.56%, 0.00%), (DUK, 3,673, 0.55%, 0.00%), (INTU, 556, 0.55%, 0.00%), (GS, 605, 0.55%, 0.00%), (UBER, 4,713, 0.54%, 0.00%), (HON, 1,903, 0.53%, 0.00%), (MET, 5,272, 0.52%, 0.00%), (NOW, 409, 0.50%, 0.00%), (DE, 745, 0.48%, 0.00%), (PEP, 2,623, 0.47%, 0.00%), (ACN, 1,239, 0.44%, 0.00%), (T, 12,623, 0.44%, 0.00%), (MRK, 4,094, 0.43%, 0.00%), (MS, 2,391, 0.43%, 0.00%), (AXP, 1,073, 0.42%, 0.00%), (SPGI, 612, 0.41%, 0.00%), (ADBE, 873, 0.41%, 0.00%), (QCOM, 2,033, 0.40%, 0.00%), (BLK, 281, 0.39%, 0.00%), (VZ, 7,406, 0.39%, 0.00%), (TXN, 1,670, 0.39%, 0.00%), (DIS, 2,522, 0.38%, 0.00%), (MDT, 3,305, 0.38%, 0.00%), (UNP, 1,357, 0.38%, 0.00%), (COP, 3,187, 0.38%, 0.00%), (TMO, 619, 0.37%, 0.00%), (SBUX, 3,064, 0.36%, 0.00%), (C, 3,005, 0.36%, 0.00%), (AMAT, 1,509, 0.35%, 0.00%), (SCHW, 2,881, 0.35%, 0.00%), (AMGN, 874, 0.33%, 0.00%), (LMT, 618, 0.33%, 0.00%), (EMR, 1,669, 0.31%, 0.00%), (MMM, 1,594, 0.30%, 0.00%), (GILD, 2,017, 0.29%, 0.00%), (DHR, 1,040, 0.27%, 0.00%), (TJX, 1,664, 0.26%, 0.00%), (CVS, 3,243, 0.25%, 0.00%), (MO, 3,241, 0.24%, 0.00%), (LOW, 837, 0.24%, 0.00%), (MDLZ, 2,557, 0.23%, 0.00%), (CMCSA, 5,317, 0.22%, 0.00%), (PFE, 7,071, 0.22%, 0.00%), (ELV, 598, 0.22%, 0.00%), (UPS, 1,637, 0.21%, 0.00%), (INTC, 7,894, 0.20%, 0.00%), (BMY, 3,282, 0.20%, 0.00%), (PYPL, 1,932, 0.19%, 0.00%), (CL, 1,422, 0.16%, 0.00%), (FDX, 503, 0.15%, 0.00%), (USB, 2,479, 0.14%, 0.00%), (TGT, 688, 0.09%, 0.00%), (SC26771B, nan, nan%, 0.00%), (SC26773B, nan, nan%, 0.00%), (SP26772B, nan, nan%, 0.00%), (SP26775B, nan, nan%, 0.00%), (SP26774B, nan, nan%, 0.00%), (XP26775B, nan, nan%, 0.00%)</t>
  </si>
  <si>
    <t>BK, EBAY, MSFT, META, JPM, RJF, BKNG, BLK, GOOGL, MLI, AMAT, UNM</t>
  </si>
  <si>
    <t>(EWBC, 10,217, 1.90%, 0.01%), (V, 2,955, 1.90%, 0.00%), (AXP, 3,334, 1.87%, 0.00%), (EA, 6,592, 1.80%, 0.00%), (PHM, 8,387, 1.76%, 0.00%), (ADP, 3,158, 1.75%, 0.00%), (KLAC, 1,046, 1.74%, 0.00%), (SNA, 2,947, 1.74%, 0.01%), (NVDA, 5,522, 1.74%, 0.00%), (TRV, 3,760, 1.74%, 0.00%), (HIG, 7,914, 1.73%, 0.00%), (PCAR, 9,347, 1.67%, 0.00%), (ROST, 6,585, 1.65%, 0.00%), (CTSH, 11,946, 1.63%, 0.00%), (CRM, 3,386, 1.63%, 0.00%), (SYF, 12,343, 1.62%, 0.00%), (CB, 3,335, 1.60%, 0.00%), (PAYC, 3,616, 1.55%, 0.01%), (LEN, 6,977, 1.47%, 0.00%), (BKR, 17,580, 1.46%, 0.00%), (WSM, 4,179, 1.41%, 0.00%), (ACN, 2,816, 1.41%, 0.00%), (QCOM, 4,768, 1.38%, 0.00%), (DHI, 4,637, 1.22%, 0.00%), (ODFL, 4,050, 1.21%, 0.00%), (AFL, 6,529, 1.20%, 0.00%), (AAPL, 3,078, 1.19%, 0.00%), (ELV, 2,264, 1.16%, 0.00%), (LRCX, 6,089, 1.08%, 0.00%), (CSCO, 8,844, 1.07%, 0.00%), (GE, 2,134, 1.04%, 0.00%), (MPWR, 754, 0.99%, 0.00%), (STT, 4,902, 0.99%, 0.00%), (CF, 5,602, 0.93%, 0.00%), (PNC, 2,625, 0.92%, 0.00%), (MTB, 2,608, 0.91%, 0.00%), (AMP, 955, 0.90%, 0.00%), (CSL, 1,099, 0.84%, 0.00%), (COST, 490, 0.83%, 0.00%), (XOM, 4,103, 0.82%, 0.00%), (EOG, 3,692, 0.80%, 0.00%), (ABT, 3,529, 0.80%, 0.00%), (EG, 1,242, 0.74%, 0.00%), (GEV, 500, 0.58%, 0.00%), (NTRS, 2,275, 0.53%, 0.00%), (CRBG, 7,817, 0.50%, 0.00%), (MA, 475, 0.49%, 0.00%), (JNJ, 1,524, 0.46%, 0.00%), (DOV, 1,330, 0.44%, 0.00%), (ACM, 2,153, 0.44%, 0.00%), (SLM, 7,305, 0.43%, 0.00%), (WTFC, 1,833, 0.43%, 0.00%), (CINF, 1,583, 0.42%, 0.00%), (MCK, 329, 0.42%, 0.00%), (EQH, 4,411, 0.42%, 0.00%), (MTG, 8,940, 0.41%, 0.00%), (JXN, 2,568, 0.41%, 0.00%), (NUE, 1,521, 0.40%, 0.00%), (NKE, 2,773, 0.40%, 0.00%), (ALL, 1,127, 0.39%, 0.00%), (LNC, 6,223, 0.39%, 0.00%), (ADM, 3,789, 0.37%,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</si>
  <si>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3.26%, 0.00%), (META, 1,401, 2.83%, 0.00%), (BRK/B, 1,630, 2.24%, 0.00%), (GOOGL, 3,755, 2.04%, 0.00%), (CSCO, 9,897, 1.90%, 0.00%), (LIN, 1,400, 1.87%, 0.00%), (AMT, 2,841, 1.84%, 0.00%), (JPM, 2,064, 1.75%, 0.00%), (TSLA, 1,875, 1.72%, 0.00%), (GOOG, 3,059, 1.67%, 0.00%), (XOM, 4,996, 1.58%, 0.00%), (V, 1,537, 1.55%, 0.00%), (LLY, 588, 1.36%, 0.00%), (CB, 1,568, 1.19%, 0.00%), (MA, 729, 1.17%, 0.00%), (WM, 1,756, 1.14%, 0.00%), (GE, 1,462, 1.12%, 0.00%), (ORCL, 1,471, 1.02%, 0.00%), (NFLX, 275, 0.92%, 0.00%), (NEE, 4,511, 0.92%, 0.00%), (UNH, 1,094, 0.87%, 0.00%), (JNJ, 1,798, 0.85%, 0.00%), (PLTR, 1,876, 0.84%, 0.00%), (PG, 1,892, 0.84%, 0.00%), (CVX, 1,900, 0.84%, 0.00%), (WMT, 2,993, 0.83%, 0.00%), (COST, 305, 0.81%, 0.00%), (CAT, 652, 0.80%, 0.00%), (RTX, 1,798, 0.80%, 0.00%), (ABT, 2,062, 0.74%, 0.00%), (HD, 676, 0.72%, 0.00%), (ABBV, 1,320, 0.71%, 0.00%), (BAC, 4,894, 0.67%, 0.00%), (AMD, 1,370, 0.67%, 0.00%), (KO, 3,420, 0.67%, 0.00%), (CRM, 875, 0.67%, 0.00%), (BA, 1,010, 0.67%, 0.00%), (BKNG, 41, 0.65%, 0.00%), (NKE, 2,922, 0.65%, 0.00%), (SO, 2,404, 0.65%, 0.00%), (IBM, 846, 0.63%, 0.00%), (PM, 1,372, 0.62%, 0.00%), (ISRG, 424, 0.60%, 0.00%), (ETN, 534, 0.60%, 0.00%), (MCD, 694, 0.58%, 0.00%), (WFC, 2,441, 0.58%, 0.00%), (GS, 279, 0.57%, 0.00%), (INTU, 256, 0.57%, 0.00%), (DUK, 1,695, 0.57%, 0.00%), (HON, 878, 0.56%, 0.00%), (UBER, 2,175, 0.56%, 0.00%), (MET, 2,432, 0.54%, 0.00%), (UNP, 826, 0.53%, 0.00%), (NOW, 188, 0.52%, 0.00%), (DE, 344, 0.50%, 0.00%), (PEP, 1,210, 0.49%, 0.00%), (T, 5,824, 0.46%, 0.00%), (ACN, 572, 0.45%, 0.00%), (MRK, 1,889, 0.45%, 0.00%), (MS, 1,103, 0.45%, 0.00%), (AXP, 495, 0.44%, 0.00%), (SPGI, 282, 0.43%, 0.00%), (QCOM, 938, 0.42%, 0.00%), (ADBE, 403, 0.42%, 0.00%), (TXN, 770, 0.41%, 0.00%), (VZ, 3,417, 0.41%, 0.00%), (BLK, 129, 0.41%, 0.00%), (COP, 1,470, 0.40%, 0.00%), (MDT, 1,525, 0.40%, 0.00%), (DIS, 1,164, 0.40%, 0.00%), (TMO, 286, 0.39%, 0.00%), (SBUX, 1,414, 0.38%, 0.00%), (C, 1,387, 0.38%, 0.00%), (AMAT, 696, 0.37%, 0.00%), (SCHW, 1,329, 0.37%, 0.00%), (AMGN, 401, 0.35%, 0.00%), (LMT, 285, 0.34%, 0.00%), (EMR, 770, 0.33%, 0.00%), (MMM, 736, 0.32%, 0.00%), (GILD, 931, 0.30%, 0.00%), (PFE, 4,232, 0.29%, 0.00%), (DHR, 480, 0.28%, 0.00%), (TJX, 768, 0.28%, 0.00%), (CVS, 1,496, 0.25%, 0.00%), (MO, 1,495, 0.25%, 0.00%), (LOW, 386, 0.25%, 0.00%), (MDLZ, 1,180, 0.23%, 0.00%), (CMCSA, 2,453, 0.23%, 0.00%), (ELV, 276, 0.22%, 0.00%), (UPS, 755, 0.22%, 0.00%), (INTC, 3,642, 0.22%, 0.00%), (BMY, 1,515, 0.20%, 0.00%), (PYPL, 892, 0.20%, 0.00%), (CL, 656, 0.16%, 0.00%), (FDX, 232, 0.16%, 0.00%), (USB, 1,144, 0.15%, 0.00%), (TGT, 318, 0.10%, 0.00%), (SC31761B, nan, nan%, 0.00%), (SC31763B, nan, nan%, 0.00%), (SP31762B, nan, nan%, 0.00%), (SP31765B, nan, nan%, 0.00%), (SP31764B, nan, nan%, 0.00%), (XP31765B, nan, nan%, 0.00%)</t>
  </si>
  <si>
    <t>(AVGO, 2,595, 3.14%, 0.00%), (META, 922, 2.74%, 0.00%), (BRK/B, 1,072, 2.16%, 0.00%), (GOOGL, 2,471, 1.97%, 0.00%), (CSCO, 6,512, 1.83%, 0.00%), (LIN, 921, 1.80%, 0.00%), (AMT, 1,869, 1.77%, 0.00%), (JPM, 1,358, 1.68%, 0.00%), (TSLA, 1,233, 1.66%, 0.00%), (GOOG, 2,012, 1.61%, 0.00%), (XOM, 3,287, 1.52%, 0.00%), (V, 1,011, 1.50%, 0.00%), (LLY, 387, 1.31%, 0.00%), (CB, 1,031, 1.15%, 0.00%), (MA, 480, 1.13%, 0.00%), (WM, 1,155, 1.10%, 0.00%), (GE, 962, 1.08%, 0.00%), (ORCL, 968, 0.98%, 0.00%), (NFLX, 181, 0.90%, 0.00%), (NEE, 2,968, 0.88%, 0.00%), (UNH, 720, 0.84%, 0.00%), (JNJ, 1,183, 0.82%, 0.00%), (PLTR, 1,234, 0.81%, 0.00%), (PG, 1,245, 0.81%, 0.00%), (CVX, 1,250, 0.81%, 0.00%), (WMT, 1,969, 0.80%, 0.00%), (COST, 201, 0.78%, 0.00%), (CAT, 429, 0.78%, 0.00%), (RTX, 1,183, 0.77%, 0.00%), (ABT, 1,357, 0.71%, 0.00%), (HD, 445, 0.70%, 0.00%), (ABBV, 868, 0.68%, 0.00%), (BAC, 3,220, 0.65%, 0.00%), (AMD, 902, 0.65%, 0.00%), (KO, 2,250, 0.64%, 0.00%), (BA, 664, 0.64%, 0.00%), (CRM, 575, 0.64%, 0.00%), (BKNG, 27, 0.63%, 0.00%), (NKE, 1,922, 0.63%, 0.00%), (SO, 1,581, 0.62%, 0.00%), (IBM, 557, 0.61%, 0.00%), (PM, 902, 0.59%, 0.00%), (ISRG, 279, 0.58%, 0.00%), (ETN, 351, 0.57%, 0.00%), (WFC, 1,606, 0.56%, 0.00%), (INTU, 169, 0.56%, 0.00%), (GS, 184, 0.56%, 0.00%), (DUK, 1,115, 0.55%, 0.00%), (HON, 578, 0.54%, 0.00%), (UBER, 1,431, 0.54%, 0.00%), (MET, 1,600, 0.52%, 0.00%), (NOW, 124, 0.51%, 0.00%), (UNP, 512, 0.49%, 0.00%), (DE, 226, 0.48%, 0.00%), (MCD, 388, 0.48%, 0.00%), (PEP, 796, 0.47%, 0.00%), (T, 3,832, 0.44%, 0.00%), (ACN, 376, 0.43%, 0.00%), (MRK, 1,243, 0.43%, 0.00%), (MS, 726, 0.43%, 0.00%), (AXP, 326, 0.42%, 0.00%), (SPGI, 186, 0.41%, 0.00%), (QCOM, 617, 0.41%, 0.00%), (ADBE, 265, 0.41%, 0.00%), (TXN, 507, 0.40%, 0.00%), (VZ, 2,248, 0.40%, 0.00%), (BLK, 85, 0.40%, 0.00%), (COP, 967, 0.39%, 0.00%), (MDT, 1,003, 0.39%, 0.00%), (DIS, 766, 0.38%, 0.00%), (TMO, 188, 0.37%, 0.00%), (SBUX, 930, 0.36%, 0.00%), (C, 912, 0.36%, 0.00%), (AMAT, 458, 0.36%, 0.00%), (SCHW, 875, 0.36%, 0.00%), (AMGN, 264, 0.33%, 0.00%), (LMT, 187, 0.33%, 0.00%), (EMR, 507, 0.32%, 0.00%), (MMM, 484, 0.31%, 0.00%), (GILD, 612, 0.29%, 0.00%), (PFE, 2,784, 0.28%, 0.00%), (DHR, 316, 0.27%, 0.00%), (TJX, 505, 0.27%, 0.00%), (CVS, 984, 0.24%, 0.00%), (MO, 984, 0.24%, 0.00%), (LOW, 254, 0.24%, 0.00%), (MDLZ, 776, 0.23%, 0.00%), (CMCSA, 1,614, 0.22%, 0.00%), (ELV, 181, 0.21%, 0.00%), (UPS, 497, 0.21%, 0.00%), (INTC, 2,396, 0.21%, 0.00%), (BMY, 996, 0.20%, 0.00%), (PYPL, 587, 0.19%, 0.00%), (CL, 432, 0.16%, 0.00%), (FDX, 153, 0.15%, 0.00%), (USB, 752, 0.14%, 0.00%), (TGT, 209, 0.09%, 0.00%), (SC9061B, nan, nan%, 0.00%), (SC9063B, nan, nan%, 0.00%), (SP9062B, nan, nan%, 0.00%), (SP9065B, nan, nan%, 0.00%), (SP9064B, nan, nan%, 0.00%), (XP9065B, nan, nan%, 0.00%)</t>
  </si>
  <si>
    <t>(MSFT, 17035.0, 8,726,215.40), (MSFT, 17035.0, 8,723,015.40), (MSFT, 17035.0, 8,721,415.40), (MSFT, 17035.0, 8,720,615.40), (MSFT, 17035.0, 8,720,615.40), (MSFT, 17035.0, 8,713,415.40), (MSFT, 17035.0, 8,703,815.40), (MSFT, 17035.0, 8,694,215.40), (AAPL, 34635.0, 7,423,534.10), (AAPL, 34635.0, 7,419,246.10), (AAPL, 34635.0, 7,417,102.10), (AAPL, 34635.0, 7,416,030.10), (AAPL, 34635.0, 7,415,494.10), (AAPL, 34635.0, 7,405,846.10), (AAPL, 34635.0, 7,392,446.10), (AAPL, 34635.0, 7,380,118.10), (MSFT, 12688.0, 6,498,638.72), (MSFT, 12688.0, 6,495,438.72), (MSFT, 12688.0, 6,493,838.72), (MSFT, 12688.0, 6,493,038.72), (MSFT, 12688.0, 6,493,038.72), (MSFT, 12688.0, 6,485,838.72), (MSFT, 12688.0, 6,476,238.72), (MSFT, 12688.0, 6,466,638.72), (AMZN, 24017.0, 5,612,811.79), (AMZN, 24017.0, 5,609,441.79), (AMZN, 24017.0, 5,607,419.79), (AMZN, 24017.0, 5,606,745.79), (AMZN, 24017.0, 5,606,071.79), (AMZN, 24017.0, 5,597,309.79), (AMZN, 24017.0, 5,585,851.79), (AMZN, 24017.0, 5,575,067.79), (AAPL, 25796.0, 5,527,922.16), (AAPL, 25796.0, 5,523,634.16), (AAPL, 25796.0, 5,521,490.16), (AAPL, 25796.0, 5,520,418.16), (AAPL, 25796.0, 5,519,882.16), (AAPL, 25796.0, 5,510,234.16), (AAPL, 25796.0, 5,496,834.16), (AAPL, 25796.0, 5,484,506.16), (MSFT, 9771.0, 5,003,851.24), (MSFT, 9771.0, 5,000,651.24), (MSFT, 9771.0, 4,999,051.24), (MSFT, 9771.0, 4,998,251.24), (MSFT, 9771.0, 4,998,251.24), (MSFT, 9771.0, 4,991,051.24), (MSFT, 9771.0, 4,981,451.24), (MSFT, 9771.0, 4,971,851.24), (AVGO, 14865.0, 4,333,051.30), (AVGO, 14865.0, 4,331,641.30), (AVGO, 14865.0, 4,330,701.30), (AVGO, 14865.0, 4,330,701.30), (AVGO, 14865.0, 4,330,231.30), (AVGO, 14865.0, 4,326,471.30), (AVGO, 14865.0, 4,321,771.30), (AVGO, 14865.0, 4,317,071.30), (AAPL, 19866.0, 4,256,174.36), (AAPL, 19866.0, 4,251,886.36), (AAPL, 19866.0, 4,249,742.36), (AAPL, 19866.0, 4,248,670.36), (AAPL, 19866.0, 4,248,134.36), (AAPL, 19866.0, 4,238,486.36), (AAPL, 19866.0, 4,225,086.36), (AAPL, 19866.0, 4,212,758.36), (AMZN, 17887.0, 4,179,188.69), (AMZN, 17887.0, 4,175,818.69), (AMZN, 17887.0, 4,173,796.69), (AMZN, 17887.0, 4,173,122.69), (AMZN, 17887.0, 4,172,448.69), (AMZN, 17887.0, 4,163,686.69), (AMZN, 17887.0, 4,152,228.69), (AMZN, 17887.0, 4,141,444.69), (META, 5281.0, 3,791,464.78), (META, 5281.0, 3,789,164.78), (META, 5281.0, 3,786,864.78), (META, 5281.0, 3,786,864.78), (META, 5281.0, 3,784,564.78), (META, 5281.0, 3,779,964.78), (META, 5281.0, 3,770,764.78), (META, 5281.0, 3,761,564.78), (AVGO, 11072.0, 3,226,936.64), (AVGO, 11072.0, 3,225,526.64), (AVGO, 11072.0, 3,224,586.64), (AVGO, 11072.0, 3,224,586.64), (AVGO, 11072.0, 3,224,116.64), (AVGO, 11072.0, 3,220,356.64), (AMZN, 13776.0, 3,217,749.12), (AVGO, 11072.0, 3,215,656.64), (AMZN, 13776.0, 3,214,379.12), (AMZN, 13776.0, 3,212,357.12), (AMZN, 13776.0, 3,211,683.12), (AMZN, 13776.0, 3,211,009.12), (AVGO, 11072.0, 3,210,956.64), (AMZN, 13776.0, 3,202,247.12), (AMZN, 13776.0, 3,190,789.12), (AMZN, 13776.0, 3,180,005.12), (BRK/B, 6143.0, 2,978,054.98), (BRK/B, 6143.0, 2,977,174.98), (BRK/B, 6143.0, 2,976,734.98), (BRK/B, 6143.0, 2,976,734.98), (BRK/B, 6143.0, 2,976,734.98), (BRK/B, 6143.0, 2,975,414.98), (BRK/B, 6143.0, 2,973,214.98), (BRK/B, 6143.0, 2,971,454.98), (META, 3933.0, 2,823,088.54), (META, 3933.0, 2,820,788.54), (META, 3933.0, 2,818,488.54), (META, 3933.0, 2,818,488.54), (META, 3933.0, 2,816,188.54), (META, 3933.0, 2,811,588.54), (META, 3933.0, 2,802,388.54), (META, 3933.0, 2,793,188.54), (GOOGL, 14153.0, 2,711,927.98), (GOOGL, 14153.0, 2,711,079.98), (GOOGL, 14153.0, 2,710,867.98), (GOOGL, 14153.0, 2,710,655.98), (GOOGL, 14153.0, 2,710,443.98), (GOOGL, 14153.0, 2,708,959.98), (GOOGL, 14153.0, 2,706,839.98), (GOOGL, 14153.0, 2,704,931.98), (MSFT, 5191.0, 2,656,876.04), (MSFT, 5191.0, 2,653,676.04), (MSFT, 5191.0, 2,652,076.04), (MSFT, 5191.0, 2,651,276.04), (MSFT, 5191.0, 2,651,276.04), (MSFT, 5191.0, 2,644,076.04), (MSFT, 5191.0, 2,634,476.04), (MSFT, 5191.0, 2,624,876.04), (CSCO, 37303.0, 2,518,608.56), (CSCO, 37303.0, 2,518,528.56), (CSCO, 37303.0, 2,518,478.56), (CSCO, 37303.0, 2,518,458.56), (CSCO, 37303.0, 2,518,448.56), (CSCO, 37303.0, 2,518,258.56), (CSCO, 37303.0, 2,517,988.56), (CSCO, 37303.0, 2,517,738.56), (AVGO, 8527.0, 2,484,763.74), (AVGO, 8527.0, 2,483,353.74), (AVGO, 8527.0, 2,482,413.74), (AVGO, 8527.0, 2,482,413.74), (AVGO, 8527.0, 2,481,943.74), (AVGO, 8527.0, 2,478,183.74), (LIN, 5278.0, 2,477,176.52), (AVGO, 8527.0, 2,473,483.74), (AVGO, 8527.0, 2,468,783.74), (MSFT, 4778.0, 2,445,238.32), (MSFT, 4778.0, 2,442,038.32), (MSFT, 4778.0, 2,440,438.32), (MSFT, 4778.0, 2,439,638.32), (MSFT, 4778.0, 2,439,638.32), (AMT, 10707.0, 2,436,270.78), (MSFT, 4778.0, 2,432,438.32), (MSFT, 4778.0, 2,422,838.32), (MSFT, 4778.0, 2,413,238.32), (JPM, 7779.0, 2,321,391.50), (JPM, 7779.0, 2,320,751.50), (JPM, 7779.0, 2,320,431.50), (JPM, 7779.0, 2,320,431.50), (JPM, 7779.0, 2,320,431.50), (JPM, 7779.0, 2,319,151.50), (JPM, 7779.0, 2,317,231.50), (JPM, 7779.0, 2,315,631.50), (MSFT, 4520.0, 2,313,028.80), (MSFT, 4520.0, 2,309,828.80), (MSFT, 4520.0, 2,308,228.80), (TSLA, 7066.0, 2,307,725.30), (MSFT, 4520.0, 2,307,428.80), (MSFT, 4520.0, 2,307,428.80), (TSLA, 7066.0, 2,306,120.30), (TSLA, 7066.0, 2,304,515.30), (TSLA, 7066.0, 2,302,910.30), (TSLA, 7066.0, 2,302,910.30), (MSFT, 4520.0, 2,300,228.80), (TSLA, 7066.0, 2,298,095.30), (MSFT, 4520.0, 2,290,628.80), (TSLA, 7066.0, 2,290,070.30), (TSLA, 7066.0, 2,282,045.30), (MSFT, 4520.0, 2,281,028.80), (AAPL, 10555.0, 2,259,337.30), (AAPL, 10555.0, 2,255,049.30), (AAPL, 10555.0, 2,252,905.30), (AAPL, 10555.0, 2,251,833.30), (AAPL, 10555.0, 2,251,297.30), (AAPL, 10555.0, 2,241,649.30), (AAPL, 10555.0, 2,228,249.30), (GOOG, 11528.0, 2,219,733.52), (GOOG, 11528.0, 2,219,437.52), (GOOG, 11528.0, 2,219,141.52), (GOOG, 11528.0, 2,219,141.52), (GOOG, 11528.0, 2,218,993.52), (BRK/B, 4576.0, 2,218,279.36), (GOOG, 11528.0, 2,218,105.52), (BRK/B, 4576.0, 2,217,399.36), (BRK/B, 4576.0, 2,216,959.36), (BRK/B, 4576.0, 2,216,959.36), (BRK/B, 4576.0, 2,216,959.36), (GOOG, 11528.0, 2,216,921.52), (AAPL, 10555.0, 2,215,921.30), (GOOG, 11528.0, 2,215,737.52), (BRK/B, 4576.0, 2,215,639.36), (BRK/B, 4576.0, 2,213,439.36), (BRK/B, 4576.0, 2,211,679.36), (META, 3029.0, 2,173,673.02), (META, 3029.0, 2,171,373.02), (META, 3029.0, 2,169,073.02), (META, 3029.0, 2,169,073.02), (META, 3029.0, 2,166,773.02), (META, 3029.0, 2,162,173.02), (META, 3029.0, 2,152,973.02), (META, 3029.0, 2,143,773.02), (XOM, 18830.0, 2,103,049.20), (XOM, 18830.0, 2,102,237.20), (XOM, 18830.0, 2,101,831.20), (XOM, 18830.0, 2,101,628.20), (XOM, 18830.0, 2,101,425.20), (XOM, 18830.0, 2,099,598.20), (XOM, 18830.0, 2,096,756.20), (XOM, 18830.0, 2,094,320.20), (AAPL, 9714.0, 2,078,976.44), (AAPL, 9714.0, 2,074,688.44), (AAPL, 9714.0, 2,072,544.44), (AAPL, 9714.0, 2,071,472.44), (AAPL, 9714.0, 2,070,936.44), (V, 5792.0, 2,067,191.00), (V, 5792.0, 2,066,085.00), (V, 5792.0, 2,066,085.00), (V, 5792.0, 2,065,532.00), (V, 5792.0, 2,065,532.00), (V, 5792.0, 2,063,873.00), (V, 5792.0, 2,061,661.00), (AAPL, 9714.0, 2,061,288.44), (V, 5792.0, 2,059,449.00), (AAPL, 9714.0, 2,047,888.44), (AAPL, 9714.0, 2,035,560.44), (GOOGL, 10541.0, 2,019,652.06), (GOOGL, 10541.0, 2,018,804.06), (GOOGL, 10541.0, 2,018,592.06), (GOOGL, 10541.0, 2,018,380.06), (GOOGL, 10541.0, 2,018,168.06), (GOOGL, 10541.0, 2,016,684.06), (GOOGL, 10541.0, 2,014,564.06), (GOOGL, 10541.0, 2,012,656.06), (AAPL, 9189.0, 1,966,384.94), (AAPL, 9189.0, 1,962,096.94), (AAPL, 9189.0, 1,959,952.94), (AAPL, 9189.0, 1,958,880.94), (AAPL, 9189.0, 1,958,344.94), (AAPL, 9189.0, 1,948,696.94), (AAPL, 9189.0, 1,935,296.94), (AAPL, 9189.0, 1,922,968.94), (CSCO, 27783.0, 1,875,818.16), (CSCO, 27783.0, 1,875,738.16), (CSCO, 27783.0, 1,875,688.16), (CSCO, 27783.0, 1,875,668.16), (CSCO, 27783.0, 1,875,658.16), (CSCO, 27783.0, 1,875,468.16), (CSCO, 27783.0, 1,875,198.16), (CSCO, 27783.0, 1,874,948.16), (LIN, 3931.0, 1,844,975.54), (AMT, 7974.0, 1,814,403.96), (LLY, 2218.0, 1,806,088.46), (LLY, 2218.0, 1,806,088.46), (LLY, 2218.0, 1,806,088.46), (LLY, 2218.0, 1,806,088.46), (LLY, 2218.0, 1,806,088.46), (LLY, 2218.0, 1,803,058.46), (LLY, 2218.0, 1,801,543.46), (LLY, 2218.0, 1,798,513.46), (JPM, 5794.0, 1,728,869.00), (JPM, 5794.0, 1,728,229.00), (JPM, 5794.0, 1,727,909.00), (JPM, 5794.0, 1,727,909.00), (JPM, 5794.0, 1,727,909.00), (JPM, 5794.0, 1,726,629.00), (JPM, 5794.0, 1,724,709.00), (JPM, 5794.0, 1,723,109.00), (TSLA, 5263.0, 1,718,054.15), (TSLA, 5263.0, 1,716,449.15), (TSLA, 5263.0, 1,714,844.15), (TSLA, 5263.0, 1,713,239.15), (TSLA, 5263.0, 1,713,239.15), (TSLA, 5263.0, 1,708,424.15), (BRK/B, 3524.0, 1,708,206.64), (AMZN, 7319.0, 1,707,650.53), (BRK/B, 3524.0, 1,707,326.64), (BRK/B, 3524.0, 1,706,886.64), (BRK/B, 3524.0, 1,706,886.64), (BRK/B, 3524.0, 1,706,886.64), (BRK/B, 3524.0, 1,705,566.64), (AMZN, 7319.0, 1,704,280.53), (BRK/B, 3524.0, 1,703,366.64), (AMZN, 7319.0, 1,702,258.53), (BRK/B, 3524.0, 1,701,606.64), (AMZN, 7319.0, 1,701,584.53), (AMZN, 7319.0, 1,700,910.53), (TSLA, 5263.0, 1,700,399.15), (TSLA, 5263.0, 1,692,374.15), (AMZN, 7319.0, 1,692,148.53), (AMZN, 7319.0, 1,680,690.53), (AMZN, 7319.0, 1,669,906.53), (GOOG, 8586.0, 1,653,133.74), (GOOG, 8586.0, 1,652,837.74), (GOOG, 8586.0, 1,652,541.74), (GOOG, 8586.0, 1,652,541.74), (GOOG, 8586.0, 1,652,393.74), (GOOG, 8586.0, 1,651,505.74), (GOOG, 8586.0, 1,650,321.74), (GOOG, 8586.0, 1,649,137.74), (CB, 5909.0, 1,575,930.30), (AMZN, 6736.0, 1,571,304.32), (AMZN, 6736.0, 1,567,934.32), (XOM, 14025.0, 1,566,138.50), (AMZN, 6736.0, 1,565,912.32), (XOM, 14025.0, 1,565,326.50), (AMZN, 6736.0, 1,565,238.32), (XOM, 14025.0, 1,564,920.50), (XOM, 14025.0, 1,564,717.50), (AMZN, 6736.0, 1,564,564.32), (XOM, 14025.0, 1,564,514.50), (XOM, 14025.0, 1,562,687.50), (MA, 2747.0, 1,561,505.95), (MA, 2747.0, 1,561,505.95), (MA, 2747.0, 1,560,380.95), (MA, 2747.0, 1,560,380.95), (MA, 2747.0, 1,560,380.95), (XOM, 14025.0, 1,559,845.50), (MA, 2747.0, 1,559,255.95), (XOM, 14025.0, 1,557,409.50), (MA, 2747.0, 1,557,005.95), (AMZN, 6736.0, 1,555,802.32), (GOOGL, 8118.0, 1,555,259.88), (MA, 2747.0, 1,554,755.95), (GOOGL, 8118.0, 1,554,411.88), (GOOGL, 8118.0, 1,554,199.88), (GOOGL, 8118.0, 1,553,987.88), (GOOGL, 8118.0, 1,553,775.88), (GOOGL, 8118.0, 1,552,291.88), (GOOGL, 8118.0, 1,550,171.88), (GOOGL, 8118.0, 1,548,263.88), (AMZN, 6736.0, 1,544,344.32), (V, 4314.0, 1,539,545.00), (V, 4314.0, 1,538,439.00), (V, 4314.0, 1,538,439.00), (V, 4314.0, 1,537,886.00), (V, 4314.0, 1,537,886.00), (V, 4314.0, 1,536,227.00), (V, 4314.0, 1,534,015.00), (AMZN, 6736.0, 1,533,560.32), (V, 4314.0, 1,531,803.00), (MSFT, 2974.0, 1,520,796.56), (MSFT, 2974.0, 1,517,596.56), (MSFT, 2974.0, 1,515,996.56), (MSFT, 2974.0, 1,515,196.56), (MSFT, 2974.0, 1,515,196.56), (WM, 6619.0, 1,513,037.21), (MSFT, 2974.0, 1,507,996.56), (MSFT, 2974.0, 1,498,396.56), (MSFT, 2974.0, 1,488,796.56), (GE, 5510.0, 1,487,768.50), (GE, 5510.0, 1,487,354.50), (GE, 5510.0, 1,487,354.50), (GE, 5510.0, 1,487,147.50), (GE, 5510.0, 1,487,147.50), (GE, 5510.0, 1,486,526.50), (AMZN, 6372.0, 1,486,175.64), (GE, 5510.0, 1,485,905.50), (GE, 5510.0, 1,485,077.50), (AMZN, 6372.0, 1,482,805.64), (AMZN, 6372.0, 1,480,783.64), (AMZN, 6372.0, 1,480,109.64), (AMZN, 6372.0, 1,479,435.64), (AMZN, 6372.0, 1,470,673.64), (AMZN, 6372.0, 1,459,215.64), (AMZN, 6372.0, 1,448,431.64), (CSCO, 21397.0, 1,444,635.44), (CSCO, 21397.0, 1,444,555.44), (CSCO, 21397.0, 1,444,505.44), (CSCO, 21397.0, 1,444,485.44), (CSCO, 21397.0, 1,444,475.44), (CSCO, 21397.0, 1,444,285.44), (CSCO, 21397.0, 1,444,015.44), (CSCO, 21397.0, 1,443,765.44), (LIN, 3027.0, 1,420,692.18), (AMT, 6141.0, 1,397,323.14), (ORCL, 5543.0, 1,356,757.69), (ORCL, 5543.0, 1,356,087.69), (ORCL, 5543.0, 1,356,087.69), (ORCL, 5543.0, 1,355,752.69), (ORCL, 5543.0, 1,355,752.69), (ORCL, 5543.0, 1,354,747.69), (ORCL, 5543.0, 1,353,407.69), (ORCL, 5543.0, 1,352,402.69), (LLY, 1652.0, 1,344,815.44), (LLY, 1652.0, 1,344,815.44), (LLY, 1652.0, 1,344,815.44), (LLY, 1652.0, 1,344,815.44), (LLY, 1652.0, 1,344,815.44), (LLY, 1652.0, 1,341,785.44), (LLY, 1652.0, 1,340,270.44), (LLY, 1652.0, 1,337,240.44), (JPM, 4462.0, 1,331,267.00), (JPM, 4462.0, 1,330,627.00), (JPM, 4462.0, 1,330,307.00), (JPM, 4462.0, 1,330,307.00), (JPM, 4462.0, 1,330,307.00), (JPM, 4462.0, 1,329,027.00), (JPM, 4462.0, 1,327,107.00), (JPM, 4462.0, 1,325,507.00), (TSLA, 4053.0, 1,322,323.65), (TSLA, 4053.0, 1,320,718.65), (AVGO, 4530.0, 1,319,158.60), (TSLA, 4053.0, 1,319,113.65), (AVGO, 4530.0, 1,317,748.60), (TSLA, 4053.0, 1,317,508.65), (TSLA, 4053.0, 1,317,508.65), (AVGO, 4530.0, 1,316,808.60), (AVGO, 4530.0, 1,316,808.60), (AVGO, 4530.0, 1,316,338.60), (TSLA, 4053.0, 1,312,693.65), (AVGO, 4530.0, 1,312,578.60), (AVGO, 4530.0, 1,307,878.60), (TSLA, 4053.0, 1,304,668.65), (AVGO, 4530.0, 1,303,178.60), (TSLA, 4053.0, 1,296,643.65), (AAPL, 6046.0, 1,292,337.16), (AAPL, 6046.0, 1,288,049.16), (AAPL, 6046.0, 1,285,905.16), (AAPL, 6046.0, 1,284,833.16), (AAPL, 6046.0, 1,284,297.16), (AAPL, 6046.0, 1,274,649.16), (GOOG, 6613.0, 1,273,153.67), (GOOG, 6613.0, 1,272,857.67), (GOOG, 6613.0, 1,272,561.67), (GOOG, 6613.0, 1,272,561.67), (GOOG, 6613.0, 1,272,413.67), (GOOG, 6613.0, 1,271,525.67), (GOOG, 6613.0, 1,270,341.67), (GOOG, 6613.0, 1,269,157.67), (AAPL, 6046.0, 1,261,249.16), (AAPL, 6046.0, 1,248,921.16)</t>
  </si>
  <si>
    <t>(MSFT, 17,035, 35.55%, 0.00%), (MSFT, 17,035, 35.53%, 0.00%), (MSFT, 17,035, 35.53%, 0.00%), (MSFT, 17,035, 35.52%, 0.00%), (MSFT, 17,035, 35.52%, 0.00%), (MSFT, 17,035, 35.50%, 0.00%), (MSFT, 17,035, 35.46%, 0.00%), (MSFT, 17,035, 35.42%, 0.00%), (AAPL, 34,635, 30.24%, 0.00%), (AAPL, 34,635, 30.22%, 0.00%), (AAPL, 34,635, 30.21%, 0.00%), (AAPL, 34,635, 30.21%, 0.00%), (AAPL, 34,635, 30.21%, 0.00%), (AAPL, 34,635, 30.17%, 0.00%), (AAPL, 34,635, 30.11%, 0.00%), (AAPL, 34,635, 30.06%, 0.00%), (MSFT, 12,688, 26.47%, 0.00%), (MSFT, 12,688, 26.46%, 0.00%), (MSFT, 12,688, 26.45%, 0.00%), (MSFT, 12,688, 26.45%, 0.00%), (MSFT, 12,688, 26.45%, 0.00%), (MSFT, 12,688, 26.42%, 0.00%), (MSFT, 12,688, 26.38%, 0.00%), (MSFT, 12,688, 26.34%, 0.00%), (AMZN, 24,017, 22.86%, 0.00%), (AMZN, 24,017, 22.85%, 0.00%), (AMZN, 24,017, 22.84%, 0.00%), (AMZN, 24,017, 22.84%, 0.00%), (AMZN, 24,017, 22.84%, 0.00%), (AMZN, 24,017, 22.80%, 0.00%), (AMZN, 24,017, 22.75%, 0.00%), (AMZN, 24,017, 22.71%, 0.00%), (AAPL, 25,796, 22.52%, 0.00%), (AAPL, 25,796, 22.50%, 0.00%), (AAPL, 25,796, 22.49%, 0.00%), (AAPL, 25,796, 22.49%, 0.00%), (AAPL, 25,796, 22.49%, 0.00%), (AAPL, 25,796, 22.45%, 0.00%), (AAPL, 25,796, 22.39%, 0.00%), (AAPL, 25,796, 22.34%, 0.00%), (MSFT, 9,771, 20.38%, 0.00%), (MSFT, 9,771, 20.37%, 0.00%), (MSFT, 9,771, 20.36%, 0.00%), (MSFT, 9,771, 20.36%, 0.00%), (MSFT, 9,771, 20.36%, 0.00%), (MSFT, 9,771, 20.33%, 0.00%), (MSFT, 9,771, 20.29%, 0.00%), (MSFT, 9,771, 20.25%, 0.00%), (AVGO, 14,865, 17.65%, 0.00%), (AVGO, 14,865, 17.65%, 0.00%), (AVGO, 14,865, 17.64%, 0.00%), (AVGO, 14,865, 17.64%, 0.00%), (AVGO, 14,865, 17.64%, 0.00%), (AVGO, 14,865, 17.62%, 0.00%), (AVGO, 14,865, 17.61%, 0.00%), (AVGO, 14,865, 17.59%, 0.00%), (AAPL, 19,866, 17.34%, 0.00%), (AAPL, 19,866, 17.32%, 0.00%), (AAPL, 19,866, 17.31%, 0.00%), (AAPL, 19,866, 17.31%, 0.00%), (AAPL, 19,866, 17.31%, 0.00%), (AAPL, 19,866, 17.27%, 0.00%), (AAPL, 19,866, 17.21%, 0.00%), (AAPL, 19,866, 17.16%, 0.00%), (AMZN, 17,887, 17.02%, 0.00%), (AMZN, 17,887, 17.01%, 0.00%), (AMZN, 17,887, 17.00%, 0.00%), (AMZN, 17,887, 17.00%, 0.00%), (AMZN, 17,887, 17.00%, 0.00%), (AMZN, 17,887, 16.96%, 0.00%), (AMZN, 17,887, 16.91%, 0.00%), (AMZN, 17,887, 16.87%, 0.00%), (META, 5,281, 15.45%, 0.00%), (META, 5,281, 15.44%, 0.00%), (META, 5,281, 15.43%, 0.00%), (META, 5,281, 15.43%, 0.00%), (META, 5,281, 15.42%, 0.00%), (META, 5,281, 15.40%, 0.00%), (META, 5,281, 15.36%, 0.00%), (META, 5,281, 15.32%, 0.00%), (AVGO, 11,072, 13.15%, 0.00%), (AVGO, 11,072, 13.14%, 0.00%), (AVGO, 11,072, 13.14%, 0.00%), (AVGO, 11,072, 13.14%, 0.00%), (AVGO, 11,072, 13.13%, 0.00%), (AVGO, 11,072, 13.12%, 0.00%), (AMZN, 13,776, 13.11%, 0.00%), (AVGO, 11,072, 13.10%, 0.00%), (AMZN, 13,776, 13.09%, 0.00%), (AMZN, 13,776, 13.09%, 0.00%), (AMZN, 13,776, 13.08%, 0.00%), (AMZN, 13,776, 13.08%, 0.00%), (AVGO, 11,072, 13.08%, 0.00%), (AMZN, 13,776, 13.04%, 0.00%), (AMZN, 13,776, 13.00%, 0.00%), (AMZN, 13,776, 12.95%, 0.00%), (BRK/B, 6,143, 12.13%, 0.00%), (BRK/B, 6,143, 12.13%, 0.00%), (BRK/B, 6,143, 12.13%, 0.00%), (BRK/B, 6,143, 12.13%, 0.00%), (BRK/B, 6,143, 12.13%, 0.00%), (BRK/B, 6,143, 12.12%, 0.00%), (BRK/B, 6,143, 12.11%, 0.00%), (BRK/B, 6,143, 12.10%, 0.00%), (META, 3,933, 11.50%, 0.00%), (META, 3,933, 11.49%, 0.00%), (META, 3,933, 11.48%, 0.00%), (META, 3,933, 11.48%, 0.00%), (META, 3,933, 11.47%, 0.00%), (META, 3,933, 11.45%, 0.00%), (META, 3,933, 11.42%, 0.00%), (META, 3,933, 11.38%, 0.00%), (GOOGL, 14,153, 11.05%, 0.00%), (GOOGL, 14,153, 11.04%, 0.00%), (GOOGL, 14,153, 11.04%, 0.00%), (GOOGL, 14,153, 11.04%, 0.00%), (GOOGL, 14,153, 11.04%, 0.00%), (GOOGL, 14,153, 11.04%, 0.00%), (GOOGL, 14,153, 11.03%, 0.00%), (GOOGL, 14,153, 11.02%, 0.00%), (MSFT, 5,191, 10.82%, 0.00%), (MSFT, 5,191, 10.81%, 0.00%), (MSFT, 5,191, 10.80%, 0.00%), (MSFT, 5,191, 10.80%, 0.00%), (MSFT, 5,191, 10.80%, 0.00%), (MSFT, 5,191, 10.77%, 0.00%), (MSFT, 5,191, 10.73%, 0.00%), (MSFT, 5,191, 10.69%, 0.00%), (CSCO, 37,303, 10.26%, 0.00%), (CSCO, 37,303, 10.26%, 0.00%), (CSCO, 37,303, 10.26%, 0.00%), (CSCO, 37,303, 10.26%, 0.00%), (CSCO, 37,303, 10.26%, 0.00%), (CSCO, 37,303, 10.26%, 0.00%), (CSCO, 37,303, 10.26%, 0.00%), (CSCO, 37,303, 10.26%, 0.00%), (AVGO, 8,527, 10.12%, 0.00%), (AVGO, 8,527, 10.12%, 0.00%), (AVGO, 8,527, 10.11%, 0.00%), (AVGO, 8,527, 10.11%, 0.00%), (AVGO, 8,527, 10.11%, 0.00%), (AVGO, 8,527, 10.10%, 0.00%), (LIN, 5,278, 10.09%, 0.00%), (AVGO, 8,527, 10.08%, 0.00%), (AVGO, 8,527, 10.06%, 0.00%), (MSFT, 4,778, 9.96%, 0.00%), (MSFT, 4,778, 9.95%, 0.00%), (MSFT, 4,778, 9.94%, 0.00%), (MSFT, 4,778, 9.94%, 0.00%), (MSFT, 4,778, 9.94%, 0.00%), (AMT, 10,707, 9.92%, 0.00%), (MSFT, 4,778, 9.91%, 0.00%), (MSFT, 4,778, 9.87%, 0.00%), (MSFT, 4,778, 9.83%, 0.00%), (JPM, 7,779, 9.46%, 0.00%), (JPM, 7,779, 9.45%, 0.00%), (JPM, 7,779, 9.45%, 0.00%), (JPM, 7,779, 9.45%, 0.00%), (JPM, 7,779, 9.45%, 0.00%), (JPM, 7,779, 9.45%, 0.00%), (JPM, 7,779, 9.44%, 0.00%), (JPM, 7,779, 9.43%, 0.00%), (MSFT, 4,520, 9.42%, 0.00%), (MSFT, 4,520, 9.41%, 0.00%), (MSFT, 4,520, 9.40%, 0.00%), (TSLA, 7,066, 9.40%, 0.00%), (MSFT, 4,520, 9.40%, 0.00%), (MSFT, 4,520, 9.40%, 0.00%), (TSLA, 7,066, 9.39%, 0.00%), (TSLA, 7,066, 9.39%, 0.00%), (TSLA, 7,066, 9.38%, 0.00%), (TSLA, 7,066, 9.38%, 0.00%), (MSFT, 4,520, 9.37%, 0.00%), (TSLA, 7,066, 9.36%, 0.00%), (MSFT, 4,520, 9.33%, 0.00%), (TSLA, 7,066, 9.33%, 0.00%), (TSLA, 7,066, 9.30%, 0.00%), (MSFT, 4,520, 9.29%, 0.00%), (AAPL, 10,555, 9.20%, 0.00%), (AAPL, 10,555, 9.19%, 0.00%), (AAPL, 10,555, 9.18%, 0.00%), (AAPL, 10,555, 9.17%, 0.00%), (AAPL, 10,555, 9.17%, 0.00%), (AAPL, 10,555, 9.13%, 0.00%), (AAPL, 10,555, 9.08%, 0.00%), (GOOG, 11,528, 9.04%, 0.00%), (GOOG, 11,528, 9.04%, 0.00%), (GOOG, 11,528, 9.04%, 0.00%), (GOOG, 11,528, 9.04%, 0.00%), (GOOG, 11,528, 9.04%, 0.00%), (BRK/B, 4,576, 9.04%, 0.00%), (GOOG, 11,528, 9.04%, 0.00%), (BRK/B, 4,576, 9.03%, 0.00%), (BRK/B, 4,576, 9.03%, 0.00%), (BRK/B, 4,576, 9.03%, 0.00%), (BRK/B, 4,576, 9.03%, 0.00%), (GOOG, 11,528, 9.03%, 0.00%), (AAPL, 10,555, 9.03%, 0.00%), (GOOG, 11,528, 9.03%, 0.00%), (BRK/B, 4,576, 9.03%, 0.00%), (BRK/B, 4,576, 9.02%, 0.00%), (BRK/B, 4,576, 9.01%, 0.00%), (META, 3,029, 8.85%, 0.00%), (META, 3,029, 8.85%, 0.00%), (META, 3,029, 8.84%, 0.00%), (META, 3,029, 8.84%, 0.00%), (META, 3,029, 8.83%, 0.00%), (META, 3,029, 8.81%, 0.00%), (META, 3,029, 8.77%, 0.00%), (META, 3,029, 8.73%, 0.00%), (XOM, 18,830, 8.57%, 0.00%), (XOM, 18,830, 8.56%, 0.00%), (XOM, 18,830, 8.56%, 0.00%), (XOM, 18,830, 8.56%, 0.00%), (XOM, 18,830, 8.56%, 0.00%), (XOM, 18,830, 8.55%, 0.00%), (XOM, 18,830, 8.54%, 0.00%), (XOM, 18,830, 8.53%, 0.00%), (AAPL, 9,714, 8.47%, 0.00%), (AAPL, 9,714, 8.45%, 0.00%), (AAPL, 9,714, 8.44%, 0.00%), (AAPL, 9,714, 8.44%, 0.00%), (AAPL, 9,714, 8.44%, 0.00%), (V, 5,792, 8.42%, 0.00%), (V, 5,792, 8.42%, 0.00%), (V, 5,792, 8.42%, 0.00%), (V, 5,792, 8.41%, 0.00%), (V, 5,792, 8.41%, 0.00%), (V, 5,792, 8.41%, 0.00%), (V, 5,792, 8.40%, 0.00%), (AAPL, 9,714, 8.40%, 0.00%), (V, 5,792, 8.39%, 0.00%), (AAPL, 9,714, 8.34%, 0.00%), (AAPL, 9,714, 8.29%, 0.00%), (GOOGL, 10,541, 8.23%, 0.00%), (GOOGL, 10,541, 8.22%, 0.00%), (GOOGL, 10,541, 8.22%, 0.00%), (GOOGL, 10,541, 8.22%, 0.00%), (GOOGL, 10,541, 8.22%, 0.00%), (GOOGL, 10,541, 8.22%, 0.00%), (GOOGL, 10,541, 8.21%, 0.00%), (GOOGL, 10,541, 8.20%, 0.00%), (AAPL, 9,189, 8.01%, 0.00%), (AAPL, 9,189, 7.99%, 0.00%), (AAPL, 9,189, 7.98%, 0.00%), (AAPL, 9,189, 7.98%, 0.00%), (AAPL, 9,189, 7.98%, 0.00%), (AAPL, 9,189, 7.94%, 0.00%), (AAPL, 9,189, 7.88%, 0.00%), (AAPL, 9,189, 7.83%, 0.00%), (CSCO, 27,783, 7.64%, 0.00%), (CSCO, 27,783, 7.64%, 0.00%), (CSCO, 27,783, 7.64%, 0.00%), (CSCO, 27,783, 7.64%, 0.00%), (CSCO, 27,783, 7.64%, 0.00%), (CSCO, 27,783, 7.64%, 0.00%), (CSCO, 27,783, 7.64%, 0.00%), (CSCO, 27,783, 7.64%, 0.00%), (LIN, 3,931, 7.52%, 0.00%), (AMT, 7,974, 7.39%, 0.00%), (LLY, 2,218, 7.36%, 0.00%), (LLY, 2,218, 7.36%, 0.00%), (LLY, 2,218, 7.36%, 0.00%), (LLY, 2,218, 7.36%, 0.00%), (LLY, 2,218, 7.36%, 0.00%), (LLY, 2,218, 7.35%, 0.00%), (LLY, 2,218, 7.34%, 0.00%), (LLY, 2,218, 7.33%, 0.00%), (JPM, 5,794, 7.04%, 0.00%), (JPM, 5,794, 7.04%, 0.00%), (JPM, 5,794, 7.04%, 0.00%), (JPM, 5,794, 7.04%, 0.00%), (JPM, 5,794, 7.04%, 0.00%), (JPM, 5,794, 7.03%, 0.00%), (JPM, 5,794, 7.03%, 0.00%), (JPM, 5,794, 7.02%, 0.00%), (TSLA, 5,263, 7.00%, 0.00%), (TSLA, 5,263, 6.99%, 0.00%), (TSLA, 5,263, 6.99%, 0.00%), (TSLA, 5,263, 6.98%, 0.00%), (TSLA, 5,263, 6.98%, 0.00%), (TSLA, 5,263, 6.96%, 0.00%), (BRK/B, 3,524, 6.96%, 0.00%), (AMZN, 7,319, 6.96%, 0.00%), (BRK/B, 3,524, 6.96%, 0.00%), (BRK/B, 3,524, 6.95%, 0.00%), (BRK/B, 3,524, 6.95%, 0.00%), (BRK/B, 3,524, 6.95%, 0.00%), (BRK/B, 3,524, 6.95%, 0.00%), (AMZN, 7,319, 6.94%, 0.00%), (BRK/B, 3,524, 6.94%, 0.00%), (AMZN, 7,319, 6.93%, 0.00%), (BRK/B, 3,524, 6.93%, 0.00%), (AMZN, 7,319, 6.93%, 0.00%), (AMZN, 7,319, 6.93%, 0.00%), (TSLA, 5,263, 6.93%, 0.00%), (TSLA, 5,263, 6.89%, 0.00%), (AMZN, 7,319, 6.89%, 0.00%), (AMZN, 7,319, 6.85%, 0.00%), (AMZN, 7,319, 6.80%, 0.00%), (GOOG, 8,586, 6.73%, 0.00%), (GOOG, 8,586, 6.73%, 0.00%), (GOOG, 8,586, 6.73%, 0.00%), (GOOG, 8,586, 6.73%, 0.00%), (GOOG, 8,586, 6.73%, 0.00%), (GOOG, 8,586, 6.73%, 0.00%), (GOOG, 8,586, 6.72%, 0.00%), (GOOG, 8,586, 6.72%, 0.00%), (CB, 5,909, 6.42%, 0.00%), (AMZN, 6,736, 6.40%, 0.00%), (AMZN, 6,736, 6.39%, 0.00%), (XOM, 14,025, 6.38%, 0.00%), (AMZN, 6,736, 6.38%, 0.00%), (XOM, 14,025, 6.38%, 0.00%), (AMZN, 6,736, 6.38%, 0.00%), (XOM, 14,025, 6.37%, 0.00%), (XOM, 14,025, 6.37%, 0.00%), (AMZN, 6,736, 6.37%, 0.00%), (XOM, 14,025, 6.37%, 0.00%), (XOM, 14,025, 6.37%, 0.00%), (MA, 2,747, 6.36%, 0.00%), (MA, 2,747, 6.36%, 0.00%), (MA, 2,747, 6.36%, 0.00%), (MA, 2,747, 6.36%, 0.00%), (MA, 2,747, 6.36%, 0.00%), (XOM, 14,025, 6.35%, 0.00%), (MA, 2,747, 6.35%, 0.00%), (XOM, 14,025, 6.34%, 0.00%), (MA, 2,747, 6.34%, 0.00%), (AMZN, 6,736, 6.34%, 0.00%), (GOOGL, 8,118, 6.34%, 0.00%), (MA, 2,747, 6.33%, 0.00%), (GOOGL, 8,118, 6.33%, 0.00%), (GOOGL, 8,118, 6.33%, 0.00%), (GOOGL, 8,118, 6.33%, 0.00%), (GOOGL, 8,118, 6.33%, 0.00%), (GOOGL, 8,118, 6.32%, 0.00%), (GOOGL, 8,118, 6.31%, 0.00%), (GOOGL, 8,118, 6.31%, 0.00%), (AMZN, 6,736, 6.29%, 0.00%), (V, 4,314, 6.27%, 0.00%), (V, 4,314, 6.27%, 0.00%), (V, 4,314, 6.27%, 0.00%), (V, 4,314, 6.26%, 0.00%), (V, 4,314, 6.26%, 0.00%), (V, 4,314, 6.26%, 0.00%), (V, 4,314, 6.25%, 0.00%), (AMZN, 6,736, 6.25%, 0.00%), (V, 4,314, 6.24%, 0.00%), (MSFT, 2,974, 6.20%, 0.00%), (MSFT, 2,974, 6.18%, 0.00%), (MSFT, 2,974, 6.18%, 0.00%), (MSFT, 2,974, 6.17%, 0.00%), (MSFT, 2,974, 6.17%, 0.00%), (WM, 6,619, 6.16%, 0.00%), (MSFT, 2,974, 6.14%, 0.00%), (MSFT, 2,974, 6.10%, 0.00%), (MSFT, 2,974, 6.06%, 0.00%), (GE, 5,510, 6.06%, 0.00%), (GE, 5,510, 6.06%, 0.00%), (GE, 5,510, 6.06%, 0.00%), (GE, 5,510, 6.06%, 0.00%), (GE, 5,510, 6.06%, 0.00%), (GE, 5,510, 6.06%, 0.00%), (AMZN, 6,372, 6.05%, 0.00%), (GE, 5,510, 6.05%, 0.00%), (GE, 5,510, 6.05%, 0.00%), (AMZN, 6,372, 6.04%, 0.00%), (AMZN, 6,372, 6.03%, 0.00%), (AMZN, 6,372, 6.03%, 0.00%), (AMZN, 6,372, 6.03%, 0.00%), (AMZN, 6,372, 5.99%, 0.00%), (AMZN, 6,372, 5.94%, 0.00%), (AMZN, 6,372, 5.90%, 0.00%), (CSCO, 21,397, 5.88%, 0.00%), (CSCO, 21,397, 5.88%, 0.00%), (CSCO, 21,397, 5.88%, 0.00%), (CSCO, 21,397, 5.88%, 0.00%), (CSCO, 21,397, 5.88%, 0.00%), (CSCO, 21,397, 5.88%, 0.00%), (CSCO, 21,397, 5.88%, 0.00%), (CSCO, 21,397, 5.88%, 0.00%), (LIN, 3,027, 5.79%, 0.00%), (AMT, 6,141, 5.69%, 0.00%), (ORCL, 5,543, 5.53%, 0.00%), (ORCL, 5,543, 5.52%, 0.00%), (ORCL, 5,543, 5.52%, 0.00%), (ORCL, 5,543, 5.52%, 0.00%), (ORCL, 5,543, 5.52%, 0.00%), (ORCL, 5,543, 5.52%, 0.00%), (ORCL, 5,543, 5.51%, 0.00%), (ORCL, 5,543, 5.51%, 0.00%), (LLY, 1,652, 5.48%, 0.00%), (LLY, 1,652, 5.48%, 0.00%), (LLY, 1,652, 5.48%, 0.00%), (LLY, 1,652, 5.48%, 0.00%), (LLY, 1,652, 5.48%, 0.00%), (LLY, 1,652, 5.47%, 0.00%), (LLY, 1,652, 5.46%, 0.00%), (LLY, 1,652, 5.45%, 0.00%), (JPM, 4,462, 5.42%, 0.00%), (JPM, 4,462, 5.42%, 0.00%), (JPM, 4,462, 5.42%, 0.00%), (JPM, 4,462, 5.42%, 0.00%), (JPM, 4,462, 5.42%, 0.00%), (JPM, 4,462, 5.41%, 0.00%), (JPM, 4,462, 5.41%, 0.00%), (JPM, 4,462, 5.40%, 0.00%), (TSLA, 4,053, 5.39%, 0.00%), (TSLA, 4,053, 5.38%, 0.00%), (AVGO, 4,530, 5.37%, 0.00%), (TSLA, 4,053, 5.37%, 0.00%), (AVGO, 4,530, 5.37%, 0.00%), (TSLA, 4,053, 5.37%, 0.00%), (TSLA, 4,053, 5.37%, 0.00%), (AVGO, 4,530, 5.36%, 0.00%), (AVGO, 4,530, 5.36%, 0.00%), (AVGO, 4,530, 5.36%, 0.00%), (TSLA, 4,053, 5.35%, 0.00%), (AVGO, 4,530, 5.35%, 0.00%), (AVGO, 4,530, 5.33%, 0.00%), (TSLA, 4,053, 5.31%, 0.00%), (AVGO, 4,530, 5.31%, 0.00%), (TSLA, 4,053, 5.28%, 0.00%), (AAPL, 6,046, 5.26%, 0.00%), (AAPL, 6,046, 5.25%, 0.00%), (AAPL, 6,046, 5.24%, 0.00%), (AAPL, 6,046, 5.23%, 0.00%), (AAPL, 6,046, 5.23%, 0.00%), (AAPL, 6,046, 5.19%, 0.00%), (GOOG, 6,613, 5.19%, 0.00%), (GOOG, 6,613, 5.19%, 0.00%), (GOOG, 6,613, 5.18%, 0.00%), (GOOG, 6,613, 5.18%, 0.00%), (GOOG, 6,613, 5.18%, 0.00%), (GOOG, 6,613, 5.18%, 0.00%), (GOOG, 6,613, 5.17%, 0.00%), (GOOG, 6,613, 5.17%, 0.00%), (AAPL, 6,046, 5.14%, 0.00%), (AAPL, 6,046, 5.09%, 0.00%), (NFLX, 1,035, 5.00%, 0.00%), (NFLX, 1,035, 5.00%, 0.00%), (NFLX, 1,035, 5.00%, 0.00%), (NFLX, 1,035, 5.00%, 0.00%), (NFLX, 1,035, 4.99%, 0.00%), (NFLX, 1,035, 4.98%, 0.00%), (NEE, 17,003, 4.95%, 0.00%), (NEE, 17,003, 4.95%, 0.00%), (NEE, 17,003, 4.95%, 0.00%), (NEE, 17,003, 4.95%, 0.00%), (NEE, 17,003, 4.95%, 0.00%), (NEE, 17,003, 4.95%, 0.00%), (NEE, 17,003, 4.95%, 0.00%), (NEE, 17,003, 4.95%, 0.00%), (AVGO, 4,169, 4.94%, 0.00%), (AVGO, 4,169, 4.94%, 0.00%), (AVGO, 4,169, 4.94%, 0.00%), (AVGO, 4,169, 4.94%, 0.00%), (AVGO, 4,169, 4.93%, 0.00%), (AVGO, 4,169, 4.92%, 0.00%), (XOM, 10,801, 4.91%, 0.00%), (XOM, 10,801, 4.91%, 0.00%), (XOM, 10,801, 4.91%, 0.00%), (XOM, 10,801, 4.91%, 0.00%), (XOM, 10,801, 4.91%, 0.00%), (AVGO, 4,169, 4.90%, 0.00%), (XOM, 10,801, 4.90%, 0.00%), (XOM, 10,801, 4.89%, 0.00%), (AVGO, 4,169, 4.88%, 0.00%), (XOM, 10,801, 4.88%, 0.00%), (BK, 11,874, 4.86%, 0.00%), (EBAY, 14,887, 4.85%, 0.00%), (V, 3,322, 4.83%, 0.00%), (V, 3,322, 4.82%, 0.00%), (V, 3,322, 4.82%, 0.00%), (V, 3,322, 4.82%, 0.00%), (V, 3,322, 4.82%, 0.00%), (V, 3,322, 4.82%, 0.00%), (V, 3,322, 4.81%, 0.00%), (V, 3,322, 4.80%, 0.00%), (CB, 4,401, 4.78%, 0.00%), (UNH, 4,124, 4.74%, 0.00%), (MSFT, 2,276, 4.74%, 0.00%), (MA, 2,046, 4.74%, 0.00%), (MA, 2,046, 4.74%, 0.00%), (UNH, 4,124, 4.74%, 0.00%), (UNH, 4,124, 4.74%, 0.00%), (MA, 2,046, 4.73%, 0.00%), (MA, 2,046, 4.73%, 0.00%), (MA, 2,046, 4.73%, 0.00%), (UNH, 4,124, 4.73%, 0.00%), (UNH, 4,124, 4.73%, 0.00%), (MA, 2,046, 4.73%, 0.00%), (MSFT, 2,276, 4.73%, 0.00%), (UNH, 4,124, 4.72%, 0.00%), (MSFT, 2,276, 4.72%, 0.00%), (MA, 2,046, 4.72%, 0.00%), (MSFT, 2,276, 4.72%, 0.00%), (MSFT, 2,276, 4.72%, 0.00%), (MA, 2,046, 4.71%, 0.00%), (META, 1,612, 4.71%, 0.00%), (UNH, 4,124, 4.71%, 0.00%), (META, 1,609, 4.70%, 0.00%), (META, 1,612, 4.70%, 0.00%), (UNH, 4,124, 4.69%, 0.00%), (META, 1,609, 4.69%, 0.00%), (META, 1,612, 4.69%, 0.00%), (META, 1,612, 4.69%, 0.00%), (MSFT, 2,276, 4.69%, 0.00%), (JPM, 3,853, 4.68%, 0.00%), (META, 1,609, 4.68%, 0.00%), (META, 1,609, 4.68%, 0.00%), (JPM, 3,853, 4.68%, 0.00%), (META, 1,612, 4.68%, 0.00%), (JPM, 3,853, 4.68%, 0.00%), (JPM, 3,853, 4.68%, 0.00%), (JPM, 3,853, 4.68%, 0.00%), (AVGO, 3,944, 4.68%, 0.00%), (JPM, 3,853, 4.67%, 0.00%), (AVGO, 3,944, 4.67%, 0.00%), (META, 1,609, 4.67%, 0.00%), (AVGO, 3,944, 4.67%, 0.00%), (AVGO, 3,944, 4.67%, 0.00%), (AVGO, 3,944, 4.67%, 0.00%), (JPM, 3,853, 4.67%, 0.00%), (META, 1,612, 4.66%, 0.00%), (JPM, 3,853, 4.66%, 0.00%), (META, 1,609, 4.65%, 0.00%), (AVGO, 3,944, 4.65%, 0.00%), (MSFT, 2,276, 4.65%, 0.00%), (AVGO, 3,944, 4.63%, 0.00%), (META, 1,612, 4.62%, 0.00%), (META, 1,609, 4.61%, 0.00%), (AVGO, 3,944, 4.61%, 0.00%), (MSFT, 2,276, 4.61%, 0.00%), (JNJ, 6,776, 4.60%, 0.00%), (JNJ, 6,776, 4.60%, 0.00%), (JNJ, 6,776, 4.60%, 0.00%), (JNJ, 6,776, 4.60%, 0.00%), (JNJ, 6,776, 4.60%, 0.00%), (JNJ, 6,776, 4.60%, 0.00%), (JNJ, 6,776, 4.60%, 0.00%), (JNJ, 6,776, 4.60%, 0.00%), (WM, 4,930, 4.59%, 0.00%), (META, 1,612, 4.59%, 0.00%), (META, 1,609, 4.58%, 0.00%), (PLTR, 7,069, 4.57%, 0.00%), (PLTR, 7,069, 4.57%, 0.00%), (PLTR, 7,069, 4.57%, 0.00%), (PG, 7,130, 4.57%, 0.00%), (PLTR, 7,069, 4.57%, 0.00%), (PLTR, 7,069, 4.57%, 0.00%), (PG, 7,130, 4.57%, 0.00%), (PG, 7,130, 4.56%, 0.00%), (PG, 7,130, 4.56%, 0.00%), (PG, 7,130, 4.56%, 0.00%), (PLTR, 7,069, 4.56%, 0.00%), (PG, 7,130, 4.56%, 0.00%), (PLTR, 7,069, 4.56%, 0.00%), (PG, 7,130, 4.55%, 0.00%), (PLTR, 7,069, 4.55%, 0.00%), (PG, 7,130, 4.55%, 0.00%), (CVX, 7,160, 4.55%, 0.00%), (CVX, 7,160, 4.55%, 0.00%), (CVX, 7,160, 4.55%, 0.00%), (CVX, 7,160, 4.55%, 0.00%), (CVX, 7,160, 4.55%, 0.00%), (CVX, 7,160, 4.54%, 0.00%), (RJF, 6,605, 4.54%, 0.00%), (BKNG, 199, 4.54%, 0.00%), (CVX, 7,160, 4.54%, 0.00%), (CVX, 7,160, 4.53%, 0.00%), (BLK, 993, 4.53%, 0.00%), (BLK, 993, 4.53%, 0.00%), (BLK, 993, 4.53%, 0.00%), (GE, 4,104, 4.51%, 0.00%), (GE, 4,104, 4.51%, 0.00%), (GE, 4,104, 4.51%, 0.00%), (GE, 4,104, 4.51%, 0.00%), (GE, 4,104, 4.51%, 0.00%), (GE, 4,104, 4.51%, 0.00%), (GE, 4,104, 4.51%, 0.00%), (GE, 4,104, 4.50%, 0.00%), (WMT, 11,280, 4.49%, 0.00%), (WMT, 11,280, 4.49%, 0.00%), (WMT, 11,280, 4.49%, 0.00%), (WMT, 11,280, 4.49%, 0.00%), (WMT, 11,280, 4.49%, 0.00%), (WMT, 11,280, 4.49%, 0.00%), (WMT, 11,280, 4.49%, 0.00%), (WMT, 11,280, 4.49%, 0.00%), (GOOGL, 5,714, 4.46%, 0.00%), (GOOGL, 5,714, 4.46%, 0.00%), (GOOGL, 5,714, 4.45%, 0.00%), (GOOGL, 5,714, 4.45%, 0.00%), (GOOGL, 5,714, 4.45%, 0.00%), (GOOGL, 5,714, 4.45%, 0.00%), (GOOGL, 5,714, 4.44%, 0.00%), (MLI, 12,373, 4.43%, 0.01%), (GOOGL, 5,714, 4.43%, 0.00%), (COST, 1,151, 4.39%, 0.00%), (COST, 1,151, 4.39%, 0.00%), (COST, 1,151, 4.39%, 0.00%), (COST, 1,151, 4.39%, 0.00%), (COST, 1,151, 4.39%, 0.00%), (COST, 1,151, 4.39%, 0.00%), (COST, 1,151, 4.38%, 0.00%), (AMAT, 5,663, 4.38%, 0.00%), (AMAT, 5,663, 4.38%, 0.00%), (AMAT, 5,663, 4.38%, 0.00%), (AMAT, 5,663, 4.38%, 0.00%), (AMAT, 5,663, 4.38%, 0.00%), (AMAT, 5,663, 4.37%, 0.00%), (AMAT, 5,663, 4.37%, 0.00%), (AMAT, 5,663, 4.36%, 0.00%), (CAT, 2,458, 4.35%, 0.00%), (CAT, 2,458, 4.35%, 0.00%), (CAT, 2,458, 4.35%, 0.00%), (CAT, 2,458, 4.35%, 0.00%), (CAT, 2,458, 4.35%, 0.00%), (CAT, 2,458, 4.35%, 0.00%), (CAT, 2,458, 4.35%, 0.00%), (CAT, 2,458, 4.35%, 0.00%), (UNM, 13,296, 4.34%, 0.01%), (META, 1,481, 4.32%, 0.00%), (META, 1,481, 4.32%, 0.00%), (EWBC, 10,217, 4.31%, 0.01%), (RTX, 6,776, 4.31%, 0.00%), (RTX, 6,776, 4.31%, 0.00%), (RTX, 6,776, 4.31%, 0.00%), (RTX, 6,776, 4.31%, 0.00%), (RTX, 6,776, 4.31%, 0.00%), (RTX, 6,776, 4.31%, 0.00%), (RTX, 6,776, 4.31%, 0.00%), (META, 1,481, 4.31%, 0.00%), (META, 1,481, 4.31%, 0.00%), (RTX, 6,776, 4.31%, 0.00%), (META, 1,481, 4.30%, 0.00%), (V, 2,955, 4.30%, 0.00%), (V, 2,955, 4.29%, 0.00%), (V, 2,955, 4.29%, 0.00%), (V, 2,955, 4.29%, 0.00%), (V, 2,955, 4.29%, 0.00%), (V, 2,955, 4.28%, 0.00%), (META, 1,481, 4.28%, 0.00%), (V, 2,955, 4.27%, 0.00%), (V, 2,955, 4.26%, 0.00%), (META, 1,481, 4.24%, 0.00%), (AXP, 3,334, 4.23%, 0.00%), (AXP, 3,334, 4.23%, 0.00%), (AXP, 3,334, 4.23%, 0.00%), (AXP, 3,334, 4.23%, 0.00%), (AXP, 3,334, 4.23%, 0.00%), (AXP, 3,334, 4.22%, 0.00%), (AXP, 3,334, 4.22%, 0.00%), (LLY, 1,272, 4.22%, 0.00%), (LLY, 1,272, 4.22%, 0.00%), (LLY, 1,272, 4.22%, 0.00%), (LLY, 1,272, 4.22%, 0.00%), (LLY, 1,272, 4.22%, 0.00%), (LLY, 1,272, 4.20%, 0.00%), (META, 1,481, 4.20%, 0.00%), (LLY, 1,272, 4.20%, 0.00%), (LLY, 1,272, 4.19%, 0.00%), (ORCL, 4,128, 4.12%, 0.00%), (ORCL, 4,128, 4.11%, 0.00%), (ORCL, 4,128, 4.11%, 0.00%), (ORCL, 4,128, 4.11%, 0.00%), (ORCL, 4,128, 4.11%, 0.00%), (ORCL, 4,128, 4.11%, 0.00%), (ORCL, 4,128, 4.10%, 0.00%), (ORCL, 4,128, 4.10%, 0.00%), (META, 1,401, 4.09%, 0.00%), (META, 1,401, 4.08%, 0.00%), (EA, 6,592, 4.07%, 0.00%), (META, 1,401, 4.07%, 0.00%), (META, 1,401, 4.07%, 0.00%), (META, 1,401, 4.06%, 0.00%), (META, 1,401, 4.04%, 0.00%), (META, 1,401, 4.01%, 0.00%), (PHM, 8,387, 3.99%, 0.00%), (ABT, 7,773, 3.99%, 0.00%), (ABT, 7,773, 3.99%, 0.00%), (ABT, 7,773, 3.99%, 0.00%), (ABT, 7,773, 3.99%, 0.00%), (ABT, 7,773, 3.99%, 0.00%), (ABT, 7,773, 3.99%, 0.00%), (ABT, 7,773, 3.99%, 0.00%), (ABT, 7,773, 3.98%, 0.00%), (AMZN, 4,192, 3.98%, 0.00%), (META, 1,401, 3.97%, 0.00%), (AMZN, 4,192, 3.96%, 0.00%), (ADP, 3,158, 3.96%, 0.00%), (AMZN, 4,192, 3.96%, 0.00%), (KLAC, 1,046, 3.95%, 0.00%), (AMZN, 4,192, 3.95%, 0.00%), (AMZN, 4,192, 3.95%, 0.00%), (SNA, 2,947, 3.95%, 0.01%), (TRV, 3,760, 3.93%, 0.00%), (HIG, 7,914, 3.93%, 0.00%), (HD, 2,549, 3.93%, 0.00%), (HD, 2,549, 3.93%, 0.00%), (HD, 2,549, 3.93%, 0.00%), (HD, 2,549, 3.93%, 0.00%), (HD, 2,549, 3.93%, 0.00%), (HD, 2,549, 3.92%, 0.00%), (HD, 2,549, 3.92%, 0.00%), (MSFT, 1,882, 3.92%, 0.00%), (AMZN, 4,192, 3.91%, 0.00%), (HD, 2,549, 3.91%, 0.00%), (MSFT, 1,882, 3.90%, 0.00%), (MSFT, 1,882, 3.90%, 0.00%), (MSFT, 1,882, 3.89%, 0.00%), (MSFT, 1,882, 3.89%, 0.00%), (AMZN, 4,192, 3.87%, 0.00%), (MSFT, 1,882, 3.86%, 0.00%), (ABBV, 4,973, 3.84%, 0.00%), (ABBV, 4,973, 3.84%, 0.00%), (ABBV, 4,973, 3.84%, 0.00%), (ABBV, 4,973, 3.84%, 0.00%), (ABBV, 4,973, 3.84%, 0.00%), (ABBV, 4,973, 3.83%, 0.00%), (ABBV, 4,973, 3.83%, 0.00%), (MSFT, 1,882, 3.82%, 0.00%), (AMZN, 4,192, 3.82%, 0.00%), (ABBV, 4,973, 3.82%, 0.00%), (PCAR, 9,347, 3.80%, 0.00%), (MSFT, 1,882, 3.79%, 0.00%), (ROST, 6,585, 3.74%, 0.00%), (NFLX, 771, 3.72%, 0.00%), (NFLX, 771, 3.72%, 0.00%), (NFLX, 771, 3.72%, 0.00%), (NFLX, 771, 3.72%, 0.00%), (NFLX, 771, 3.71%, 0.00%), (NFLX, 771, 3.71%, 0.00%), (CTSH, 11,946, 3.70%, 0.00%), (CRM, 3,386, 3.70%, 0.00%), (CRM, 3,386, 3.70%, 0.00%), (CRM, 3,386, 3.70%, 0.00%), (CRM, 3,386, 3.70%, 0.00%), (CRM, 3,386, 3.70%, 0.00%), (BRK/B, 1,872, 3.70%, 0.00%), (CRM, 3,386, 3.69%, 0.00%), (BRK/B, 1,872, 3.69%, 0.00%), (CRM, 3,386, 3.69%, 0.00%), (BRK/B, 1,872, 3.69%, 0.00%), (BRK/B, 1,872, 3.69%, 0.00%), (BRK/B, 1,872, 3.69%, 0.00%), (CRM, 3,386, 3.69%, 0.00%), (NEE, 12,663, 3.69%, 0.00%), (NEE, 12,663, 3.69%, 0.00%), (NEE, 12,663, 3.69%, 0.00%), (NEE, 12,663, 3.69%, 0.00%), (NEE, 12,663, 3.69%, 0.00%), (NEE, 12,663, 3.69%, 0.00%), (BRK/B, 1,872, 3.68%, 0.00%), (NEE, 12,663, 3.68%, 0.00%), (NEE, 12,663, 3.68%, 0.00%), (CB, 3,389, 3.68%, 0.00%), (BRK/B, 1,872, 3.68%, 0.00%), (BRK/B, 1,872, 3.67%, 0.00%), (SYF, 12,343, 3.66%, 0.00%), (AMD, 5,165, 3.65%, 0.00%), (AMD, 5,165, 3.65%, 0.00%), (MA, 1,576, 3.65%, 0.00%), (MA, 1,576, 3.65%, 0.00%), (AMD, 5,165, 3.64%, 0.00%), (AMD, 5,165, 3.64%, 0.00%), (AMD, 5,165, 3.64%, 0.00%), (MA, 1,576, 3.64%, 0.00%), (MA, 1,576, 3.64%, 0.00%), (MA, 1,576, 3.64%, 0.00%), (MA, 1,576, 3.64%, 0.00%), (BAC, 18,445, 3.64%, 0.00%), (BAC, 18,445, 3.64%, 0.00%), (BAC, 18,445, 3.63%, 0.00%), (BAC, 18,445, 3.63%, 0.00%), (BAC, 18,445, 3.63%, 0.00%), (BAC, 18,445, 3.63%, 0.00%), (AMD, 5,165, 3.63%, 0.00%), (BAC, 18,445, 3.63%, 0.00%), (MA, 1,576, 3.63%, 0.00%), (BAC, 18,445, 3.63%, 0.00%), (CB, 3,335, 3.62%, 0.00%), (MA, 1,576, 3.62%, 0.00%), (AMD, 5,165, 3.62%, 0.00%), (BA, 3,806, 3.62%, 0.00%), (BA, 3,806, 3.61%, 0.00%), (BA, 3,806, 3.61%, 0.00%), (BA, 3,806, 3.61%, 0.00%), (BA, 3,806, 3.61%, 0.00%), (BA, 3,806, 3.61%, 0.00%), (AMD, 5,165, 3.61%, 0.00%), (BA, 3,806, 3.60%, 0.00%), (KO, 12,891, 3.60%, 0.00%), (KO, 12,891, 3.60%, 0.00%), (KO, 12,891, 3.60%, 0.00%), (KO, 12,891, 3.60%, 0.00%), (KO, 12,891, 3.60%, 0.00%), (CRM, 3,297, 3.60%, 0.00%), (KO, 12,891, 3.60%, 0.00%), (CRM, 3,297, 3.60%, 0.00%), (CRM, 3,297, 3.60%, 0.00%), (CRM, 3,297, 3.60%, 0.00%), (CRM, 3,297, 3.60%, 0.00%), (KO, 12,891, 3.60%, 0.00%), (KO, 12,891, 3.60%, 0.00%), (CRM, 3,297, 3.60%, 0.00%), (BA, 3,806, 3.59%, 0.00%), (CRM, 3,297, 3.59%, 0.00%), (CRM, 3,297, 3.59%, 0.00%), (BKNG, 156, 3.56%, 0.00%), (NKE, 11,013, 3.55%, 0.00%), (NKE, 11,013, 3.55%, 0.00%), (NKE, 11,013, 3.55%, 0.00%), (NKE, 11,013, 3.55%, 0.00%), (NKE, 11,013, 3.55%, 0.00%), (NKE, 11,013, 3.54%, 0.00%), (WM, 3,797, 3.54%, 0.00%), (UNH, 3,072, 3.53%, 0.00%), (UNH, 3,072, 3.53%, 0.00%), (UNH, 3,072, 3.53%, 0.00%), (NKE, 11,013, 3.53%, 0.00%), (UNH, 3,072, 3.52%, 0.00%), (UNH, 3,072, 3.52%, 0.00%), (PAYC, 3,616, 3.52%, 0.01%), (NKE, 11,013, 3.51%, 0.00%), (UNH, 3,072, 3.51%, 0.00%), (UNH, 3,072, 3.50%, 0.00%), (SO, 9,059, 3.50%, 0.00%), (SO, 9,059, 3.50%, 0.00%), (SO, 9,059, 3.49%, 0.00%), (SO, 9,059, 3.49%, 0.00%), (SO, 9,059, 3.49%, 0.00%), (SO, 9,059, 3.49%, 0.00%), (SO, 9,059, 3.49%, 0.00%), (SO, 9,059, 3.49%, 0.00%), (UNH, 3,072, 3.48%, 0.00%), (GE, 3,160, 3.48%, 0.00%), (GE, 3,160, 3.47%, 0.00%), (GE, 3,160, 3.47%, 0.00%), (GE, 3,160, 3.47%, 0.00%), (GE, 3,160, 3.47%, 0.00%), (GE, 3,160, 3.47%, 0.00%), (GE, 3,160, 3.47%, 0.00%), (GE, 3,160, 3.46%, 0.00%), (JNJ, 5,047, 3.43%, 0.00%), (JNJ, 5,047, 3.43%, 0.00%), (JNJ, 5,047, 3.43%, 0.00%), (JNJ, 5,047, 3.43%, 0.00%), (JNJ, 5,047, 3.43%, 0.00%), (JNJ, 5,047, 3.42%, 0.00%), (JNJ, 5,047, 3.42%, 0.00%), (JNJ, 5,047, 3.42%, 0.00%), (IBM, 3,189, 3.40%, 0.00%), (IBM, 3,189, 3.40%, 0.00%), (PLTR, 5,265, 3.40%, 0.00%), (BRK/B, 1,723, 3.40%, 0.00%), (IBM, 3,189, 3.40%, 0.00%), (IBM, 3,189, 3.40%, 0.00%), (IBM, 3,189, 3.40%, 0.00%), (PLTR, 5,265, 3.40%, 0.00%), (PLTR, 5,265, 3.40%, 0.00%), (PG, 5,310, 3.40%, 0.00%), (PLTR, 5,265, 3.40%, 0.00%), (PLTR, 5,265, 3.40%, 0.00%), (PG, 5,310, 3.40%, 0.00%), (PG, 5,310, 3.40%, 0.00%), (IBM, 3,189, 3.40%, 0.00%), (BRK/B, 1,723, 3.40%, 0.00%), (PG, 5,310, 3.40%, 0.00%), (PG, 5,310, 3.40%, 0.00%), (PLTR, 5,265, 3.40%, 0.00%), (BRK/B, 1,723, 3.40%, 0.00%), (BRK/B, 1,723, 3.40%, 0.00%), (BRK/B, 1,723, 3.40%, 0.00%), (IBM, 3,189, 3.39%, 0.00%), (PG, 5,310, 3.39%, 0.00%), (PLTR, 5,265, 3.39%, 0.00%), (IBM, 3,189, 3.39%, 0.00%), (BRK/B, 1,723, 3.39%, 0.00%), (PG, 5,310, 3.39%, 0.00%), (CVX, 5,333, 3.39%, 0.00%), (PLTR, 5,265, 3.39%, 0.00%), (CVX, 5,333, 3.39%, 0.00%), (CVX, 5,333, 3.39%, 0.00%), (PG, 5,310, 3.39%, 0.00%), (CVX, 5,333, 3.38%, 0.00%), (CVX, 5,333, 3.38%, 0.00%), (BRK/B, 1,723, 3.38%, 0.00%), (CVX, 5,333, 3.38%, 0.00%), (BRK/B, 1,723, 3.37%, 0.00%), (CVX, 5,333, 3.37%, 0.00%), (CVX, 5,333, 3.37%, 0.00%), (GOOGL, 4,313, 3.36%, 0.00%), (GOOGL, 4,313, 3.36%, 0.00%), (GOOGL, 4,313, 3.36%, 0.00%), (GOOGL, 4,313, 3.36%, 0.00%), (GOOGL, 4,313, 3.36%, 0.00%), (GOOGL, 4,313, 3.35%, 0.00%), (WMT, 8,401, 3.35%, 0.00%), (WMT, 8,401, 3.35%, 0.00%), (WMT, 8,401, 3.35%, 0.00%), (WMT, 8,401, 3.35%, 0.00%), (WMT, 8,401, 3.35%, 0.00%), (WMT, 8,401, 3.34%, 0.00%), (GOOGL, 4,313, 3.34%, 0.00%), (WMT, 8,401, 3.34%, 0.00%), (WMT, 8,401, 3.34%, 0.00%), (GOOGL, 4,313, 3.34%, 0.00%), (PM, 5,170, 3.33%, 0.00%), (PM, 5,170, 3.33%, 0.00%), (PM, 5,170, 3.33%, 0.00%), (PM, 5,170, 3.33%, 0.00%), (PM, 5,170, 3.33%, 0.00%), (PM, 5,170, 3.33%, 0.00%), (PM, 5,170, 3.33%, 0.00%), (PM, 5,170, 3.33%, 0.00%), (AAPL, 3,826, 3.33%, 0.00%), (LEN, 6,977, 3.32%, 0.00%), (BKR, 17,580, 3.31%, 0.00%), (AAPL, 3,826, 3.31%, 0.00%), (AAPL, 3,826, 3.30%, 0.00%), (AAPL, 3,826, 3.29%, 0.00%), (AAPL, 3,826, 3.29%, 0.00%), (COST, 858, 3.27%, 0.00%), (COST, 858, 3.27%, 0.00%), (COST, 858, 3.27%, 0.00%), (COST, 858, 3.27%, 0.00%), (COST, 858, 3.27%, 0.00%), (COST, 858, 3.27%, 0.00%), (COST, 858, 3.26%, 0.00%), (AAPL, 3,826, 3.25%, 0.00%), (ISRG, 1,596, 3.25%, 0.00%), (ISRG, 1,596, 3.25%, 0.00%), (ISRG, 1,596, 3.25%, 0.00%), (ISRG, 1,596, 3.25%, 0.00%), (ISRG, 1,596, 3.24%, 0.00%), (CAT, 1,831, 3.24%, 0.00%), (CAT, 1,831, 3.24%, 0.00%), (CAT, 1,831, 3.24%, 0.00%), (ISRG, 1,596, 3.24%, 0.00%), (CAT, 1,831, 3.24%, 0.00%), (CAT, 1,831, 3.24%, 0.00%), (CAT, 1,831, 3.24%, 0.00%), (ISRG, 1,596, 3.24%, 0.00%), (CAT, 1,831, 3.24%, 0.00%), (CAT, 1,831, 3.23%, 0.00%), (ETN, 2,012, 3.23%, 0.00%), (ETN, 2,012, 3.23%, 0.00%), (ETN, 2,012, 3.23%, 0.00%), (ETN, 2,012, 3.23%, 0.00%), (ETN, 2,012, 3.23%, 0.00%), (ETN, 2,012, 3.22%, 0.00%), (ETN, 2,012, 3.22%, 0.00%), (BRK/B, 1,630, 3.22%, 0.00%), (BRK/B, 1,630, 3.21%, 0.00%), (BRK/B, 1,630, 3.21%, 0.00%), (BRK/B, 1,630, 3.21%, 0.00%), (BRK/B, 1,630, 3.21%, 0.00%), (RTX, 5,047, 3.21%, 0.00%), (RTX, 5,047, 3.21%, 0.00%), (RTX, 5,047, 3.21%, 0.00%), (RTX, 5,047, 3.21%, 0.00%), (RTX, 5,047, 3.21%, 0.00%), (RTX, 5,047, 3.21%, 0.00%), (RTX, 5,047, 3.21%, 0.00%), (BRK/B, 1,630, 3.21%, 0.00%), (RTX, 5,047, 3.21%, 0.00%), (AAPL, 3,826, 3.20%, 0.00%), (BRK/B, 1,630, 3.20%, 0.00%), (WSM, 4,179, 3.19%, 0.00%), (BRK/B, 1,630, 3.19%, 0.00%), (ACN, 2,816, 3.19%, 0.00%), (ACN, 2,816, 3.19%, 0.00%), (ACN, 2,816, 3.19%, 0.00%), (ACN, 2,816, 3.19%, 0.00%), (ACN, 2,816, 3.19%, 0.00%), (ACN, 2,816, 3.18%, 0.00%), (ACN, 2,816, 3.18%, 0.00%), (ACN, 2,816, 3.18%, 0.00%), (ORCL, 3,179, 3.17%, 0.00%), (ORCL, 3,179, 3.17%, 0.00%), (ORCL, 3,179, 3.17%, 0.00%), (ORCL, 3,179, 3.17%, 0.00%), (ORCL, 3,179, 3.17%, 0.00%), (ORCL, 3,179, 3.16%, 0.00%), (ORCL, 3,179, 3.16%, 0.00%), (ORCL, 3,179, 3.15%, 0.00%), (AAPL, 3,826, 3.15%, 0.00%), (WFC, 9,200, 3.14%, 0.00%), (WFC, 9,200, 3.14%, 0.00%), (WFC, 9,200, 3.14%, 0.00%), (WFC, 9,200, 3.14%, 0.00%), (WFC, 9,200, 3.14%, 0.00%), (WFC, 9,200, 3.14%, 0.00%), (WFC, 9,200, 3.13%, 0.00%), (WFC, 9,200, 3.13%, 0.00%), (CSCO, 11,368, 3.13%, 0.00%), (CSCO, 11,368, 3.13%, 0.00%), (CSCO, 11,368, 3.13%, 0.00%), (CSCO, 11,368, 3.13%, 0.00%), (CSCO, 11,368, 3.13%, 0.00%), (CSCO, 11,368, 3.13%, 0.00%), (CSCO, 11,368, 3.12%, 0.00%), (CSCO, 11,368, 3.12%, 0.00%), (QCOM, 4,768, 3.12%, 0.00%), (QCOM, 4,768, 3.12%, 0.00%), (QCOM, 4,768, 3.12%, 0.00%), (QCOM, 4,768, 3.12%, 0.00%), (QCOM, 4,768, 3.12%, 0.00%), (QCOM, 4,768, 3.11%, 0.00%), (INTU, 967, 3.11%, 0.00%), (INTU, 967, 3.11%, 0.00%), (INTU, 967, 3.11%, 0.00%), (INTU, 967, 3.11%, 0.00%), (INTU, 967, 3.11%, 0.00%), (INTU, 967, 3.11%, 0.00%), (GS, 1,052, 3.10%, 0.00%), (GS, 1,052, 3.10%, 0.00%), (GS, 1,052, 3.10%, 0.00%), (GS, 1,052, 3.10%, 0.00%), (GS, 1,052, 3.10%, 0.00%), (QCOM, 4,768, 3.10%, 0.00%), (GS, 1,052, 3.10%, 0.00%), (GOOGL, 3,970, 3.10%, 0.00%), (QCOM, 4,768, 3.10%, 0.00%), (GOOGL, 3,970, 3.09%, 0.00%), (GOOGL, 3,970, 3.09%, 0.00%), (GOOGL, 3,970, 3.09%, 0.00%), (DUK, 6,387, 3.09%, 0.00%), (GOOGL, 3,970, 3.09%, 0.00%), (GOOGL, 3,970, 3.08%, 0.00%), (GOOGL, 3,970, 3.08%, 0.00%), (AVGO, 2,595, 3.08%, 0.00%), (LIN, 1,608, 3.07%, 0.00%), (AVGO, 2,595, 3.07%, 0.00%), (GOOGL, 3,970, 3.07%, 0.00%), (AVGO, 2,595, 3.07%, 0.00%), (AVGO, 2,595, 3.07%, 0.00%), (AVGO, 2,595, 3.06%, 0.00%), (HON, 3,310, 3.06%, 0.00%), (HON, 3,310, 3.06%, 0.00%), (HON, 3,310, 3.06%, 0.00%), (HON, 3,310, 3.06%, 0.00%), (HON, 3,310, 3.06%, 0.00%), (HON, 3,310, 3.05%, 0.00%), (AVGO, 2,595, 3.05%, 0.00%), (HON, 3,310, 3.05%, 0.00%), (HON, 3,310, 3.04%, 0.00%), (AVGO, 2,595, 3.03%, 0.00%), (AMT, 3,263, 3.02%, 0.00%), (UBER, 8,197, 3.02%, 0.00%), (UBER, 8,197, 3.02%, 0.00%), (UBER, 8,197, 3.02%, 0.00%), (UBER, 8,197, 3.02%, 0.00%), (UBER, 8,197, 3.02%, 0.00%), (UBER, 8,197, 3.02%, 0.00%), (UBER, 8,197, 3.02%, 0.00%), (UBER, 8,197, 3.02%, 0.00%), (AVGO, 2,595, 3.01%, 0.00%), (ABT, 5,789, 2.97%, 0.00%), (ABT, 5,789, 2.97%, 0.00%), (ABT, 5,789, 2.97%, 0.00%), (ABT, 5,789, 2.97%, 0.00%), (ABT, 5,789, 2.97%, 0.00%), (ABT, 5,789, 2.97%, 0.00%), (ABT, 5,789, 2.97%, 0.00%), (ABT, 5,789, 2.96%, 0.00%), (GOOGL, 3,755, 2.93%, 0.00%), (HD, 1,899, 2.93%, 0.00%), (HD, 1,899, 2.93%, 0.00%), (HD, 1,899, 2.93%, 0.00%), (GOOGL, 3,755, 2.93%, 0.00%), (GOOGL, 3,755, 2.92%, 0.00%), (GOOGL, 3,755, 2.92%, 0.00%), (HD, 1,899, 2.92%, 0.00%), (HD, 1,899, 2.92%, 0.00%), (GOOGL, 3,755, 2.92%, 0.00%), (HD, 1,899, 2.92%, 0.00%), (GOOGL, 3,755, 2.92%, 0.00%), (HD, 1,899, 2.92%, 0.00%), (HD, 1,899, 2.91%, 0.00%), (GOOGL, 3,755, 2.91%, 0.00%), (MET, 9,168, 2.91%, 0.00%), (GOOGL, 3,755, 2.90%, 0.00%), (JPM, 2,371, 2.88%, 0.00%), (JPM, 2,371, 2.88%, 0.00%), (CSCO, 10,462, 2.88%, 0.00%), (CSCO, 10,462, 2.88%, 0.00%), (CSCO, 10,462, 2.88%, 0.00%), (CSCO, 10,462, 2.88%, 0.00%), (CSCO, 10,462, 2.88%, 0.00%), (JPM, 2,371, 2.88%, 0.00%), (JPM, 2,371, 2.88%, 0.00%), (JPM, 2,371, 2.88%, 0.00%), (CSCO, 10,462, 2.88%, 0.00%), (CSCO, 10,462, 2.87%, 0.00%), (CSCO, 10,462, 2.87%, 0.00%), (JPM, 2,371, 2.87%, 0.00%), (NFLX, 594, 2.86%, 0.00%), (NFLX, 594, 2.86%, 0.00%), (NFLX, 594, 2.86%, 0.00%), (NFLX, 594, 2.86%, 0.00%), (JPM, 2,371, 2.86%, 0.00%), (MCD, 2,369, 2.86%, 0.00%), (MCD, 2,369, 2.86%, 0.00%), (MCD, 2,369, 2.86%, 0.00%), (MCD, 2,369, 2.86%, 0.00%), (MCD, 2,369, 2.86%, 0.00%), (ABBV, 3,704, 2.86%, 0.00%), (ABBV, 3,704, 2.86%, 0.00%), (MCD, 2,369, 2.86%, 0.00%), (NFLX, 594, 2.86%, 0.00%), (JPM, 2,371, 2.86%, 0.00%), (ABBV, 3,704, 2.86%, 0.00%), (ABBV, 3,704, 2.86%, 0.00%), (ABBV, 3,704, 2.86%, 0.00%), (MCD, 2,369, 2.86%, 0.00%), (TSLA, 2,153, 2.86%, 0.00%), (MCD, 2,369, 2.85%, 0.00%), (UNP, 3,060, 2.85%, 0.00%), (UNP, 3,060, 2.85%, 0.00%), (UNP, 3,060, 2.85%, 0.00%), (ABBV, 3,704, 2.85%, 0.00%), (UNP, 3,060, 2.85%, 0.00%), (UNP, 3,060, 2.85%, 0.00%), (NFLX, 594, 2.85%, 0.00%), (TSLA, 2,153, 2.85%, 0.00%), (UNP, 3,060, 2.85%, 0.00%), (ABBV, 3,704, 2.85%, 0.00%), (UNP, 3,060, 2.85%, 0.00%), (TSLA, 2,153, 2.84%, 0.00%), (UNP, 3,060, 2.84%, 0.00%), (ABBV, 3,704, 2.84%, 0.00%), (NEE, 9,753, 2.84%, 0.00%), (NEE, 9,753, 2.84%, 0.00%), (NEE, 9,753, 2.84%, 0.00%), (NEE, 9,753, 2.84%, 0.00%), (NEE, 9,753</t>
  </si>
  <si>
    <t>(AVGO, 1,642, 3.06%, 0.00%), (META, 583, 2.68%, 0.00%), (BRK/B, 679, 2.11%, 0.00%), (GOOGL, 1,564, 1.92%, 0.00%), (CSCO, 4,121, 1.79%, 0.00%), (LIN, 583, 1.76%, 0.00%), (AMT, 1,183, 1.73%, 0.00%), (JPM, 859, 1.64%, 0.00%), (TSLA, 781, 1.62%, 0.00%), (GOOG, 1,274, 1.57%, 0.00%), (XOM, 2,080, 1.49%, 0.00%), (V, 640, 1.46%, 0.00%), (LLY, 245, 1.27%, 0.00%), (CB, 653, 1.12%, 0.00%), (MA, 304, 1.10%, 0.00%), (WM, 731, 1.07%, 0.00%), (GE, 609, 1.05%, 0.00%), (ORCL, 612, 0.96%, 0.00%), (NFLX, 114, 0.87%, 0.00%), (NEE, 1,878, 0.86%, 0.00%), (UNH, 456, 0.82%, 0.00%), (JNJ, 749, 0.80%, 0.00%), (PLTR, 781, 0.79%, 0.00%), (PG, 788, 0.79%, 0.00%), (CVX, 791, 0.79%, 0.00%), (WMT, 1,246, 0.78%, 0.00%), (COST, 127, 0.76%, 0.00%), (CAT, 272, 0.76%, 0.00%), (RTX, 749, 0.75%, 0.00%), (ABT, 859, 0.69%, 0.00%), (HD, 282, 0.68%, 0.00%), (ABBV, 549, 0.67%, 0.00%), (BAC, 2,038, 0.63%, 0.00%), (AMD, 571, 0.63%, 0.00%), (KO, 1,424, 0.63%, 0.00%), (BA, 420, 0.63%, 0.00%), (CRM, 364, 0.62%, 0.00%), (NKE, 1,217, 0.61%, 0.00%), (BKNG, 17, 0.61%, 0.00%), (SO, 1,001, 0.61%, 0.00%), (IBM, 352, 0.59%, 0.00%), (PM, 571, 0.58%, 0.00%), (ISRG, 176, 0.57%, 0.00%), (ETN, 222, 0.56%, 0.00%), (WFC, 1,016, 0.55%, 0.00%), (INTU, 107, 0.54%, 0.00%), (GS, 116, 0.54%, 0.00%), (DUK, 706, 0.54%, 0.00%), (HON, 366, 0.53%, 0.00%), (UNP, 361, 0.53%, 0.00%), (UBER, 906, 0.53%, 0.00%), (MCD, 272, 0.52%, 0.00%), (MET, 1,013, 0.51%, 0.00%), (NOW, 78, 0.49%, 0.00%), (DE, 143, 0.47%, 0.00%), (PEP, 504, 0.46%, 0.00%), (T, 2,425, 0.43%, 0.00%), (ACN, 238, 0.42%, 0.00%), (MRK, 786, 0.42%, 0.00%), (MS, 459, 0.42%, 0.00%), (AXP, 206, 0.41%, 0.00%), (SPGI, 118, 0.40%, 0.00%), (QCOM, 391, 0.40%, 0.00%), (ADBE, 168, 0.40%, 0.00%), (BLK, 54, 0.39%, 0.00%), (TXN, 321, 0.39%, 0.00%), (VZ, 1,423, 0.39%, 0.00%), (COP, 612, 0.38%, 0.00%), (MDT, 635, 0.38%, 0.00%), (DIS, 485, 0.37%, 0.00%), (TMO, 119, 0.37%, 0.00%), (SBUX, 589, 0.36%, 0.00%), (C, 577, 0.35%, 0.00%), (AMAT, 290, 0.35%, 0.00%), (SCHW, 554, 0.35%, 0.00%), (AMGN, 167, 0.33%, 0.00%), (LMT, 119, 0.32%, 0.00%), (EMR, 321, 0.31%, 0.00%), (MMM, 306, 0.30%, 0.00%), (GILD, 387, 0.28%, 0.00%), (PFE, 1,762, 0.28%, 0.00%), (DHR, 200, 0.26%, 0.00%), (TJX, 320, 0.26%, 0.00%), (CVS, 623, 0.24%, 0.00%), (LOW, 161, 0.24%, 0.00%), (MO, 623, 0.24%, 0.00%), (MDLZ, 491, 0.22%, 0.00%), (CMCSA, 1,021, 0.22%, 0.00%), (ELV, 115, 0.21%, 0.00%), (UPS, 315, 0.20%, 0.00%), (INTC, 1,516, 0.20%, 0.00%), (BMY, 631, 0.19%, 0.00%), (PYPL, 371, 0.18%, 0.00%), (CL, 273, 0.15%, 0.00%), (FDX, 97, 0.15%, 0.00%), (USB, 476, 0.14%, 0.00%), (TGT, 132, 0.09%, 0.00%), (SC8071B, nan, nan%, 0.00%), (SC8073B, nan, nan%, 0.00%), (SP8072B, nan, nan%, 0.00%), (SP8075B, nan, nan%, 0.00%), (SP8074B, nan, nan%, 0.00%), (XP8075B, nan, nan%, 0.00%)</t>
  </si>
  <si>
    <t>(MSFT, 17035.0, 8,726,215.40), (MSFT, 17035.0, 8,723,015.40), (MSFT, 17035.0, 8,721,415.40), (MSFT, 17035.0, 8,720,615.40), (MSFT, 17035.0, 8,720,615.40), (MSFT, 17035.0, 8,713,415.40), (MSFT, 17035.0, 8,703,815.40), (MSFT, 17035.0, 8,694,215.40)</t>
  </si>
  <si>
    <t>NVDA, NVDA, NVDA, NVDA</t>
  </si>
  <si>
    <t>(MSFT, 17,035, 5.24%, 0.00%), (MSFT, 17,035, 5.24%, 0.00%), (MSFT, 17,035, 5.24%, 0.00%), (MSFT, 17,035, 5.24%, 0.00%), (MSFT, 17,035, 5.24%, 0.00%), (MSFT, 17,035, 5.23%, 0.00%), (MSFT, 17,035, 5.23%, 0.00%), (MSFT, 17,035, 5.22%, 0.00%), (AAPL, 34,635, 4.46%, 0.00%), (AAPL, 34,635, 4.45%, 0.00%), (AAPL, 34,635, 4.45%, 0.00%), (AAPL, 34,635, 4.45%, 0.00%), (AAPL, 34,635, 4.45%, 0.00%), (AAPL, 34,635, 4.45%, 0.00%), (AAPL, 34,635, 4.44%, 0.00%), (AAPL, 34,635, 4.43%, 0.00%), (MSFT, 12,688, 3.90%, 0.00%), (MSFT, 12,688, 3.90%, 0.00%), (MSFT, 12,688, 3.90%, 0.00%), (MSFT, 12,688, 3.90%, 0.00%), (MSFT, 12,688, 3.90%, 0.00%), (MSFT, 12,688, 3.89%, 0.00%), (MSFT, 12,688, 3.89%, 0.00%), (MSFT, 12,688, 3.88%, 0.00%), (AMZN, 24,017, 3.37%, 0.00%), (AMZN, 24,017, 3.37%, 0.00%), (AMZN, 24,017, 3.37%, 0.00%), (AMZN, 24,017, 3.37%, 0.00%), (AMZN, 24,017, 3.37%, 0.00%), (AMZN, 24,017, 3.36%, 0.00%), (AMZN, 24,017, 3.35%, 0.00%), (AMZN, 24,017, 3.35%, 0.00%), (AAPL, 25,796, 3.32%, 0.00%), (AAPL, 25,796, 3.32%, 0.00%), (AAPL, 25,796, 3.31%, 0.00%), (AAPL, 25,796, 3.31%, 0.00%), (AAPL, 25,796, 3.31%, 0.00%), (AAPL, 25,796, 3.31%, 0.00%), (AAPL, 25,796, 3.30%, 0.00%), (AAPL, 25,796, 3.29%, 0.00%), (MSFT, 9,771, 3.00%, 0.00%), (MSFT, 9,771, 3.00%, 0.00%), (MSFT, 9,771, 3.00%, 0.00%), (MSFT, 9,771, 3.00%, 0.00%), (MSFT, 9,771, 3.00%, 0.00%), (MSFT, 9,771, 3.00%, 0.00%), (MSFT, 9,771, 2.99%, 0.00%), (MSFT, 9,771, 2.98%, 0.00%), (AVGO, 14,865, 2.60%, 0.00%), (AVGO, 14,865, 2.60%, 0.00%), (AVGO, 14,865, 2.60%, 0.00%), (AVGO, 14,865, 2.60%, 0.00%), (AVGO, 14,865, 2.60%, 0.00%), (AVGO, 14,865, 2.60%, 0.00%), (AVGO, 14,865, 2.59%, 0.00%), (AVGO, 14,865, 2.59%, 0.00%), (AAPL, 19,866, 2.56%, 0.00%), (AAPL, 19,866, 2.55%, 0.00%), (AAPL, 19,866, 2.55%, 0.00%), (AAPL, 19,866, 2.55%, 0.00%), (AAPL, 19,866, 2.55%, 0.00%), (AAPL, 19,866, 2.54%, 0.00%), (AAPL, 19,866, 2.54%, 0.00%), (AAPL, 19,866, 2.53%, 0.00%), (AMZN, 17,887, 2.51%, 0.00%), (AMZN, 17,887, 2.51%, 0.00%), (AMZN, 17,887, 2.51%, 0.00%), (AMZN, 17,887, 2.51%, 0.00%), (AMZN, 17,887, 2.50%, 0.00%), (AMZN, 17,887, 2.50%, 0.00%), (AMZN, 17,887, 2.49%, 0.00%), (AMZN, 17,887, 2.49%, 0.00%), (META, 5,281, 2.28%, 0.00%), (META, 5,281, 2.27%, 0.00%), (META, 5,281, 2.27%, 0.00%), (META, 5,281, 2.27%, 0.00%), (META, 5,281, 2.27%, 0.00%), (META, 5,281, 2.27%, 0.00%), (META, 5,281, 2.26%, 0.00%), (META, 5,281, 2.26%, 0.00%), (AVGO, 11,072, 1.94%, 0.00%), (AVGO, 11,072, 1.94%, 0.00%), (AVGO, 11,072, 1.94%, 0.00%), (AVGO, 11,072, 1.94%, 0.00%), (AVGO, 11,072, 1.94%, 0.00%), (AVGO, 11,072, 1.93%, 0.00%), (AMZN, 13,776, 1.93%, 0.00%), (AVGO, 11,072, 1.93%, 0.00%), (AMZN, 13,776, 1.93%, 0.00%), (AMZN, 13,776, 1.93%, 0.00%), (AMZN, 13,776, 1.93%, 0.00%), (AMZN, 13,776, 1.93%, 0.00%), (AVGO, 11,072, 1.93%, 0.00%), (AMZN, 13,776, 1.92%, 0.00%), (AMZN, 13,776, 1.92%, 0.00%), (AMZN, 13,776, 1.91%, 0.00%), (BRK/B, 6,143, 1.79%, 0.00%), (BRK/B, 6,143, 1.79%, 0.00%), (BRK/B, 6,143, 1.79%, 0.00%), (BRK/B, 6,143, 1.79%, 0.00%), (BRK/B, 6,143, 1.79%, 0.00%), (BRK/B, 6,143, 1.79%, 0.00%), (BRK/B, 6,143, 1.78%, 0.00%), (BRK/B, 6,143, 1.78%, 0.00%), (META, 3,933, 1.69%, 0.00%), (META, 3,933, 1.69%, 0.00%), (META, 3,933, 1.69%, 0.00%), (META, 3,933, 1.69%, 0.00%), (META, 3,933, 1.69%, 0.00%), (META, 3,933, 1.69%, 0.00%), (META, 3,933, 1.68%, 0.00%), (META, 3,933, 1.68%, 0.00%), (GOOGL, 14,153, 1.63%, 0.00%), (GOOGL, 14,153, 1.63%, 0.00%), (GOOGL, 14,153, 1.63%, 0.00%), (GOOGL, 14,153, 1.63%, 0.00%), (GOOGL, 14,153, 1.63%, 0.00%), (GOOGL, 14,153, 1.63%, 0.00%), (GOOGL, 14,153, 1.62%, 0.00%), (GOOGL, 14,153, 1.62%, 0.00%), (MSFT, 5,191, 1.59%, 0.00%), (MSFT, 5,191, 1.59%, 0.00%), (MSFT, 5,191, 1.59%, 0.00%), (MSFT, 5,191, 1.59%, 0.00%), (MSFT, 5,191, 1.59%, 0.00%), (MSFT, 5,191, 1.59%, 0.00%), (MSFT, 5,191, 1.58%, 0.00%), (MSFT, 5,191, 1.58%, 0.00%), (CSCO, 37,303, 1.51%, 0.00%), (CSCO, 37,303, 1.51%, 0.00%), (CSCO, 37,303, 1.51%, 0.00%), (CSCO, 37,303, 1.51%, 0.00%), (CSCO, 37,303, 1.51%, 0.00%), (CSCO, 37,303, 1.51%, 0.00%), (CSCO, 37,303, 1.51%, 0.00%), (CSCO, 37,303, 1.51%, 0.00%), (AVGO, 8,527, 1.49%, 0.00%), (AVGO, 8,527, 1.49%, 0.00%), (AVGO, 8,527, 1.49%, 0.00%), (AVGO, 8,527, 1.49%, 0.00%), (AVGO, 8,527, 1.49%, 0.00%), (AVGO, 8,527, 1.49%, 0.00%), (LIN, 5,278, 1.49%, 0.00%), (AVGO, 8,527, 1.48%, 0.00%), (AVGO, 8,527, 1.48%, 0.00%), (MSFT, 4,778, 1.47%, 0.00%), (MSFT, 4,778, 1.47%, 0.00%), (MSFT, 4,778, 1.47%, 0.00%), (MSFT, 4,778, 1.46%, 0.00%), (MSFT, 4,778, 1.46%, 0.00%), (AMT, 10,707, 1.46%, 0.00%), (MSFT, 4,778, 1.46%, 0.00%), (MSFT, 4,778, 1.45%, 0.00%), (MSFT, 4,778, 1.45%, 0.00%), (JPM, 7,779, 1.39%, 0.00%), (JPM, 7,779, 1.39%, 0.00%), (JPM, 7,779, 1.39%, 0.00%), (JPM, 7,779, 1.39%, 0.00%), (JPM, 7,779, 1.39%, 0.00%), (JPM, 7,779, 1.39%, 0.00%), (JPM, 7,779, 1.39%, 0.00%), (JPM, 7,779, 1.39%, 0.00%), (MSFT, 4,520, 1.39%, 0.00%), (MSFT, 4,520, 1.39%, 0.00%), (MSFT, 4,520, 1.39%, 0.00%), (TSLA, 7,066, 1.39%, 0.00%), (MSFT, 4,520, 1.39%, 0.00%), (MSFT, 4,520, 1.39%, 0.00%), (TSLA, 7,066, 1.38%, 0.00%), (TSLA, 7,066, 1.38%, 0.00%), (TSLA, 7,066, 1.38%, 0.00%), (TSLA, 7,066, 1.38%, 0.00%), (MSFT, 4,520, 1.38%, 0.00%), (TSLA, 7,066, 1.38%, 0.00%), (MSFT, 4,520, 1.38%, 0.00%), (TSLA, 7,066, 1.37%, 0.00%), (TSLA, 7,066, 1.37%, 0.00%), (MSFT, 4,520, 1.37%, 0.00%), (AAPL, 10,555, 1.36%, 0.00%), (AAPL, 10,555, 1.35%, 0.00%), (AAPL, 10,555, 1.35%, 0.00%), (AAPL, 10,555, 1.35%, 0.00%), (AAPL, 10,555, 1.35%, 0.00%), (AAPL, 10,555, 1.35%, 0.00%), (AAPL, 10,555, 1.34%, 0.00%), (GOOG, 11,528, 1.33%, 0.00%), (GOOG, 11,528, 1.33%, 0.00%), (GOOG, 11,528, 1.33%, 0.00%), (GOOG, 11,528, 1.33%, 0.00%), (GOOG, 11,528, 1.33%, 0.00%), (BRK/B, 4,576, 1.33%, 0.00%), (GOOG, 11,528, 1.33%, 0.00%), (BRK/B, 4,576, 1.33%, 0.00%), (BRK/B, 4,576, 1.33%, 0.00%), (BRK/B, 4,576, 1.33%, 0.00%), (BRK/B, 4,576, 1.33%, 0.00%), (GOOG, 11,528, 1.33%, 0.00%), (AAPL, 10,555, 1.33%, 0.00%), (GOOG, 11,528, 1.33%, 0.00%), (BRK/B, 4,576, 1.33%, 0.00%), (BRK/B, 4,576, 1.33%, 0.00%), (BRK/B, 4,576, 1.33%, 0.00%), (META, 3,029, 1.30%, 0.00%), (META, 3,029, 1.30%, 0.00%), (META, 3,029, 1.30%, 0.00%), (META, 3,029, 1.30%, 0.00%), (META, 3,029, 1.30%, 0.00%), (META, 3,029, 1.30%, 0.00%), (META, 3,029, 1.29%, 0.00%), (META, 3,029, 1.29%, 0.00%), (XOM, 18,830, 1.26%, 0.00%), (XOM, 18,830, 1.26%, 0.00%), (XOM, 18,830, 1.26%, 0.00%), (XOM, 18,830, 1.26%, 0.00%), (XOM, 18,830, 1.26%, 0.00%), (XOM, 18,830, 1.26%, 0.00%), (XOM, 18,830, 1.26%, 0.00%), (XOM, 18,830, 1.26%, 0.00%), (AAPL, 9,714, 1.25%, 0.00%), (AAPL, 9,714, 1.25%, 0.00%), (AAPL, 9,714, 1.24%, 0.00%), (AAPL, 9,714, 1.24%, 0.00%), (AAPL, 9,714, 1.24%, 0.00%), (V, 5,792, 1.24%, 0.00%), (V, 5,792, 1.24%, 0.00%), (V, 5,792, 1.24%, 0.00%), (V, 5,792, 1.24%, 0.00%), (V, 5,792, 1.24%, 0.00%), (V, 5,792, 1.24%, 0.00%), (V, 5,792, 1.24%, 0.00%), (AAPL, 9,714, 1.24%, 0.00%), (V, 5,792, 1.24%, 0.00%), (AAPL, 9,714, 1.23%, 0.00%), (AAPL, 9,714, 1.22%, 0.00%), (GOOGL, 10,541, 1.21%, 0.00%), (GOOGL, 10,541, 1.21%, 0.00%), (GOOGL, 10,541, 1.21%, 0.00%), (GOOGL, 10,541, 1.21%, 0.00%), (GOOGL, 10,541, 1.21%, 0.00%), (GOOGL, 10,541, 1.21%, 0.00%), (GOOGL, 10,541, 1.21%, 0.00%), (GOOGL, 10,541, 1.21%, 0.00%), (AAPL, 9,189, 1.18%, 0.00%), (AAPL, 9,189, 1.18%, 0.00%), (AAPL, 9,189, 1.18%, 0.00%), (AAPL, 9,189, 1.18%, 0.00%), (AAPL, 9,189, 1.18%, 0.00%), (AAPL, 9,189, 1.17%, 0.00%), (AAPL, 9,189, 1.16%, 0.00%), (AAPL, 9,189, 1.15%, 0.00%), (CSCO, 27,783, 1.13%, 0.00%), (CSCO, 27,783, 1.13%, 0.00%), (CSCO, 27,783, 1.13%, 0.00%), (CSCO, 27,783, 1.13%, 0.00%), (CSCO, 27,783, 1.13%, 0.00%), (CSCO, 27,783, 1.13%, 0.00%), (CSCO, 27,783, 1.13%, 0.00%), (CSCO, 27,783, 1.13%, 0.00%), (LIN, 3,931, 1.11%, 0.00%), (AMT, 7,974, 1.09%, 0.00%), (LLY, 2,218, 1.08%, 0.00%), (LLY, 2,218, 1.08%, 0.00%), (LLY, 2,218, 1.08%, 0.00%), (LLY, 2,218, 1.08%, 0.00%), (LLY, 2,218, 1.08%, 0.00%), (LLY, 2,218, 1.08%, 0.00%), (LLY, 2,218, 1.08%, 0.00%), (LLY, 2,218, 1.08%, 0.00%), (JPM, 5,794, 1.04%, 0.00%), (JPM, 5,794, 1.04%, 0.00%), (JPM, 5,794, 1.04%, 0.00%), (JPM, 5,794, 1.04%, 0.00%), (JPM, 5,794, 1.04%, 0.00%), (JPM, 5,794, 1.04%, 0.00%), (JPM, 5,794, 1.04%, 0.00%), (JPM, 5,794, 1.03%, 0.00%), (TSLA, 5,263, 1.03%, 0.00%), (TSLA, 5,263, 1.03%, 0.00%), (TSLA, 5,263, 1.03%, 0.00%), (TSLA, 5,263, 1.03%, 0.00%), (TSLA, 5,263, 1.03%, 0.00%), (TSLA, 5,263, 1.03%, 0.00%), (BRK/B, 3,524, 1.03%, 0.00%), (AMZN, 7,319, 1.03%, 0.00%), (BRK/B, 3,524, 1.02%, 0.00%), (BRK/B, 3,524, 1.02%, 0.00%), (BRK/B, 3,524, 1.02%, 0.00%), (BRK/B, 3,524, 1.02%, 0.00%), (BRK/B, 3,524, 1.02%, 0.00%), (AMZN, 7,319, 1.02%, 0.00%), (BRK/B, 3,524, 1.02%, 0.00%), (AMZN, 7,319, 1.02%, 0.00%), (BRK/B, 3,524, 1.02%, 0.00%), (AMZN, 7,319, 1.02%, 0.00%), (AMZN, 7,319, 1.02%, 0.00%), (TSLA, 5,263, 1.02%, 0.00%), (TSLA, 5,263, 1.02%, 0.00%), (AMZN, 7,319, 1.02%, 0.00%), (AMZN, 7,319, 1.01%, 0.00%), (AMZN, 7,319, 1.00%, 0.00%), (GOOG, 8,586, 0.99%, 0.00%), (GOOG, 8,586, 0.99%, 0.00%), (GOOG, 8,586, 0.99%, 0.00%), (GOOG, 8,586, 0.99%, 0.00%), (GOOG, 8,586, 0.99%, 0.00%), (GOOG, 8,586, 0.99%, 0.00%), (GOOG, 8,586, 0.99%, 0.00%), (GOOG, 8,586, 0.99%, 0.00%), (CB, 5,909, 0.95%, 0.00%), (AMZN, 6,736, 0.94%, 0.00%), (AMZN, 6,736, 0.94%, 0.00%), (XOM, 14,025, 0.94%, 0.00%), (AMZN, 6,736, 0.94%, 0.00%), (XOM, 14,025, 0.94%, 0.00%), (AMZN, 6,736, 0.94%, 0.00%), (XOM, 14,025, 0.94%, 0.00%), (XOM, 14,025, 0.94%, 0.00%), (AMZN, 6,736, 0.94%, 0.00%), (XOM, 14,025, 0.94%, 0.00%), (XOM, 14,025, 0.94%, 0.00%), (MA, 2,747, 0.94%, 0.00%), (MA, 2,747, 0.94%, 0.00%), (MA, 2,747, 0.94%, 0.00%), (MA, 2,747, 0.94%, 0.00%), (MA, 2,747, 0.94%, 0.00%), (XOM, 14,025, 0.94%, 0.00%), (MA, 2,747, 0.94%, 0.00%), (XOM, 14,025, 0.93%, 0.00%), (MA, 2,747, 0.93%, 0.00%), (AMZN, 6,736, 0.93%, 0.00%), (GOOGL, 8,118, 0.93%, 0.00%), (MA, 2,747, 0.93%, 0.00%), (GOOGL, 8,118, 0.93%, 0.00%), (GOOGL, 8,118, 0.93%, 0.00%), (GOOGL, 8,118, 0.93%, 0.00%), (GOOGL, 8,118, 0.93%, 0.00%), (GOOGL, 8,118, 0.93%, 0.00%), (GOOGL, 8,118, 0.93%, 0.00%), (GOOGL, 8,118, 0.93%, 0.00%), (AMZN, 6,736, 0.93%, 0.00%), (V, 4,314, 0.92%, 0.00%), (V, 4,314, 0.92%, 0.00%), (V, 4,314, 0.92%, 0.00%), (V, 4,314, 0.92%, 0.00%), (V, 4,314, 0.92%, 0.00%), (V, 4,314, 0.92%, 0.00%), (V, 4,314, 0.92%, 0.00%), (AMZN, 6,736, 0.92%, 0.00%), (V, 4,314, 0.92%, 0.00%), (MSFT, 2,974, 0.91%, 0.00%), (MSFT, 2,974, 0.91%, 0.00%), (MSFT, 2,974, 0.91%, 0.00%), (MSFT, 2,974, 0.91%, 0.00%), (MSFT, 2,974, 0.91%, 0.00%), (WM, 6,619, 0.91%, 0.00%), (MSFT, 2,974, 0.91%, 0.00%), (MSFT, 2,974, 0.90%, 0.00%), (MSFT, 2,974, 0.89%, 0.00%), (GE, 5,510, 0.89%, 0.00%), (GE, 5,510, 0.89%, 0.00%), (GE, 5,510, 0.89%, 0.00%), (GE, 5,510, 0.89%, 0.00%), (GE, 5,510, 0.89%, 0.00%), (GE, 5,510, 0.89%, 0.00%), (AMZN, 6,372, 0.89%, 0.00%), (GE, 5,510, 0.89%, 0.00%), (GE, 5,510, 0.89%, 0.00%), (AMZN, 6,372, 0.89%, 0.00%), (AMZN, 6,372, 0.89%, 0.00%), (AMZN, 6,372, 0.89%, 0.00%), (AMZN, 6,372, 0.89%, 0.00%), (AMZN, 6,372, 0.88%, 0.00%), (AMZN, 6,372, 0.88%, 0.00%), (AMZN, 6,372, 0.87%, 0.00%), (CSCO, 21,397, 0.87%, 0.00%), (CSCO, 21,397, 0.87%, 0.00%), (CSCO, 21,397, 0.87%, 0.00%), (CSCO, 21,397, 0.87%, 0.00%), (CSCO, 21,397, 0.87%, 0.00%), (CSCO, 21,397, 0.87%, 0.00%), (CSCO, 21,397, 0.87%, 0.00%), (CSCO, 21,397, 0.87%, 0.00%), (LIN, 3,027, 0.85%, 0.00%), (AMT, 6,141, 0.84%, 0.00%), (ORCL, 5,543, 0.81%, 0.00%), (ORCL, 5,543, 0.81%, 0.00%), (ORCL, 5,543, 0.81%, 0.00%), (ORCL, 5,543, 0.81%, 0.00%), (ORCL, 5,543, 0.81%, 0.00%), (ORCL, 5,543, 0.81%, 0.00%), (ORCL, 5,543, 0.81%, 0.00%), (ORCL, 5,543, 0.81%, 0.00%), (LLY, 1,652, 0.81%, 0.00%), (LLY, 1,652, 0.81%, 0.00%), (LLY, 1,652, 0.81%, 0.00%), (LLY, 1,652, 0.81%, 0.00%), (LLY, 1,652, 0.81%, 0.00%), (LLY, 1,652, 0.81%, 0.00%), (LLY, 1,652, 0.80%, 0.00%), (LLY, 1,652, 0.80%, 0.00%), (JPM, 4,462, 0.80%, 0.00%), (JPM, 4,462, 0.80%, 0.00%), (JPM, 4,462, 0.80%, 0.00%), (JPM, 4,462, 0.80%, 0.00%), (JPM, 4,462, 0.80%, 0.00%), (JPM, 4,462, 0.80%, 0.00%), (JPM, 4,462, 0.80%, 0.00%), (JPM, 4,462, 0.80%, 0.00%), (TSLA, 4,053, 0.79%, 0.00%), (TSLA, 4,053, 0.79%, 0.00%), (AVGO, 4,530, 0.79%, 0.00%), (TSLA, 4,053, 0.79%, 0.00%), (AVGO, 4,530, 0.79%, 0.00%), (TSLA, 4,053, 0.79%, 0.00%), (TSLA, 4,053, 0.79%, 0.00%), (AVGO, 4,530, 0.79%, 0.00%), (AVGO, 4,530, 0.79%, 0.00%), (AVGO, 4,530, 0.79%, 0.00%), (TSLA, 4,053, 0.79%, 0.00%), (AVGO, 4,530, 0.79%, 0.00%), (AVGO, 4,530, 0.79%, 0.00%), (TSLA, 4,053, 0.78%, 0.00%), (AVGO, 4,530, 0.78%, 0.00%), (TSLA, 4,053, 0.78%, 0.00%), (AAPL, 6,046, 0.78%, 0.00%), (AAPL, 6,046, 0.77%, 0.00%), (AAPL, 6,046, 0.77%, 0.00%), (AAPL, 6,046, 0.77%, 0.00%), (AAPL, 6,046, 0.77%, 0.00%), (AAPL, 6,046, 0.77%, 0.00%), (GOOG, 6,613, 0.76%, 0.00%), (GOOG, 6,613, 0.76%, 0.00%), (GOOG, 6,613, 0.76%, 0.00%), (GOOG, 6,613, 0.76%, 0.00%), (GOOG, 6,613, 0.76%, 0.00%), (GOOG, 6,613, 0.76%, 0.00%), (GOOG, 6,613, 0.76%, 0.00%), (GOOG, 6,613, 0.76%, 0.00%), (AAPL, 6,046, 0.76%, 0.00%), (AAPL, 6,046, 0.75%, 0.00%), (NFLX, 1,035, 0.74%, 0.00%), (NFLX, 1,035, 0.74%, 0.00%), (NFLX, 1,035, 0.74%, 0.00%), (NFLX, 1,035, 0.74%, 0.00%), (NFLX, 1,035, 0.74%, 0.00%), (NFLX, 1,035, 0.73%, 0.00%), (NEE, 17,003, 0.73%, 0.00%), (NEE, 17,003, 0.73%, 0.00%), (NEE, 17,003, 0.73%, 0.00%), (NEE, 17,003, 0.73%, 0.00%), (NEE, 17,003, 0.73%, 0.00%), (NEE, 17,003, 0.73%, 0.00%), (NEE, 17,003, 0.73%, 0.00%), (NEE, 17,003, 0.73%, 0.00%), (AVGO, 4,169, 0.73%, 0.00%), (AVGO, 4,169, 0.73%, 0.00%), (AVGO, 4,169, 0.73%, 0.00%), (AVGO, 4,169, 0.73%, 0.00%), (AVGO, 4,169, 0.73%, 0.00%), (AVGO, 4,169, 0.72%, 0.00%), (XOM, 10,801, 0.72%, 0.00%), (XOM, 10,801, 0.72%, 0.00%), (XOM, 10,801, 0.72%, 0.00%), (XOM, 10,801, 0.72%, 0.00%), (XOM, 10,801, 0.72%, 0.00%), (AVGO, 4,169, 0.72%, 0.00%), (XOM, 10,801, 0.72%, 0.00%), (XOM, 10,801, 0.72%, 0.00%), (AVGO, 4,169, 0.72%, 0.00%), (XOM, 10,801, 0.72%, 0.00%), (BK, 11,874, 0.72%, 0.00%), (EBAY, 14,887, 0.71%, 0.00%), (V, 3,322, 0.71%, 0.00%), (V, 3,322, 0.71%, 0.00%), (V, 3,322, 0.71%, 0.00%), (V, 3,322, 0.71%, 0.00%), (V, 3,322, 0.71%, 0.00%), (V, 3,322, 0.71%, 0.00%), (V, 3,322, 0.71%, 0.00%), (V, 3,322, 0.71%, 0.00%), (CB, 4,401, 0.70%, 0.00%), (UNH, 4,124, 0.70%, 0.00%), (MSFT, 2,276, 0.70%, 0.00%), (MA, 2,046, 0.70%, 0.00%), (MA, 2,046, 0.70%, 0.00%), (UNH, 4,124, 0.70%, 0.00%), (UNH, 4,124, 0.70%, 0.00%), (MA, 2,046, 0.70%, 0.00%), (MA, 2,046, 0.70%, 0.00%), (MA, 2,046, 0.70%, 0.00%), (UNH, 4,124, 0.70%, 0.00%), (UNH, 4,124, 0.70%, 0.00%), (MA, 2,046, 0.70%, 0.00%), (MSFT, 2,276, 0.70%, 0.00%), (UNH, 4,124, 0.70%, 0.00%), (MSFT, 2,276, 0.70%, 0.00%), (MA, 2,046, 0.70%, 0.00%), (MSFT, 2,276, 0.69%, 0.00%), (MSFT, 2,276, 0.69%, 0.00%), (MA, 2,046, 0.69%, 0.00%), (META, 1,612, 0.69%, 0.00%), (UNH, 4,124, 0.69%, 0.00%), (META, 1,609, 0.69%, 0.00%), (META, 1,612, 0.69%, 0.00%), (UNH, 4,124, 0.69%, 0.00%), (META, 1,609, 0.69%, 0.00%), (META, 1,612, 0.69%, 0.00%), (META, 1,612, 0.69%, 0.00%), (MSFT, 2,276, 0.69%, 0.00%), (JPM, 3,853, 0.69%, 0.00%), (META, 1,609, 0.69%, 0.00%), (META, 1,609, 0.69%, 0.00%), (JPM, 3,853, 0.69%, 0.00%), (META, 1,612, 0.69%, 0.00%), (JPM, 3,853, 0.69%, 0.00%), (JPM, 3,853, 0.69%, 0.00%), (JPM, 3,853, 0.69%, 0.00%), (AVGO, 3,944, 0.69%, 0.00%), (JPM, 3,853, 0.69%, 0.00%), (AVGO, 3,944, 0.69%, 0.00%), (META, 1,609, 0.69%, 0.00%), (AVGO, 3,944, 0.69%, 0.00%), (AVGO, 3,944, 0.69%, 0.00%), (AVGO, 3,944, 0.69%, 0.00%), (JPM, 3,853, 0.69%, 0.00%), (META, 1,612, 0.69%, 0.00%), (JPM, 3,853, 0.69%, 0.00%), (META, 1,609, 0.69%, 0.00%), (AVGO, 3,944, 0.69%, 0.00%), (MSFT, 2,276, 0.68%, 0.00%), (AVGO, 3,944, 0.68%, 0.00%), (META, 1,612, 0.68%, 0.00%), (META, 1,609, 0.68%, 0.00%), (AVGO, 3,944, 0.68%, 0.00%), (MSFT, 2,276, 0.68%, 0.00%), (JNJ, 6,776, 0.68%, 0.00%), (JNJ, 6,776, 0.68%, 0.00%), (JNJ, 6,776, 0.68%, 0.00%), (JNJ, 6,776, 0.68%, 0.00%), (JNJ, 6,776, 0.68%, 0.00%), (JNJ, 6,776, 0.68%, 0.00%), (JNJ, 6,776, 0.68%, 0.00%), (JNJ, 6,776, 0.68%, 0.00%), (WM, 4,930, 0.68%, 0.00%), (META, 1,612, 0.68%, 0.00%), (META, 1,609, 0.67%, 0.00%), (PLTR, 7,069, 0.67%, 0.00%), (PLTR, 7,069, 0.67%, 0.00%), (PLTR, 7,069, 0.67%, 0.00%), (PG, 7,130, 0.67%, 0.00%), (PLTR, 7,069, 0.67%, 0.00%), (PLTR, 7,069, 0.67%, 0.00%), (PG, 7,130, 0.67%, 0.00%), (PG, 7,130, 0.67%, 0.00%), (PG, 7,130, 0.67%, 0.00%), (PG, 7,130, 0.67%, 0.00%), (PLTR, 7,069, 0.67%, 0.00%), (PG, 7,130, 0.67%, 0.00%), (PLTR, 7,069, 0.67%, 0.00%), (PG, 7,130, 0.67%, 0.00%), (PLTR, 7,069, 0.67%, 0.00%), (PG, 7,130, 0.67%, 0.00%), (CVX, 7,160, 0.67%, 0.00%), (CVX, 7,160, 0.67%, 0.00%), (CVX, 7,160, 0.67%, 0.00%), (CVX, 7,160, 0.67%, 0.00%), (CVX, 7,160, 0.67%, 0.00%), (CVX, 7,160, 0.67%, 0.00%), (RJF, 6,605, 0.67%, 0.00%), (BKNG, 199, 0.67%, 0.00%), (CVX, 7,160, 0.67%, 0.00%), (CVX, 7,160, 0.67%, 0.00%), (BLK, 993, 0.67%, 0.00%), (BLK, 993, 0.67%, 0.00%), (BLK, 993, 0.67%, 0.00%), (GE, 4,104, 0.67%, 0.00%), (GE, 4,104, 0.66%, 0.00%), (GE, 4,104, 0.66%, 0.00%), (GE, 4,104, 0.66%, 0.00%), (GE, 4,104, 0.66%, 0.00%), (GE, 4,104, 0.66%, 0.00%), (GE, 4,104, 0.66%, 0.00%), (GE, 4,104, 0.66%, 0.00%), (WMT, 11,280, 0.66%, 0.00%), (WMT, 11,280, 0.66%, 0.00%), (WMT, 11,280, 0.66%, 0.00%), (WMT, 11,280, 0.66%, 0.00%), (WMT, 11,280, 0.66%, 0.00%), (WMT, 11,280, 0.66%, 0.00%), (WMT, 11,280, 0.66%, 0.00%), (WMT, 11,280, 0.66%, 0.00%), (GOOGL, 5,714, 0.66%, 0.00%), (GOOGL, 5,714, 0.66%, 0.00%), (GOOGL, 5,714, 0.66%, 0.00%), (GOOGL, 5,714, 0.66%, 0.00%), (GOOGL, 5,714, 0.66%, 0.00%), (GOOGL, 5,714, 0.66%, 0.00%), (GOOGL, 5,714, 0.65%, 0.00%), (MLI, 12,373, 0.65%, 0.01%), (GOOGL, 5,714, 0.65%, 0.00%), (COST, 1,151, 0.65%, 0.00%), (COST, 1,151, 0.65%, 0.00%), (COST, 1,151, 0.65%, 0.00%), (COST, 1,151, 0.65%, 0.00%), (COST, 1,151, 0.65%, 0.00%), (COST, 1,151, 0.65%, 0.00%), (COST, 1,151, 0.65%, 0.00%), (AMAT, 5,663, 0.65%, 0.00%), (AMAT, 5,663, 0.65%, 0.00%), (AMAT, 5,663, 0.64%, 0.00%), (AMAT, 5,663, 0.64%, 0.00%), (AMAT, 5,663, 0.64%, 0.00%), (AMAT, 5,663, 0.64%, 0.00%), (AMAT, 5,663, 0.64%, 0.00%), (AMAT, 5,663, 0.64%, 0.00%), (CAT, 2,458, 0.64%, 0.00%), (CAT, 2,458, 0.64%, 0.00%), (CAT, 2,458, 0.64%, 0.00%), (CAT, 2,458, 0.64%, 0.00%), (CAT, 2,458, 0.64%, 0.00%), (CAT, 2,458, 0.64%, 0.00%), (CAT, 2,458, 0.64%, 0.00%), (CAT, 2,458, 0.64%, 0.00%), (UNM, 13,296, 0.64%, 0.01%), (META, 1,481, 0.64%, 0.00%), (META, 1,481, 0.64%, 0.00%), (EWBC, 10,217, 0.64%, 0.01%), (RTX, 6,776, 0.64%, 0.00%), (RTX, 6,776, 0.64%, 0.00%), (RTX, 6,776, 0.64%, 0.00%), (RTX, 6,776, 0.64%, 0.00%), (RTX, 6,776, 0.64%, 0.00%), (RTX, 6,776, 0.63%, 0.00%), (RTX, 6,776, 0.63%, 0.00%), (META, 1,481, 0.63%, 0.00%), (META, 1,481, 0.63%, 0.00%), (RTX, 6,776, 0.63%, 0.00%), (META, 1,481, 0.63%, 0.00%), (V, 2,955, 0.63%, 0.00%), (V, 2,955, 0.63%, 0.00%), (V, 2,955, 0.63%, 0.00%), (V, 2,955, 0.63%, 0.00%), (V, 2,955, 0.63%, 0.00%), (V, 2,955, 0.63%, 0.00%), (META, 1,481, 0.63%, 0.00%), (V, 2,955, 0.63%, 0.00%), (V, 2,955, 0.63%, 0.00%), (META, 1,481, 0.62%, 0.00%), (AXP, 3,334, 0.62%, 0.00%), (AXP, 3,334, 0.62%, 0.00%), (AXP, 3,334, 0.62%, 0.00%), (AXP, 3,334, 0.62%, 0.00%), (AXP, 3,334, 0.62%, 0.00%), (AXP, 3,334, 0.62%, 0.00%), (AXP, 3,334, 0.62%, 0.00%), (LLY, 1,272, 0.62%, 0.00%), (LLY, 1,272, 0.62%, 0.00%), (LLY, 1,272, 0.62%, 0.00%), (LLY, 1,272, 0.62%, 0.00%), (LLY, 1,272, 0.62%, 0.00%), (LLY, 1,272, 0.62%, 0.00%), (META, 1,481, 0.62%, 0.00%), (LLY, 1,272, 0.62%, 0.00%), (LLY, 1,272, 0.62%, 0.00%), (ORCL, 4,128, 0.61%, 0.00%), (ORCL, 4,128, 0.61%, 0.00%), (ORCL, 4,128, 0.61%, 0.00%), (ORCL, 4,128, 0.61%, 0.00%), (ORCL, 4,128, 0.61%, 0.00%), (ORCL, 4,128, 0.61%, 0.00%), (ORCL, 4,128, 0.60%, 0.00%), (ORCL, 4,128, 0.60%, 0.00%), (META, 1,401, 0.60%, 0.00%), (META, 1,401, 0.60%, 0.00%), (EA, 6,592, 0.60%, 0.00%), (META, 1,401, 0.60%, 0.00%), (META, 1,401, 0.60%, 0.00%), (META, 1,401, 0.60%, 0.00%), (META, 1,401, 0.60%, 0.00%), (META, 1,401, 0.59%, 0.00%), (PHM, 8,387, 0.59%, 0.00%), (ABT, 7,773, 0.59%, 0.00%), (ABT, 7,773, 0.59%, 0.00%), (ABT, 7,773, 0.59%, 0.00%), (ABT, 7,773, 0.59%, 0.00%), (ABT, 7,773, 0.59%, 0.00%), (ABT, 7,773, 0.59%, 0.00%), (ABT, 7,773, 0.59%, 0.00%), (ABT, 7,773, 0.59%, 0.00%), (AMZN, 4,192, 0.59%, 0.00%), (META, 1,401, 0.58%, 0.00%), (AMZN, 4,192, 0.58%, 0.00%), (ADP, 3,158, 0.58%, 0.00%), (AMZN, 4,192, 0.58%, 0.00%), (KLAC, 1,046, 0.58%, 0.00%), (AMZN, 4,192, 0.58%, 0.00%), (AMZN, 4,192, 0.58%, 0.00%), (SNA, 2,947, 0.58%, 0.01%), (TRV, 3,760, 0.58%, 0.00%), (HIG, 7,914, 0.58%, 0.00%), (HD, 2,549, 0.58%, 0.00%), (HD, 2,549, 0.58%, 0.00%), (HD, 2,549, 0.58%, 0.00%), (HD, 2,549, 0.58%, 0.00%), (HD, 2,549, 0.58%, 0.00%), (HD, 2,549, 0.58%, 0.00%), (HD, 2,549, 0.58%, 0.00%), (MSFT, 1,882, 0.58%, 0.00%), (AMZN, 4,192, 0.58%, 0.00%), (HD, 2,549, 0.58%, 0.00%), (MSFT, 1,882, 0.58%, 0.00%), (MSFT, 1,882, 0.57%, 0.00%), (MSFT, 1,882, 0.57%, 0.00%), (MSFT, 1,882, 0.57%, 0.00%), (AMZN, 4,192, 0.57%, 0.00%), (MSFT, 1,882, 0.57%, 0.00%), (ABBV, 4,973, 0.57%, 0.00%), (ABBV, 4,973, 0.57%, 0.00%), (ABBV, 4,973, 0.57%, 0.00%), (ABBV, 4,973, 0.57%, 0.00%), (ABBV, 4,973, 0.57%, 0.00%), (ABBV, 4,973, 0.56%, 0.00%), (ABBV, 4,973, 0.56%, 0.00%), (MSFT, 1,882, 0.56%, 0.00%), (AMZN, 4,192, 0.56%, 0.00%), (ABBV, 4,973, 0.56%, 0.00%), (PCAR, 9,347, 0.56%, 0.00%), (MSFT, 1,882, 0.56%, 0.00%), (ROST, 6,585, 0.55%, 0.00%), (NFLX, 771, 0.55%, 0.00%), (NFLX, 771, 0.55%, 0.00%), (NFLX, 771, 0.55%, 0.00%), (NFLX, 771, 0.55%, 0.00%), (NFLX, 771, 0.55%, 0.00%), (NFLX, 771, 0.55%, 0.00%), (CTSH, 11,946, 0.55%, 0.00%), (CRM, 3,386, 0.54%, 0.00%), (CRM, 3,386, 0.54%, 0.00%), (CRM, 3,386, 0.54%, 0.00%), (CRM, 3,386, 0.54%, 0.00%), (CRM, 3,386, 0.54%, 0.00%), (BRK/B, 1,872, 0.54%, 0.00%), (CRM, 3,386, 0.54%, 0.00%), (BRK/B, 1,872, 0.54%, 0.00%), (CRM, 3,386, 0.54%, 0.00%), (BRK/B, 1,872, 0.54%, 0.00%), (BRK/B, 1,872, 0.54%, 0.00%), (BRK/B, 1,872, 0.54%, 0.00%), (CRM, 3,386, 0.54%, 0.00%), (NEE, 12,663, 0.54%, 0.00%), (NEE, 12,663, 0.54%, 0.00%), (NEE, 12,663, 0.54%, 0.00%), (NEE, 12,663, 0.54%, 0.00%), (NEE, 12,663, 0.54%, 0.00%), (NEE, 12,663, 0.54%, 0.00%), (BRK/B, 1,872, 0.54%, 0.00%), (NEE, 12,663, 0.54%, 0.00%), (NEE, 12,663, 0.54%, 0.00%), (CB, 3,389, 0.54%, 0.00%), (BRK/B, 1,872, 0.54%, 0.00%), (BRK/B, 1,872, 0.54%, 0.00%), (SYF, 12,343, 0.54%, 0.00%), (AMD, 5,165, 0.54%, 0.00%), (AMD, 5,165, 0.54%, 0.00%), (MA, 1,576, 0.54%, 0.00%), (MA, 1,576, 0.54%, 0.00%), (AMD, 5,165, 0.54%, 0.00%), (AMD, 5,165, 0.54%, 0.00%), (AMD, 5,165, 0.54%, 0.00%), (MA, 1,576, 0.54%, 0.00%), (MA, 1,576, 0.54%, 0.00%), (MA, 1,576, 0.54%, 0.00%), (MA, 1,576, 0.54%, 0.00%), (BAC, 18,445, 0.54%, 0.00%), (BAC, 18,445, 0.54%, 0.00%), (BAC, 18,445, 0.54%, 0.00%), (BAC, 18,445, 0.54%, 0.00%), (BAC, 18,445, 0.54%, 0.00%), (BAC, 18,445, 0.54%, 0.00%), (AMD, 5,165, 0.54%, 0.00%), (BAC, 18,445, 0.54%, 0.00%), (MA, 1,576, 0.53%, 0.00%), (BAC, 18,445, 0.53%, 0.00%), (CB, 3,335, 0.53%, 0.00%), (MA, 1,576, 0.53%, 0.00%), (AMD, 5,165, 0.53%, 0.00%), (BA, 3,806, 0.53%, 0.00%), (BA, 3,806, 0.53%, 0.00%), (BA, 3,806, 0.53%, 0.00%), (BA, 3,806, 0.53%, 0.00%), (BA, 3,806, 0.53%, 0.00%), (BA, 3,806, 0.53%, 0.00%), (AMD, 5,165, 0.53%, 0.00%), (BA, 3,806, 0.53%, 0.00%), (KO, 12,891, 0.53%, 0.00%), (KO, 12,891, 0.53%, 0.00%), (KO, 12,891, 0.53%, 0.00%), (KO, 12,891, 0.53%, 0.00%), (KO, 12,891, 0.53%, 0.00%), (CRM, 3,297, 0.53%, 0.00%), (KO, 12,891, 0.53%, 0.00%), (CRM, 3,297, 0.53%, 0.00%), (CRM, 3,297, 0.53%, 0.00%), (CRM, 3,297, 0.53%, 0.00%), (CRM, 3,297, 0.53%, 0.00%), (KO, 12,891, 0.53%, 0.00%), (KO, 12,891, 0.53%, 0.00%), (CRM, 3,297, 0.53%, 0.00%), (BA, 3,806, 0.53%, 0.00%), (CRM, 3,297, 0.53%, 0.00%), (CRM, 3,297, 0.53%, 0.00%), (BKNG, 156, 0.52%, 0.00%), (NKE, 11,013, 0.52%, 0.00%), (NKE, 11,013, 0.52%, 0.00%), (NKE, 11,013, 0.52%, 0.00%), (NKE, 11,013, 0.52%, 0.00%), (NKE, 11,013, 0.52%, 0.00%), (NKE, 11,013, 0.52%, 0.00%), (WM, 3,797, 0.52%, 0.00%), (UNH, 3,072, 0.52%, 0.00%), (UNH, 3,072, 0.52%, 0.00%), (UNH, 3,072, 0.52%, 0.00%), (NKE, 11,013, 0.52%, 0.00%), (UNH, 3,072, 0.52%, 0.00%), (UNH, 3,072, 0.52%, 0.00%), (PAYC, 3,616, 0.52%, 0.01%), (NKE, 11,013, 0.52%, 0.00%), (UNH, 3,072, 0.52%, 0.00%), (UNH, 3,072, 0.52%, 0.00%), (SO, 9,059, 0.52%, 0.00%), (SO, 9,059, 0.52%, 0.00%), (SO, 9,059, 0.52%, 0.00%), (SO, 9,059, 0.51%, 0.00%), (SO, 9,059, 0.51%, 0.00%), (SO, 9,059, 0.51%, 0.00%), (SO, 9,059, 0.51%, 0.00%), (SO, 9,059, 0.51%, 0.00%), (UNH, 3,072, 0.51%, 0.00%), (GE, 3,160, 0.51%, 0.00%), (GE, 3,160, 0.51%, 0.00%), (GE, 3,160, 0.51%, 0.00%), (GE, 3,160, 0.51%, 0.00%), (GE, 3,160, 0.51%, 0.00%), (GE, 3,160, 0.51%, 0.00%), (GE, 3,160, 0.51%, 0.00%), (GE, 3,160, 0.51%, 0.00%), (JNJ, 5,047, 0.50%, 0.00%), (JNJ, 5,047, 0.50%, 0.00%), (JNJ, 5,047, 0.50%, 0.00%), (JNJ, 5,047, 0.50%, 0.00%), (JNJ, 5,047, 0.50%, 0.00%), (JNJ, 5,047, 0.50%, 0.00%), (JNJ, 5,047, 0.50%, 0.00%), (JNJ, 5,047, 0.50%, 0.00%), (IBM, 3,189, 0.50%, 0.00%), (IBM, 3,189, 0.50%, 0.00%), (PLTR, 5,265, 0.50%, 0.00%), (BRK/B, 1,723, 0.50%, 0.00%), (IBM, 3,189, 0.50%, 0.00%), (IBM, 3,189, 0.50%, 0.00%), (IBM, 3,189, 0.50%, 0.00%), (PLTR, 5,265, 0.50%, 0.00%), (PLTR, 5,265, 0.50%, 0.00%), (PG, 5,310, 0.50%, 0.00%), (PLTR, 5,265, 0.50%, 0.00%), (PLTR, 5,265, 0.50%, 0.00%), (PG, 5,310, 0.50%, 0.00%), (PG, 5,310, 0.50%, 0.00%), (IBM, 3,189, 0.50%, 0.00%), (BRK/B, 1,723, 0.50%, 0.00%), (PG, 5,310, 0.50%, 0.00%), (PG, 5,310, 0.50%, 0.00%), (PLTR, 5,265, 0.50%, 0.00%), (BRK/B, 1,723, 0.50%, 0.00%), (BRK/B, 1,723, 0.50%, 0.00%), (BRK/B, 1,723, 0.50%, 0.00%), (IBM, 3,189, 0.50%, 0.00%), (PG, 5,310, 0.50%, 0.00%), (PLTR, 5,265, 0.50%, 0.00%), (IBM, 3,189, 0.50%, 0.00%), (BRK/B, 1,723, 0.50%, 0.00%), (PG, 5,310, 0.50%, 0.00%), (CVX, 5,333, 0.50%, 0.00%), (PLTR, 5,265, 0.50%, 0.00%), (CVX, 5,333, 0.50%, 0.00%), (CVX, 5,333, 0.50%, 0.00%), (PG, 5,310, 0.50%, 0.00%), (CVX, 5,333, 0.50%, 0.00%), (CVX, 5,333, 0.50%, 0.00%), (BRK/B, 1,723, 0.50%, 0.00%), (CVX, 5,333, 0.50%, 0.00%), (BRK/B, 1,723, 0.50%, 0.00%), (CVX, 5,333, 0.50%, 0.00%), (CVX, 5,333, 0.50%, 0.00%), (GOOGL, 4,313, 0.50%, 0.00%), (GOOGL, 4,313, 0.50%, 0.00%), (GOOGL, 4,313, 0.50%, 0.00%), (GOOGL, 4,313, 0.50%, 0.00%), (GOOGL, 4,313, 0.49%, 0.00%), (GOOGL, 4,313, 0.49%, 0.00%), (WMT, 8,401, 0.49%, 0.00%), (WMT, 8,401, 0.49%, 0.00%), (WMT, 8,401, 0.49%, 0.00%), (WMT, 8,401, 0.49%, 0.00%), (WMT, 8,401, 0.49%, 0.00%), (WMT, 8,401, 0.49%, 0.00%), (GOOGL, 4,313, 0.49%, 0.00%), (WMT, 8,401, 0.49%, 0.00%), (WMT, 8,401, 0.49%, 0.00%), (GOOGL, 4,313, 0.49%, 0.00%), (PM, 5,170, 0.49%, 0.00%), (PM, 5,170, 0.49%, 0.00%), (PM, 5,170, 0.49%, 0.00%), (PM, 5,170, 0.49%, 0.00%), (PM, 5,170, 0.49%, 0.00%), (PM, 5,170, 0.49%, 0.00%), (PM, 5,170, 0.49%, 0.00%), (PM, 5,170, 0.49%, 0.00%), (AAPL, 3,826, 0.49%, 0.00%), (LEN, 6,977, 0.49%, 0.00%), (BKR, 17,580, 0.49%, 0.00%), (AAPL, 3,826, 0.49%, 0.00%), (AAPL, 3,826, 0.49%, 0.00%), (AAPL, 3,826, 0.49%, 0.00%), (AAPL, 3,826, 0.49%, 0.00%), (COST, 858, 0.48%, 0.00%), (COST, 858, 0.48%, 0.00%), (COST, 858, 0.48%, 0.00%), (COST, 858, 0.48%, 0.00%), (COST, 858, 0.48%, 0.00%), (COST, 858, 0.48%, 0.00%), (COST, 858, 0.48%, 0.00%), (AAPL, 3,826, 0.48%, 0.00%), (ISRG, 1,596, 0.48%, 0.00%), (ISRG, 1,596, 0.48%, 0.00%), (ISRG, 1,596, 0.48%, 0.00%), (ISRG, 1,596, 0.48%, 0.00%), (ISRG, 1,596, 0.48%, 0.00%), (CAT, 1,831, 0.48%, 0.00%), (CAT, 1,831, 0.48%, 0.00%), (CAT, 1,831, 0.48%, 0.00%), (ISRG, 1,596, 0.48%, 0.00%), (CAT, 1,831, 0.48%, 0.00%), (CAT, 1,831, 0.48%, 0.00%), (CAT, 1,831, 0.48%, 0.00%), (ISRG, 1,596, 0.48%, 0.00%), (CAT, 1,831, 0.48%, 0.00%), (CAT, 1,831, 0.48%, 0.00%), (ETN, 2,012, 0.48%, 0.00%), (ETN, 2,012, 0.48%, 0.00%), (ETN, 2,012, 0.48%, 0.00%), (ETN, 2,012, 0.48%, 0.00%), (ETN, 2,012, 0.48%, 0.00%), (ETN, 2,012, 0.47%, 0.00%), (ETN, 2,012, 0.47%, 0.00%), (BRK/B, 1,630, 0.47%, 0.00%), (BRK/B, 1,630, 0.47%, 0.00%), (BRK/B, 1,630, 0.47%, 0.00%), (BRK/B, 1,630, 0.47%, 0.00%), (BRK/B, 1,630, 0.47%, 0.00%), (RTX, 5,047, 0.47%, 0.00%), (RTX, 5,047, 0.47%, 0.00%), (RTX, 5,047, 0.47%, 0.00%), (RTX, 5,047, 0.47%, 0.00%), (RTX, 5,047, 0.47%, 0.00%), (RTX, 5,047, 0.47%, 0.00%), (RTX, 5,047, 0.47%, 0.00%), (BRK/B, 1,630, 0.47%, 0.00%), (RTX, 5,047, 0.47%, 0.00%), (AAPL, 3,826, 0.47%, 0.00%), (BRK/B, 1,630, 0.47%, 0.00%), (WSM, 4,179, 0.47%, 0.00%), (BRK/B, 1,630, 0.47%, 0.00%), (ACN, 2,816, 0.47%, 0.00%), (ACN, 2,816, 0.47%, 0.00%), (ACN, 2,816, 0.47%, 0.00%), (ACN, 2,816, 0.47%, 0.00%), (ACN, 2,816, 0.47%, 0.00%), (ACN, 2,816, 0.47%, 0.00%), (ACN, 2,816, 0.47%, 0.00%), (ACN, 2,816, 0.47%, 0.00%), (ORCL, 3,179, 0.47%, 0.00%), (ORCL, 3,179, 0.47%, 0.00%), (ORCL, 3,179, 0.47%, 0.00%), (ORCL, 3,179, 0.47%, 0.00%), (ORCL, 3,179, 0.47%, 0.00%), (ORCL, 3,179, 0.47%, 0.00%), (ORCL, 3,179, 0.47%, 0.00%), (ORCL, 3,179, 0.46%, 0.00%), (AAPL, 3,826, 0.46%, 0.00%), (WFC, 9,200, 0.46%, 0.00%), (WFC, 9,200, 0.46%, 0.00%), (WFC, 9,200, 0.46%, 0.00%), (WFC, 9,200, 0.46%, 0.00%), (WFC, 9,200, 0.46%, 0.00%), (WFC, 9,200, 0.46%, 0.00%), (WFC, 9,200, 0.46%, 0.00%), (WFC, 9,200, 0.46%, 0.00%), (CSCO, 11,368, 0.46%, 0.00%), (CSCO, 11,368, 0.46%, 0.00%), (CSCO, 11,368, 0.46%, 0.00%), (CSCO, 11,368, 0.46%, 0.00%), (CSCO, 11,368, 0.46%, 0.00%), (CSCO, 11,368, 0.46%, 0.00%), (CSCO, 11,368, 0.46%, 0.00%), (CSCO, 11,368, 0.46%, 0.00%), (QCOM, 4,768, 0.46%, 0.00%), (QCOM, 4,768, 0.46%, 0.00%), (QCOM, 4,768, 0.46%, 0.00%), (QCOM, 4,768, 0.46%, 0.00%), (QCOM, 4,768, 0.46%, 0.00%), (QCOM, 4,768, 0.46%, 0.00%), (INTU, 967, 0.46%, 0.00%), (INTU, 967, 0.46%, 0.00%), (INTU, 967, 0.46%, 0.00%), (INTU, 967, 0.46%, 0.00%), (INTU, 967, 0.46%, 0.00%), (INTU, 967, 0.46%, 0.00%), (GS, 1,052, 0.46%, 0.00%), (GS, 1,052, 0.46%, 0.00%), (GS, 1,052, 0.46%, 0.00%), (GS, 1,052, 0.46%, 0.00%), (GS, 1,052, 0.46%, 0.00%), (QCOM, 4,768, 0.46%, 0.00%), (GS, 1,052, 0.46%, 0.00%), (GOOGL, 3,970, 0.46%, 0.00%), (QCOM, 4,768, 0.46%, 0.00%), (GOOGL, 3,970, 0.46%, 0.00%), (GOOGL, 3,970, 0.46%, 0.00%), (GOOGL, 3,970, 0.46%, 0.00%), (DUK, 6,387, 0.46%, 0.00%), (GOOGL, 3,970, 0.46%, 0.00%), (GOOGL, 3,970, 0.45%, 0.00%), (GOOGL, 3,970, 0.45%, 0.00%), (AVGO, 2,595, 0.45%, 0.00%), (LIN, 1,608, 0.45%, 0.00%), (AVGO, 2,595, 0.45%, 0.00%), (GOOGL, 3,970, 0.45%, 0.00%), (AVGO, 2,595, 0.45%, 0.00%), (AVGO, 2,595, 0.45%, 0.00%), (AVGO, 2,595, 0.45%, 0.00%), (HON, 3,310, 0.45%, 0.00%), (HON, 3,310, 0.45%, 0.00%), (HON, 3,310, 0.45%, 0.00%), (HON, 3,310, 0.45%, 0.00%), (HON, 3,310, 0.45%, 0.00%), (HON, 3,310, 0.45%, 0.00%), (AVGO, 2,595, 0.45%, 0.00%), (HON, 3,310, 0.45%, 0.00%), (HON, 3,310, 0.45%, 0.00%), (AVGO, 2,595, 0.45%, 0.00%), (AMT, 3,263, 0.45%, 0.00%), (UBER, 8,197, 0.45%, 0.00%), (UBER, 8,197, 0.45%, 0.00%), (UBER, 8,197, 0.45%, 0.00%), (UBER, 8,197, 0.45%, 0.00%), (UBER, 8,197, 0.45%, 0.00%), (UBER, 8,197, 0.45%, 0.00%), (UBER, 8,197, 0.44%, 0.00%), (UBER, 8,197, 0.44%, 0.00%), (AVGO, 2,595, 0.44%, 0.00%), (ABT, 5,789, 0.44%, 0.00%), (ABT, 5,789, 0.44%, 0.00%), (ABT, 5,789, 0.44%, 0.00%), (ABT, 5,789, 0.44%, 0.00%), (ABT, 5,789, 0.44%, 0.00%), (ABT, 5,789, 0.44%, 0.00%), (ABT, 5,789, 0.44%, 0.00%), (ABT, 5,789, 0.44%, 0.00%), (GOOGL, 3,755, 0.43%, 0.00%), (HD, 1,899, 0.43%, 0.00%), (HD, 1,899, 0.43%, 0.00%), (HD, 1,899, 0.43%, 0.00%), (GOOGL, 3,755, 0.43%, 0.00%), (GOOGL, 3,755, 0.43%, 0.00%), (GOOGL, 3,755, 0.43%, 0.00%), (HD, 1,899, 0.43%, 0.00%), (HD, 1,899, 0.43%, 0.00%), (GOOGL, 3,755, 0.43%, 0.00%), (HD, 1,899, 0.43%, 0.00%), (GOOGL, 3,755, 0.43%, 0.00%), (HD, 1,899, 0.43%, 0.00%), (HD, 1,899, 0.43%, 0.00%), (GOOGL, 3,755, 0.43%, 0.00%), (MET, 9,168, 0.43%, 0.00%), (GOOGL, 3,755, 0.43%, 0.00%), (JPM, 2,371, 0.42%, 0.00%), (JPM, 2,371, 0.42%, 0.00%), (CSCO, 10,462, 0.42%, 0.00%), (CSCO, 10,462, 0.42%, 0.00%), (CSCO, 10,462, 0.42%, 0.00%), (CSCO, 10,462, 0.42%, 0.00%), (CSCO, 10,462, 0.42%, 0.00%), (JPM, 2,371, 0.42%, 0.00%), (JPM, 2,371, 0.42%, 0.00%), (JPM, 2,371, 0.42%, 0.00%), (CSCO, 10,462, 0.42%, 0.00%), (CSCO, 10,462, 0.42%, 0.00%), (CSCO, 10,462, 0.42%, 0.00%), (JPM, 2,371, 0.42%, 0.00%), (NFLX, 594, 0.42%, 0.00%), (NFLX, 594, 0.42%, 0.00%), (NFLX, 594, 0.42%, 0.00%), (NFLX, 594, 0.42%, 0.00%), (JPM, 2,371, 0.42%, 0.00%), (MCD, 2,369, 0.42%, 0.00%), (MCD, 2,369, 0.42%, 0.00%), (MCD, 2,369, 0.42%, 0.00%), (MCD, 2,369, 0.42%, 0.00%), (MCD, 2,369, 0.42%, 0.00%), (ABBV, 3,704, 0.42%, 0.00%), (ABBV, 3,704, 0.42%, 0.00%), (MCD, 2,369, 0.42%, 0.00%), (NFLX, 594, 0.42%, 0.00%), (JPM, 2,371, 0.42%, 0.00%), (ABBV, 3,704, 0.42%, 0.00%), (ABBV, 3,704, 0.42%, 0.00%), (ABBV, 3,704, 0.42%, 0.00%), (MCD, 2,369, 0.42%, 0.00%), (TSLA, 2,153, 0.42%, 0.00%), (MCD, 2,369, 0.42%, 0.00%), (UNP, 3,060, 0.42%, 0.00%), (UNP, 3,060, 0.42%, 0.00%), (UNP, 3,060, 0.42%, 0.00%), (ABBV, 3,704, 0.42%, 0.00%), (UNP, 3,060, 0.42%, 0.00%), (UNP, 3,060, 0.42%, 0.00%), (NFLX, 594, 0.42%, 0.00%), (TSLA, 2,153, 0.42%, 0.00%), (UNP, 3,060, 0.42%, 0.00%), (ABBV, 3,704, 0.42%, 0.00%), (UNP, 3,060, 0.42%, 0.00%), (TSLA, 2,153, 0.42%, 0.00%), (UNP, 3,060, 0.42%, 0.00%), (ABBV, 3,704, 0.42%, 0.00%), (NEE, 9,753, 0.42%, 0.00%), (NEE, 9,753, 0.42%, 0.00%), (NEE, 9,753, 0.42%, 0.00%), (NEE, 9,753, 0.42%, 0.00%), (NEE, 9,753, 0.42%, 0.00%), (NEE, 9,753, 0.42%, 0.00%), (NEE, 9,753, 0.42%, 0.00%), (TSLA, 2,153, 0.42%, 0.00%), (TSLA, 2,153, 0.42%, 0.00%), (NEE, 9,753, 0</t>
  </si>
  <si>
    <t>(AVGO, 14,865, 3.12%, 0.00%), (META, 5,281, 2.72%, 0.00%), (BRK/B, 6,143, 2.15%, 0.00%), (GOOGL, 14,153, 1.95%, 0.00%), (CSCO, 37,303, 1.82%, 0.00%), (LIN, 5,278, 1.79%, 0.00%), (AMT, 10,707, 1.76%, 0.00%), (JPM, 7,779, 1.67%, 0.00%), (TSLA, 7,066, 1.65%, 0.00%), (GOOG, 11,528, 1.60%, 0.00%), (XOM, 18,830, 1.51%, 0.00%), (V, 5,792, 1.49%, 0.00%), (LLY, 2,218, 1.30%, 0.00%), (CB, 5,909, 1.14%, 0.00%), (MA, 2,747, 1.12%, 0.00%), (WM, 6,619, 1.09%, 0.00%), (GE, 5,510, 1.07%, 0.00%), (ORCL, 5,543, 0.98%, 0.00%), (NFLX, 1,035, 0.88%, 0.00%), (NEE, 17,003, 0.88%, 0.00%), (UNH, 4,124, 0.83%, 0.00%), (JNJ, 6,776, 0.82%, 0.00%), (PLTR, 7,069, 0.81%, 0.00%), (PG, 7,130, 0.81%, 0.00%), (CVX, 7,160, 0.80%, 0.00%), (WMT, 11,280, 0.80%, 0.00%), (COST, 1,151, 0.78%, 0.00%), (CAT, 2,458, 0.77%, 0.00%), (RTX, 6,776, 0.76%, 0.00%), (ABT, 7,773, 0.71%, 0.00%), (HD, 2,549, 0.69%, 0.00%), (ABBV, 4,973, 0.68%, 0.00%), (BAC, 18,445, 0.64%, 0.00%), (AMD, 5,165, 0.64%, 0.00%), (KO, 12,891, 0.64%, 0.00%), (BA, 3,806, 0.64%, 0.00%), (CRM, 3,297, 0.64%, 0.00%), (BKNG, 156, 0.63%, 0.00%), (NKE, 11,013, 0.62%, 0.00%), (SO, 9,059, 0.62%, 0.00%), (IBM, 3,189, 0.60%, 0.00%), (PM, 5,170, 0.59%, 0.00%), (ISRG, 1,596, 0.57%, 0.00%), (ETN, 2,012, 0.57%, 0.00%), (WFC, 9,200, 0.56%, 0.00%), (INTU, 967, 0.55%, 0.00%), (GS, 1,052, 0.55%, 0.00%), (DUK, 6,387, 0.55%, 0.00%), (HON, 3,310, 0.54%, 0.00%), (UBER, 8,197, 0.53%, 0.00%), (MET, 9,168, 0.52%, 0.00%), (MCD, 2,369, 0.51%, 0.00%), (UNP, 3,060, 0.50%, 0.00%), (NOW, 710, 0.50%, 0.00%), (DE, 1,295, 0.48%, 0.00%), (PEP, 4,562, 0.47%, 0.00%), (T, 21,952, 0.44%, 0.00%), (ACN, 2,155, 0.43%, 0.00%), (MRK, 7,119, 0.43%, 0.00%), (MS, 4,158, 0.43%, 0.00%), (AXP, 1,865, 0.42%, 0.00%), (SPGI, 1,064, 0.41%, 0.00%), (QCOM, 3,536, 0.41%, 0.00%), (ADBE, 1,518, 0.40%, 0.00%), (TXN, 2,903, 0.39%, 0.00%), (BLK, 488, 0.39%, 0.00%), (VZ, 12,879, 0.39%, 0.00%), (COP, 5,542, 0.39%, 0.00%), (MDT, 5,748, 0.38%, 0.00%), (DIS, 4,387, 0.38%, 0.00%), (TMO, 1,077, 0.37%, 0.00%), (SBUX, 5,329, 0.36%, 0.00%), (C, 5,226, 0.36%, 0.00%), (AMAT, 2,624, 0.36%, 0.00%), (SCHW, 5,010, 0.35%, 0.00%), (AMGN, 1,513, 0.33%, 0.00%), (LMT, 1,074, 0.33%, 0.00%), (EMR, 2,903, 0.31%, 0.00%), (MMM, 2,772, 0.30%, 0.00%), (GILD, 3,507, 0.29%, 0.00%), (PFE, 15,949, 0.28%, 0.00%), (DHR, 1,809, 0.27%, 0.00%), (TJX, 2,894, 0.26%, 0.00%), (CVS, 5,640, 0.24%, 0.00%), (MO, 5,635, 0.24%, 0.00%), (LOW, 1,456, 0.24%, 0.00%), (MDLZ, 4,446, 0.22%, 0.00%), (CMCSA, 9,246, 0.22%, 0.00%), (ELV, 1,039, 0.21%, 0.00%), (UPS, 2,847, 0.21%, 0.00%), (INTC, 13,727, 0.21%, 0.00%), (BMY, 5,708, 0.20%, 0.00%), (PYPL, 3,360, 0.19%, 0.00%), (CL, 2,473, 0.16%, 0.00%), (FDX, 875, 0.15%, 0.00%), (USB, 4,311, 0.14%, 0.00%), (TGT, 1,197, 0.09%, 0.00%), (SC23471B, nan, nan%, 0.00%), (SC23473B, nan, nan%, 0.00%), (SP23472B, nan, nan%, 0.00%), (SP23475B, nan, nan%, 0.00%), (SP23474B, nan, nan%, 0.00%), (XP23475B, nan, nan%, 0.00%)</t>
  </si>
  <si>
    <t>(AVGO, 11,072, 3.11%, 0.00%), (META, 3,933, 2.71%, 0.00%), (BRK/B, 4,576, 2.14%, 0.00%), (GOOGL, 10,541, 1.95%, 0.00%), (CSCO, 27,783, 1.81%, 0.00%), (LIN, 3,931, 1.79%, 0.00%), (AMT, 7,974, 1.76%, 0.00%), (JPM, 5,794, 1.67%, 0.00%), (TSLA, 5,263, 1.65%, 0.00%), (GOOG, 8,586, 1.60%, 0.00%), (XOM, 14,025, 1.51%, 0.00%), (V, 4,314, 1.48%, 0.00%), (LLY, 1,652, 1.30%, 0.00%), (CB, 4,401, 1.14%, 0.00%), (MA, 2,046, 1.12%, 0.00%), (WM, 4,930, 1.09%, 0.00%), (GE, 4,104, 1.07%, 0.00%), (ORCL, 4,128, 0.97%, 0.00%), (NFLX, 771, 0.88%, 0.00%), (NEE, 12,663, 0.88%, 0.00%), (UNH, 3,072, 0.83%, 0.00%), (JNJ, 5,047, 0.81%, 0.00%), (PLTR, 5,265, 0.81%, 0.00%), (PG, 5,310, 0.81%, 0.00%), (CVX, 5,333, 0.80%, 0.00%), (WMT, 8,401, 0.79%, 0.00%), (COST, 858, 0.78%, 0.00%), (CAT, 1,831, 0.77%, 0.00%), (RTX, 5,047, 0.76%, 0.00%), (ABT, 5,789, 0.70%, 0.00%), (HD, 1,899, 0.69%, 0.00%), (ABBV, 3,704, 0.68%, 0.00%), (BAC, 13,738, 0.64%, 0.00%), (AMD, 3,847, 0.64%, 0.00%), (KO, 9,601, 0.64%, 0.00%), (BA, 2,834, 0.64%, 0.00%), (CRM, 2,455, 0.64%, 0.00%), (BKNG, 116, 0.63%, 0.00%), (NKE, 8,203, 0.62%, 0.00%), (SO, 6,747, 0.62%, 0.00%), (IBM, 2,375, 0.60%, 0.00%), (PM, 3,851, 0.59%, 0.00%), (ISRG, 1,189, 0.57%, 0.00%), (ETN, 1,498, 0.57%, 0.00%), (WFC, 6,852, 0.55%, 0.00%), (INTU, 720, 0.55%, 0.00%), (GS, 784, 0.55%, 0.00%), (DUK, 4,757, 0.55%, 0.00%), (HON, 2,465, 0.54%, 0.00%), (UBER, 6,105, 0.53%, 0.00%), (MCD, 1,809, 0.52%, 0.00%), (MET, 6,828, 0.51%, 0.00%), (NOW, 529, 0.50%, 0.00%), (UNP, 2,258, 0.50%, 0.00%), (DE, 965, 0.48%, 0.00%), (PEP, 3,398, 0.47%, 0.00%), (T, 16,350, 0.44%, 0.00%), (ACN, 1,605, 0.43%, 0.00%), (MRK, 5,303, 0.43%, 0.00%), (MS, 3,097, 0.43%, 0.00%), (AXP, 1,389, 0.42%, 0.00%), (SPGI, 793, 0.41%, 0.00%), (QCOM, 2,634, 0.40%, 0.00%), (ADBE, 1,131, 0.40%, 0.00%), (TXN, 2,162, 0.39%, 0.00%), (VZ, 9,592, 0.39%, 0.00%), (BLK, 363, 0.39%, 0.00%), (COP, 4,128, 0.38%, 0.00%), (MDT, 4,281, 0.38%, 0.00%), (DIS, 3,267, 0.38%, 0.00%), (TMO, 802, 0.37%, 0.00%), (SBUX, 3,969, 0.36%, 0.00%), (C, 3,892, 0.36%, 0.00%), (AMAT, 1,954, 0.36%, 0.00%), (SCHW, 3,732, 0.35%, 0.00%), (AMGN, 1,127, 0.33%, 0.00%), (LMT, 800, 0.33%, 0.00%), (EMR, 2,162, 0.31%, 0.00%), (MMM, 2,065, 0.30%, 0.00%), (GILD, 2,612, 0.29%, 0.00%), (PFE, 11,879, 0.28%, 0.00%), (DHR, 1,347, 0.27%, 0.00%), (TJX, 2,156, 0.26%, 0.00%), (CVS, 4,200, 0.24%, 0.00%), (MO, 4,197, 0.24%, 0.00%), (LOW, 1,084, 0.24%, 0.00%), (MDLZ, 3,312, 0.22%, 0.00%), (CMCSA, 6,886, 0.22%, 0.00%), (ELV, 774, 0.21%, 0.00%), (UPS, 2,120, 0.21%, 0.00%), (INTC, 10,224, 0.21%, 0.00%), (BMY, 4,251, 0.20%, 0.00%), (PYPL, 2,503, 0.19%, 0.00%), (CL, 1,842, 0.16%, 0.00%), (FDX, 652, 0.15%, 0.00%), (USB, 3,211, 0.14%, 0.00%), (TGT, 892, 0.09%, 0.00%), (SC22171B, nan, nan%, 0.00%), (SC22173B, nan, nan%, 0.00%), (SP22172B, nan, nan%, 0.00%), (SP22175B, nan, nan%, 0.00%), (SP22174B, nan, nan%, 0.00%), (XP22175B, nan, nan%, 0.00%)</t>
  </si>
  <si>
    <t>(BRK/B, 1,723, 1.77%, 0.00%), (GOOGL, 3,970, 1.62%, 0.00%), (CSCO, 10,462, 1.50%, 0.00%), (LIN, 1,480, 1.48%, 0.00%), (AMT, 3,003, 1.45%, 0.00%), (JPM, 2,182, 1.38%, 0.00%), (TSLA, 1,982, 1.37%, 0.00%), (GOOG, 3,233, 1.32%, 0.00%), (XOM, 5,281, 1.25%, 0.00%), (V, 1,624, 1.23%, 0.00%), (LLY, 622, 1.08%, 0.00%), (CB, 1,657, 0.94%, 0.00%), (MA, 771, 0.93%, 0.00%), (WM, 1,856, 0.90%, 0.00%), (GE, 1,545, 0.89%, 0.00%), (ORCL, 1,555, 0.81%, 0.00%), (NFLX, 290, 0.73%, 0.00%), (NEE, 4,769, 0.73%, 0.00%), (UNH, 1,157, 0.69%, 0.00%), (JNJ, 1,900, 0.67%, 0.00%), (PLTR, 1,983, 0.67%, 0.00%), (PG, 2,000, 0.67%, 0.00%), (CVX, 2,008, 0.66%, 0.00%), (WMT, 3,164, 0.66%, 0.00%), (COST, 323, 0.64%, 0.00%), (CAT, 689, 0.64%, 0.00%), (RTX, 1,900, 0.63%, 0.00%), (ABT, 2,180, 0.58%, 0.00%), (HD, 715, 0.57%, 0.00%), (ABBV, 1,395, 0.56%, 0.00%), (BAC, 5,173, 0.53%, 0.00%), (AMD, 1,449, 0.53%, 0.00%), (BA, 1,067, 0.53%, 0.00%), (KO, 3,616, 0.53%, 0.00%), (CRM, 925, 0.53%, 0.00%), (BKNG, 44, 0.52%, 0.00%), (NKE, 3,089, 0.52%, 0.00%), (SO, 2,541, 0.51%, 0.00%), (IBM, 894, 0.50%, 0.00%), (PM, 1,450, 0.49%, 0.00%), (ISRG, 448, 0.48%, 0.00%), (ETN, 564, 0.47%, 0.00%), (MCD, 745, 0.47%, 0.00%), (WFC, 2,580, 0.46%, 0.00%), (INTU, 271, 0.45%, 0.00%), (GS, 295, 0.45%, 0.00%), (DUK, 1,791, 0.45%, 0.00%), (HON, 928, 0.45%, 0.00%), (UBER, 2,299, 0.44%, 0.00%), (MET, 2,571, 0.43%, 0.00%), (UNP, 862, 0.42%, 0.00%), (NOW, 199, 0.42%, 0.00%), (DE, 363, 0.39%, 0.00%), (PEP, 1,279, 0.39%, 0.00%), (T, 6,157, 0.36%, 0.00%), (MRK, 1,997, 0.36%, 0.00%), (ACN, 604, 0.36%, 0.00%), (MS, 1,166, 0.35%, 0.00%), (AXP, 523, 0.35%, 0.00%), (SPGI, 298, 0.34%, 0.00%), (QCOM, 992, 0.34%, 0.00%), (ADBE, 426, 0.33%, 0.00%), (BLK, 137, 0.33%, 0.00%), (TXN, 814, 0.33%, 0.00%), (VZ, 3,612, 0.33%, 0.00%), (COP, 1,554, 0.32%, 0.00%), (MDT, 1,612, 0.32%, 0.00%), (DIS, 1,230, 0.31%, 0.00%), (TMO, 302, 0.31%, 0.00%), (SBUX, 1,495, 0.30%, 0.00%), (C, 1,466, 0.30%, 0.00%), (AMAT, 736, 0.29%, 0.00%), (SCHW, 1,405, 0.29%, 0.00%), (AMGN, 424, 0.27%, 0.00%), (LMT, 301, 0.27%, 0.00%), (EMR, 814, 0.26%, 0.00%), (MMM, 778, 0.25%, 0.00%), (GILD, 984, 0.24%, 0.00%), (PFE, 4,473, 0.23%, 0.00%), (DHR, 507, 0.22%, 0.00%), (TJX, 812, 0.22%, 0.00%), (CVS, 1,582, 0.20%, 0.00%), (MO, 1,581, 0.20%, 0.00%), (LOW, 408, 0.20%, 0.00%), (MDLZ, 1,247, 0.19%, 0.00%), (CMCSA, 2,593, 0.18%, 0.00%), (ELV, 292, 0.18%, 0.00%), (UPS, 798, 0.17%, 0.00%), (INTC, 3,850, 0.17%, 0.00%), (BMY, 1,601, 0.16%, 0.00%), (PYPL, 942, 0.16%, 0.00%), (CL, 694, 0.13%, 0.00%), (FDX, 245, 0.13%, 0.00%), (USB, 1,209, 0.12%, 0.00%), (TGT, 336, 0.08%, 0.00%), (SC28181B, nan, nan%, 0.00%), (SC28183B, nan, nan%, 0.00%), (SP28182B, nan, nan%, 0.00%), (SP28185B, nan, nan%, 0.00%), (SP28184B, nan, nan%, 0.00%), (XP28185B, nan, nan%, 0.00%)</t>
  </si>
  <si>
    <t>(META, 1,609, 2.62%, 0.00%), (BRK/B, 1,872, 2.07%, 0.00%), (GOOGL, 4,313, 1.88%, 0.00%), (CSCO, 11,368, 1.75%, 0.00%), (LIN, 1,608, 1.72%, 0.00%), (AMT, 3,263, 1.69%, 0.00%), (JPM, 2,371, 1.61%, 0.00%), (TSLA, 2,153, 1.59%, 0.00%), (GOOG, 3,513, 1.54%, 0.00%), (XOM, 5,738, 1.46%, 0.00%), (V, 1,765, 1.43%, 0.00%), (LLY, 676, 1.25%, 0.00%), (CB, 1,801, 1.10%, 0.00%), (MA, 837, 1.08%, 0.00%), (WM, 2,017, 1.05%, 0.00%), (GE, 1,679, 1.03%, 0.00%), (ORCL, 1,689, 0.94%, 0.00%), (NFLX, 316, 0.85%, 0.00%), (NEE, 5,181, 0.84%, 0.00%), (UNH, 1,257, 0.80%, 0.00%), (JNJ, 2,065, 0.78%, 0.00%), (PLTR, 2,154, 0.78%, 0.00%), (PG, 2,173, 0.78%, 0.00%), (CVX, 2,182, 0.77%, 0.00%), (WMT, 3,437, 0.77%, 0.00%), (COST, 351, 0.75%, 0.00%), (CAT, 749, 0.74%, 0.00%), (RTX, 2,065, 0.74%, 0.00%), (ABT, 2,369, 0.68%, 0.00%), (HD, 777, 0.67%, 0.00%), (ABBV, 1,516, 0.65%, 0.00%), (BAC, 5,621, 0.62%, 0.00%), (AMD, 1,574, 0.62%, 0.00%), (BA, 1,160, 0.61%, 0.00%), (KO, 3,929, 0.61%, 0.00%), (CRM, 1,005, 0.61%, 0.00%), (NKE, 3,356, 0.60%, 0.00%), (BKNG, 47, 0.60%, 0.00%), (SO, 2,761, 0.60%, 0.00%), (IBM, 972, 0.58%, 0.00%), (PM, 1,576, 0.57%, 0.00%), (ISRG, 486, 0.55%, 0.00%), (ETN, 613, 0.55%, 0.00%), (WFC, 2,804, 0.53%, 0.00%), (INTU, 295, 0.53%, 0.00%), (GS, 321, 0.53%, 0.00%), (DUK, 1,946, 0.53%, 0.00%), (HON, 1,009, 0.52%, 0.00%), (UBER, 2,498, 0.51%, 0.00%), (MET, 2,794, 0.50%, 0.00%), (MCD, 727, 0.49%, 0.00%), (NOW, 216, 0.48%, 0.00%), (UNP, 919, 0.48%, 0.00%), (DE, 395, 0.46%, 0.00%), (PEP, 1,390, 0.45%, 0.00%), (T, 6,690, 0.42%, 0.00%), (ACN, 657, 0.42%, 0.00%), (MRK, 2,170, 0.42%, 0.00%), (MS, 1,267, 0.41%, 0.00%), (AXP, 568, 0.40%, 0.00%), (SPGI, 324, 0.39%, 0.00%), (QCOM, 1,078, 0.39%, 0.00%), (ADBE, 463, 0.39%, 0.00%), (BLK, 149, 0.38%, 0.00%), (TXN, 885, 0.38%, 0.00%), (VZ, 3,925, 0.38%, 0.00%), (COP, 1,689, 0.37%, 0.00%), (MDT, 1,752, 0.37%, 0.00%), (DIS, 1,337, 0.37%, 0.00%), (TMO, 328, 0.36%, 0.00%), (SBUX, 1,624, 0.35%, 0.00%), (C, 1,593, 0.35%, 0.00%), (AMAT, 800, 0.34%, 0.00%), (SCHW, 1,527, 0.34%, 0.00%), (AMGN, 461, 0.32%, 0.00%), (LMT, 327, 0.32%, 0.00%), (EMR, 885, 0.30%, 0.00%), (MMM, 845, 0.29%, 0.00%), (GILD, 1,069, 0.28%, 0.00%), (PFE, 4,860, 0.27%, 0.00%), (DHR, 551, 0.26%, 0.00%), (TJX, 882, 0.25%, 0.00%), (CVS, 1,719, 0.23%, 0.00%), (LOW, 444, 0.23%, 0.00%), (MO, 1,717, 0.23%, 0.00%), (MDLZ, 1,355, 0.22%, 0.00%), (CMCSA, 2,818, 0.21%, 0.00%), (ELV, 317, 0.21%, 0.00%), (UPS, 868, 0.20%, 0.00%), (INTC, 4,183, 0.20%, 0.00%), (BMY, 1,740, 0.19%, 0.00%), (PYPL, 1,024, 0.18%, 0.00%), (CL, 754, 0.15%, 0.00%), (FDX, 267, 0.15%, 0.00%), (USB, 1,314, 0.14%, 0.00%), (TGT, 365, 0.09%, 0.00%), (SC13481B, nan, nan%, 0.00%), (SC13483B, nan, nan%, 0.00%), (SP13482B, nan, nan%, 0.00%), (SP13485B, nan, nan%, 0.00%), (SP13484B, nan, nan%, 0.00%), (XP13485B, nan, nan%, 0.00%)</t>
  </si>
  <si>
    <t>(AVGO, 8,527, 3.11%, 0.00%), (META, 3,029, 2.72%, 0.00%), (BRK/B, 3,524, 2.14%, 0.00%), (GOOGL, 8,118, 1.95%, 0.00%), (CSCO, 21,397, 1.81%, 0.00%), (LIN, 3,027, 1.78%, 0.00%), (AMT, 6,141, 1.75%, 0.00%), (JPM, 4,462, 1.67%, 0.00%), (TSLA, 4,053, 1.65%, 0.00%), (GOOG, 6,613, 1.60%, 0.00%), (XOM, 10,801, 1.51%, 0.00%), (V, 3,322, 1.48%, 0.00%), (LLY, 1,272, 1.30%, 0.00%), (CB, 3,389, 1.13%, 0.00%), (MA, 1,576, 1.12%, 0.00%), (WM, 3,797, 1.09%, 0.00%), (GE, 3,160, 1.07%, 0.00%), (ORCL, 3,179, 0.97%, 0.00%), (NFLX, 594, 0.88%, 0.00%), (NEE, 9,753, 0.87%, 0.00%), (UNH, 2,366, 0.83%, 0.00%), (JNJ, 3,887, 0.81%, 0.00%), (PLTR, 4,055, 0.81%, 0.00%), (PG, 4,090, 0.81%, 0.00%), (CVX, 4,107, 0.80%, 0.00%), (WMT, 6,470, 0.79%, 0.00%), (COST, 660, 0.78%, 0.00%), (CAT, 1,410, 0.77%, 0.00%), (RTX, 3,887, 0.76%, 0.00%), (ABT, 4,459, 0.70%, 0.00%), (HD, 1,462, 0.69%, 0.00%), (ABBV, 2,853, 0.68%, 0.00%), (BAC, 10,580, 0.64%, 0.00%), (AMD, 2,963, 0.64%, 0.00%), (KO, 7,395, 0.64%, 0.00%), (BA, 2,183, 0.64%, 0.00%), (CRM, 1,891, 0.64%, 0.00%), (BKNG, 89, 0.63%, 0.00%), (NKE, 6,317, 0.62%, 0.00%), (SO, 5,196, 0.62%, 0.00%), (IBM, 1,829, 0.60%, 0.00%), (PM, 2,965, 0.59%, 0.00%), (ISRG, 916, 0.57%, 0.00%), (ETN, 1,154, 0.57%, 0.00%), (MCD, 1,532, 0.57%, 0.00%), (WFC, 5,277, 0.55%, 0.00%), (INTU, 554, 0.55%, 0.00%), (GS, 603, 0.55%, 0.00%), (DUK, 3,664, 0.55%, 0.00%), (HON, 1,899, 0.54%, 0.00%), (UBER, 4,702, 0.53%, 0.00%), (MET, 5,259, 0.51%, 0.00%), (NOW, 407, 0.50%, 0.00%), (DE, 743, 0.48%, 0.00%), (UNP, 1,654, 0.47%, 0.00%), (PEP, 2,617, 0.47%, 0.00%), (T, 12,592, 0.44%, 0.00%), (MRK, 4,084, 0.43%, 0.00%), (ACN, 1,236, 0.43%, 0.00%), (MS, 2,385, 0.43%, 0.00%), (AXP, 1,070, 0.42%, 0.00%), (SPGI, 610, 0.41%, 0.00%), (QCOM, 2,028, 0.41%, 0.00%), (ADBE, 871, 0.40%, 0.00%), (TXN, 1,665, 0.39%, 0.00%), (VZ, 7,387, 0.39%, 0.00%), (BLK, 280, 0.39%, 0.00%), (COP, 3,179, 0.38%, 0.00%), (MDT, 3,297, 0.38%, 0.00%), (DIS, 2,516, 0.38%, 0.00%), (TMO, 617, 0.37%, 0.00%), (SBUX, 3,057, 0.36%, 0.00%), (C, 2,998, 0.36%, 0.00%), (AMAT, 1,505, 0.36%, 0.00%), (SCHW, 2,874, 0.35%, 0.00%), (AMGN, 868, 0.33%, 0.00%), (LMT, 616, 0.33%, 0.00%), (EMR, 1,665, 0.31%, 0.00%), (MMM, 1,590, 0.30%, 0.00%), (GILD, 2,012, 0.29%, 0.00%), (PFE, 9,148, 0.28%, 0.00%), (DHR, 1,038, 0.27%, 0.00%), (TJX, 1,660, 0.26%, 0.00%), (CVS, 3,235, 0.24%, 0.00%), (MO, 3,232, 0.24%, 0.00%), (LOW, 835, 0.24%, 0.00%), (MDLZ, 2,550, 0.22%, 0.00%), (CMCSA, 5,304, 0.22%, 0.00%), (ELV, 596, 0.21%, 0.00%), (UPS, 1,633, 0.21%, 0.00%), (INTC, 7,874, 0.21%, 0.00%), (BMY, 3,274, 0.20%, 0.00%), (PYPL, 1,927, 0.19%, 0.00%), (CL, 1,419, 0.16%, 0.00%), (FDX, 502, 0.15%, 0.00%), (USB, 2,473, 0.14%, 0.00%), (TGT, 687, 0.09%, 0.00%), (SC26771B, nan, nan%, 0.00%), (SC26773B, nan, nan%, 0.00%), (SP26772B, nan, nan%, 0.00%), (SP26775B, nan, nan%, 0.00%), (SP26774B, nan, nan%, 0.00%), (XP26775B, nan, nan%, 0.00%)</t>
  </si>
  <si>
    <t>BK, EBAY, MSFT, JPM, META, GOOGL, BKNG, BLK, RJF, MLI, UNM, AMAT</t>
  </si>
  <si>
    <t>(EWBC, 10,217, 1.89%, 0.01%), (V, 2,955, 1.86%, 0.00%), (AXP, 3,334, 1.85%, 0.00%), (HIG, 7,914, 1.78%, 0.00%), (PHM, 8,387, 1.76%, 0.00%), (TRV, 3,760, 1.75%, 0.00%), (EA, 6,592, 1.75%, 0.00%), (ADP, 3,158, 1.75%, 0.00%), (NVDA, 5,522, 1.74%, 0.00%), (KLAC, 1,046, 1.72%, 0.00%), (SNA, 2,947, 1.72%, 0.01%), (PCAR, 9,347, 1.67%, 0.00%), (ROST, 6,585, 1.65%, 0.00%), (CRM, 3,386, 1.63%, 0.00%), (CTSH, 11,946, 1.61%, 0.00%), (CB, 3,335, 1.61%, 0.00%), (SYF, 12,343, 1.58%, 0.00%), (PAYC, 3,616, 1.53%, 0.01%), (LEN, 6,977, 1.45%, 0.00%), (BKR, 17,580, 1.45%, 0.00%), (ACN, 2,816, 1.41%, 0.00%), (WSM, 4,179, 1.40%, 0.00%), (QCOM, 4,768, 1.39%, 0.00%), (DHI, 4,637, 1.23%, 0.00%), (AFL, 6,529, 1.18%, 0.00%), (ODFL, 4,050, 1.18%, 0.00%), (ELV, 2,264, 1.17%, 0.00%), (AAPL, 3,078, 1.17%, 0.00%), (LRCX, 6,089, 1.08%, 0.00%), (CSCO, 8,844, 1.08%, 0.00%), (GE, 2,134, 1.03%, 0.00%), (STT, 4,902, 1.00%, 0.00%), (MPWR, 754, 0.98%, 0.00%), (CF, 5,602, 0.95%, 0.00%), (PNC, 2,625, 0.91%, 0.00%), (MTB, 2,608, 0.91%, 0.00%), (AMP, 955, 0.89%, 0.00%), (CSL, 1,099, 0.84%, 0.00%), (XOM, 4,103, 0.83%, 0.00%), (COST, 490, 0.82%, 0.00%), (EOG, 3,692, 0.81%, 0.00%), (ABT, 3,529, 0.81%, 0.00%), (EG, 1,242, 0.74%, 0.00%), (GEV, 500, 0.57%, 0.00%), (NTRS, 2,275, 0.54%, 0.00%), (CRBG, 7,817, 0.51%, 0.00%), (MA, 475, 0.48%, 0.00%), (JNJ, 1,524, 0.46%, 0.00%), (DOV, 1,330, 0.44%, 0.00%), (ACM, 2,153, 0.44%, 0.00%), (CINF, 1,583, 0.43%, 0.00%), (WTFC, 1,833, 0.43%, 0.00%), (SLM, 7,305, 0.42%, 0.00%), (MCK, 329, 0.42%, 0.00%), (MTG, 8,940, 0.41%, 0.00%), (EQH, 4,411, 0.41%, 0.00%), (JXN, 2,568, 0.41%, 0.00%), (LNC, 6,223, 0.39%, 0.00%), (ALL, 1,127, 0.39%, 0.00%), (NKE, 2,773, 0.39%, 0.00%), (NUE, 1,521, 0.38%, 0.00%), (ADM, 3,789, 0.37%,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</si>
  <si>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3.31%, 0.00%), (META, 1,401, 2.79%, 0.00%), (BRK/B, 1,630, 2.22%, 0.00%), (GOOGL, 3,755, 2.08%, 0.00%), (CSCO, 9,897, 1.91%, 0.00%), (LIN, 1,400, 1.88%, 0.00%), (AMT, 2,841, 1.74%, 0.00%), (JPM, 2,064, 1.74%, 0.00%), (GOOG, 3,059, 1.70%, 0.00%), (TSLA, 1,875, 1.70%, 0.00%), (XOM, 4,996, 1.59%, 0.00%), (V, 1,537, 1.54%, 0.00%), (LLY, 588, 1.29%, 0.00%), (CB, 1,568, 1.20%, 0.00%), (WM, 1,756, 1.18%, 0.00%), (MA, 729, 1.17%, 0.00%), (GE, 1,462, 1.12%, 0.00%), (ORCL, 1,471, 1.04%, 0.00%), (NEE, 4,511, 0.92%, 0.00%), (NFLX, 275, 0.91%, 0.00%), (JNJ, 1,798, 0.86%, 0.00%), (CVX, 1,900, 0.84%, 0.00%), (PG, 1,892, 0.84%, 0.00%), (WMT, 2,993, 0.84%, 0.00%), (PLTR, 1,876, 0.83%, 0.00%), (UNH, 1,094, 0.82%, 0.00%), (COST, 305, 0.81%, 0.00%), (RTX, 1,798, 0.80%, 0.00%), (CAT, 652, 0.79%, 0.00%), (MCD, 894, 0.77%, 0.00%), (ABT, 2,062, 0.75%, 0.00%), (HD, 676, 0.72%, 0.00%), (ABBV, 1,320, 0.72%, 0.00%), (AMD, 1,370, 0.68%, 0.00%), (KO, 3,420, 0.67%, 0.00%), (BAC, 4,894, 0.67%, 0.00%), (CRM, 875, 0.67%, 0.00%), (BKNG, 41, 0.65%, 0.00%), (SO, 2,404, 0.65%, 0.00%), (BA, 1,010, 0.65%, 0.00%), (NKE, 2,922, 0.65%, 0.00%), (PM, 1,372, 0.63%, 0.00%), (IBM, 846, 0.63%, 0.00%), (ISRG, 424, 0.60%, 0.00%), (ETN, 534, 0.59%, 0.00%), (INTU, 256, 0.58%, 0.00%), (GS, 279, 0.58%, 0.00%), (DUK, 1,695, 0.57%, 0.00%), (WFC, 2,441, 0.57%, 0.00%), (HON, 878, 0.55%, 0.00%), (UBER, 2,175, 0.54%, 0.00%), (MET, 2,432, 0.54%, 0.00%), (NOW, 188, 0.53%, 0.00%), (DE, 344, 0.50%, 0.00%), (PEP, 1,210, 0.49%, 0.00%), (T, 5,824, 0.46%, 0.00%), (ACN, 572, 0.45%, 0.00%), (MS, 1,103, 0.45%, 0.00%), (MRK, 1,889, 0.44%, 0.00%), (AXP, 495, 0.43%, 0.00%), (QCOM, 938, 0.43%, 0.00%), (ADBE, 403, 0.43%, 0.00%), (SPGI, 282, 0.42%, 0.00%), (TXN, 770, 0.42%, 0.00%), (VZ, 3,417, 0.42%, 0.00%), (BLK, 129, 0.41%, 0.00%), (COP, 1,470, 0.41%, 0.00%), (MDT, 1,525, 0.40%, 0.00%), (DIS, 1,164, 0.40%, 0.00%), (UNP, 626, 0.39%, 0.00%), (TMO, 286, 0.39%, 0.00%), (C, 1,387, 0.37%, 0.00%), (AMAT, 696, 0.37%, 0.00%), (SCHW, 1,329, 0.37%, 0.00%), (SBUX, 1,414, 0.37%, 0.00%), (AMGN, 401, 0.35%, 0.00%), (LMT, 285, 0.34%, 0.00%), (EMR, 770, 0.32%, 0.00%), (MMM, 736, 0.32%, 0.00%), (GILD, 931, 0.30%, 0.00%), (PFE, 4,232, 0.29%, 0.00%), (DHR, 480, 0.28%, 0.00%), (TJX, 768, 0.28%, 0.00%), (CVS, 1,496, 0.25%, 0.00%), (MO, 1,495, 0.25%, 0.00%), (LOW, 386, 0.25%, 0.00%), (MDLZ, 1,180, 0.23%, 0.00%), (CMCSA, 2,453, 0.23%, 0.00%), (ELV, 276, 0.23%, 0.00%), (INTC, 3,642, 0.21%, 0.00%), (BMY, 1,515, 0.20%, 0.00%), (UPS, 755, 0.20%, 0.00%), (PYPL, 892, 0.18%, 0.00%), (CL, 656, 0.16%, 0.00%), (FDX, 232, 0.15%, 0.00%), (USB, 1,144, 0.15%, 0.00%), (TGT, 318, 0.09%, 0.00%), (SC31761B, nan, nan%, 0.00%), (SC31763B, nan, nan%, 0.00%), (SP31762B, nan, nan%, 0.00%), (SP31765B, nan, nan%, 0.00%), (SP31764B, nan, nan%, 0.00%), (XP31765B, nan, nan%, 0.00%)</t>
  </si>
  <si>
    <t>(AVGO, 2,595, 3.19%, 0.00%), (META, 922, 2.69%, 0.00%), (BRK/B, 1,072, 2.14%, 0.00%), (GOOGL, 2,471, 2.00%, 0.00%), (CSCO, 6,512, 1.85%, 0.00%), (LIN, 921, 1.81%, 0.00%), (AMT, 1,869, 1.68%, 0.00%), (JPM, 1,358, 1.68%, 0.00%), (GOOG, 2,012, 1.64%, 0.00%), (TSLA, 1,233, 1.64%, 0.00%), (XOM, 3,287, 1.54%, 0.00%), (V, 1,011, 1.48%, 0.00%), (LLY, 387, 1.24%, 0.00%), (CB, 1,031, 1.15%, 0.00%), (WM, 1,155, 1.13%, 0.00%), (MA, 480, 1.13%, 0.00%), (GE, 962, 1.08%, 0.00%), (ORCL, 968, 1.00%, 0.00%), (NEE, 2,968, 0.89%, 0.00%), (NFLX, 181, 0.88%, 0.00%), (JNJ, 1,183, 0.83%, 0.00%), (CVX, 1,250, 0.81%, 0.00%), (PG, 1,245, 0.81%, 0.00%), (WMT, 1,969, 0.81%, 0.00%), (PLTR, 1,234, 0.80%, 0.00%), (UNH, 720, 0.79%, 0.00%), (COST, 201, 0.78%, 0.00%), (RTX, 1,183, 0.77%, 0.00%), (CAT, 429, 0.77%, 0.00%), (MCD, 588, 0.74%, 0.00%), (ABT, 1,357, 0.72%, 0.00%), (HD, 445, 0.70%, 0.00%), (ABBV, 868, 0.69%, 0.00%), (AMD, 902, 0.66%, 0.00%), (KO, 2,250, 0.65%, 0.00%), (BAC, 3,220, 0.64%, 0.00%), (CRM, 575, 0.64%, 0.00%), (BKNG, 27, 0.63%, 0.00%), (SO, 1,581, 0.63%, 0.00%), (BA, 664, 0.63%, 0.00%), (NKE, 1,922, 0.62%, 0.00%), (PM, 902, 0.61%, 0.00%), (IBM, 557, 0.61%, 0.00%), (ISRG, 279, 0.58%, 0.00%), (ETN, 351, 0.57%, 0.00%), (INTU, 169, 0.57%, 0.00%), (GS, 184, 0.56%, 0.00%), (DUK, 1,115, 0.55%, 0.00%), (WFC, 1,606, 0.55%, 0.00%), (HON, 578, 0.53%, 0.00%), (UBER, 1,431, 0.52%, 0.00%), (MET, 1,600, 0.52%, 0.00%), (NOW, 124, 0.51%, 0.00%), (DE, 226, 0.48%, 0.00%), (PEP, 796, 0.48%, 0.00%), (T, 3,832, 0.44%, 0.00%), (ACN, 376, 0.44%, 0.00%), (MS, 726, 0.43%, 0.00%), (MRK, 1,243, 0.43%, 0.00%), (AXP, 326, 0.42%, 0.00%), (QCOM, 617, 0.41%, 0.00%), (SPGI, 186, 0.41%, 0.00%), (ADBE, 265, 0.41%, 0.00%), (TXN, 507, 0.40%, 0.00%), (VZ, 2,248, 0.40%, 0.00%), (BLK, 85, 0.40%, 0.00%), (COP, 967, 0.39%, 0.00%), (MDT, 1,003, 0.39%, 0.00%), (DIS, 766, 0.38%, 0.00%), (UNP, 412, 0.38%, 0.00%), (TMO, 188, 0.38%, 0.00%), (C, 912, 0.36%, 0.00%), (AMAT, 458, 0.36%, 0.00%), (SBUX, 930, 0.36%, 0.00%), (SCHW, 875, 0.36%, 0.00%), (AMGN, 264, 0.33%, 0.00%), (LMT, 187, 0.33%, 0.00%), (EMR, 507, 0.31%, 0.00%), (MMM, 484, 0.30%, 0.00%), (GILD, 612, 0.29%, 0.00%), (PFE, 2,784, 0.28%, 0.00%), (DHR, 316, 0.27%, 0.00%), (TJX, 505, 0.27%, 0.00%), (CVS, 984, 0.24%, 0.00%), (MO, 984, 0.24%, 0.00%), (LOW, 254, 0.24%, 0.00%), (MDLZ, 776, 0.22%, 0.00%), (CMCSA, 1,614, 0.22%, 0.00%), (ELV, 181, 0.22%, 0.00%), (INTC, 2,396, 0.20%, 0.00%), (BMY, 996, 0.19%, 0.00%), (UPS, 497, 0.19%, 0.00%), (PYPL, 587, 0.18%, 0.00%), (CL, 432, 0.16%, 0.00%), (FDX, 153, 0.15%, 0.00%), (USB, 752, 0.14%, 0.00%), (TGT, 209, 0.09%, 0.00%), (SC9061B, nan, nan%, 0.00%), (SC9063B, nan, nan%, 0.00%), (SP9062B, nan, nan%, 0.00%), (SP9065B, nan, nan%, 0.00%), (SP9064B, nan, nan%, 0.00%), (XP9065B, nan, nan%, 0.00%)</t>
  </si>
  <si>
    <t>(META, 869, 2.48%, 0.00%), (BRK/B, 1,011, 1.97%, 0.00%), (GOOGL, 2,330, 1.85%, 0.00%), (CSCO, 6,140, 1.70%, 0.00%), (LIN, 869, 1.67%, 0.00%), (AMT, 1,762, 1.55%, 0.00%), (JPM, 1,281, 1.55%, 0.00%), (GOOG, 1,898, 1.51%, 0.00%), (TSLA, 1,163, 1.51%, 0.00%), (XOM, 3,100, 1.42%, 0.00%), (V, 953, 1.36%, 0.00%), (LLY, 365, 1.14%, 0.00%), (CB, 973, 1.06%, 0.00%), (WM, 1,089, 1.04%, 0.00%), (MA, 452, 1.04%, 0.00%), (GE, 907, 1.00%, 0.00%), (ORCL, 912, 0.92%, 0.00%), (NEE, 2,799, 0.82%, 0.00%), (NFLX, 170, 0.81%, 0.00%), (JNJ, 1,115, 0.76%, 0.00%), (CVX, 1,179, 0.75%, 0.00%), (PG, 1,174, 0.75%, 0.00%), (WMT, 1,857, 0.74%, 0.00%), (PLTR, 1,164, 0.74%, 0.00%), (UNH, 679, 0.73%, 0.00%), (COST, 190, 0.72%, 0.00%), (RTX, 1,115, 0.71%, 0.00%), (CAT, 405, 0.71%, 0.00%), (MCD, 555, 0.68%, 0.00%), (ABT, 1,280, 0.66%, 0.00%), (HD, 420, 0.64%, 0.00%), (ABBV, 819, 0.64%, 0.00%), (AMD, 850, 0.60%, 0.00%), (KO, 2,122, 0.60%, 0.00%), (BKNG, 26, 0.59%, 0.00%), (BAC, 3,036, 0.59%, 0.00%), (CRM, 543, 0.59%, 0.00%), (SO, 1,491, 0.58%, 0.00%), (BA, 626, 0.58%, 0.00%), (NKE, 1,813, 0.58%, 0.00%), (PM, 851, 0.56%, 0.00%), (IBM, 525, 0.56%, 0.00%), (ISRG, 263, 0.53%, 0.00%), (ETN, 331, 0.52%, 0.00%), (INTU, 159, 0.52%, 0.00%), (GS, 173, 0.52%, 0.00%), (DUK, 1,051, 0.51%, 0.00%), (WFC, 1,514, 0.51%, 0.00%), (HON, 545, 0.49%, 0.00%), (UBER, 1,349, 0.48%, 0.00%), (MET, 1,509, 0.48%, 0.00%), (NOW, 117, 0.47%, 0.00%), (DE, 213, 0.44%, 0.00%), (PEP, 751, 0.44%, 0.00%), (T, 3,613, 0.40%, 0.00%), (ACN, 355, 0.40%, 0.00%), (MS, 684, 0.40%, 0.00%), (MRK, 1,172, 0.39%, 0.00%), (AXP, 307, 0.39%, 0.00%), (QCOM, 582, 0.38%, 0.00%), (SPGI, 175, 0.38%, 0.00%), (ADBE, 250, 0.38%, 0.00%), (TXN, 478, 0.37%, 0.00%), (VZ, 2,120, 0.37%, 0.00%), (BLK, 80, 0.37%, 0.00%), (COP, 912, 0.36%, 0.00%), (MDT, 946, 0.36%, 0.00%), (DIS, 722, 0.35%, 0.00%), (UNP, 388, 0.35%, 0.00%), (TMO, 177, 0.35%, 0.00%), (C, 860, 0.33%, 0.00%), (AMAT, 432, 0.33%, 0.00%), (SCHW, 825, 0.33%, 0.00%), (SBUX, 877, 0.33%, 0.00%), (AMGN, 249, 0.31%, 0.00%), (LMT, 177, 0.30%, 0.00%), (EMR, 478, 0.29%, 0.00%), (MMM, 456, 0.28%, 0.00%), (GILD, 577, 0.27%, 0.00%), (PFE, 2,625, 0.26%, 0.00%), (DHR, 298, 0.25%, 0.00%), (TJX, 476, 0.25%, 0.00%), (CVS, 928, 0.23%, 0.00%), (MO, 928, 0.22%, 0.00%), (LOW, 240, 0.22%, 0.00%), (MDLZ, 732, 0.21%, 0.00%), (CMCSA, 1,522, 0.20%, 0.00%), (ELV, 171, 0.20%, 0.00%), (INTC, 2,260, 0.19%, 0.00%), (BMY, 940, 0.18%, 0.00%), (UPS, 469, 0.17%, 0.00%), (PYPL, 553, 0.16%, 0.00%), (CL, 407, 0.14%, 0.00%), (FDX, 144, 0.14%, 0.00%), (USB, 710, 0.13%, 0.00%), (TGT, 197, 0.08%, 0.00%)</t>
  </si>
  <si>
    <t>(AVGO, 1,642, 3.11%, 0.00%), (META, 583, 2.63%, 0.00%), (BRK/B, 679, 2.09%, 0.00%), (GOOGL, 1,564, 1.96%, 0.00%), (CSCO, 4,121, 1.80%, 0.00%), (LIN, 583, 1.76%, 0.00%), (AMT, 1,183, 1.64%, 0.00%), (JPM, 859, 1.64%, 0.00%), (GOOG, 1,274, 1.60%, 0.00%), (TSLA, 781, 1.60%, 0.00%), (XOM, 2,080, 1.50%, 0.00%), (V, 640, 1.45%, 0.00%), (LLY, 245, 1.21%, 0.00%), (CB, 653, 1.13%, 0.00%), (WM, 731, 1.11%, 0.00%), (MA, 304, 1.10%, 0.00%), (GE, 609, 1.05%, 0.00%), (ORCL, 612, 0.98%, 0.00%), (NEE, 1,878, 0.87%, 0.00%), (NFLX, 114, 0.86%, 0.00%), (JNJ, 749, 0.81%, 0.00%), (CVX, 791, 0.79%, 0.00%), (PG, 788, 0.79%, 0.00%), (WMT, 1,246, 0.79%, 0.00%), (PLTR, 781, 0.78%, 0.00%), (UNH, 456, 0.78%, 0.00%), (COST, 127, 0.76%, 0.00%), (RTX, 749, 0.75%, 0.00%), (CAT, 272, 0.75%, 0.00%), (MCD, 372, 0.72%, 0.00%), (ABT, 859, 0.70%, 0.00%), (HD, 282, 0.68%, 0.00%), (ABBV, 549, 0.67%, 0.00%), (AMD, 571, 0.64%, 0.00%), (KO, 1,424, 0.63%, 0.00%), (BAC, 2,038, 0.63%, 0.00%), (CRM, 364, 0.63%, 0.00%), (BKNG, 17, 0.61%, 0.00%), (SO, 1,001, 0.61%, 0.00%), (BA, 420, 0.61%, 0.00%), (NKE, 1,217, 0.61%, 0.00%), (PM, 571, 0.59%, 0.00%), (IBM, 352, 0.59%, 0.00%), (ISRG, 176, 0.56%, 0.00%), (ETN, 222, 0.56%, 0.00%), (INTU, 107, 0.55%, 0.00%), (GS, 116, 0.55%, 0.00%), (DUK, 706, 0.54%, 0.00%), (WFC, 1,016, 0.54%, 0.00%), (HON, 366, 0.52%, 0.00%), (UBER, 906, 0.51%, 0.00%), (MET, 1,013, 0.51%, 0.00%), (NOW, 78, 0.50%, 0.00%), (DE, 143, 0.47%, 0.00%), (PEP, 504, 0.46%, 0.00%), (T, 2,425, 0.43%, 0.00%), (ACN, 238, 0.43%, 0.00%), (MS, 459, 0.42%, 0.00%), (MRK, 786, 0.42%, 0.00%), (AXP, 206, 0.41%, 0.00%), (QCOM, 391, 0.40%, 0.00%), (SPGI, 118, 0.40%, 0.00%), (ADBE, 168, 0.40%, 0.00%), (VZ, 1,423, 0.39%, 0.00%), (TXN, 321, 0.39%, 0.00%), (BLK, 54, 0.39%, 0.00%), (COP, 612, 0.38%, 0.00%), (MDT, 635, 0.38%, 0.00%), (DIS, 485, 0.37%, 0.00%), (UNP, 261, 0.37%, 0.00%), (TMO, 119, 0.37%, 0.00%), (C, 577, 0.35%, 0.00%), (SBUX, 589, 0.35%, 0.00%), (SCHW, 554, 0.35%, 0.00%), (AMAT, 290, 0.35%, 0.00%), (AMGN, 167, 0.33%, 0.00%), (LMT, 119, 0.32%, 0.00%), (EMR, 321, 0.30%, 0.00%), (MMM, 306, 0.30%, 0.00%), (GILD, 387, 0.28%, 0.00%), (PFE, 1,762, 0.28%, 0.00%), (DHR, 200, 0.27%, 0.00%), (TJX, 320, 0.26%, 0.00%), (CVS, 623, 0.24%, 0.00%), (LOW, 161, 0.24%, 0.00%), (MO, 623, 0.24%, 0.00%), (MDLZ, 491, 0.22%, 0.00%), (CMCSA, 1,021, 0.21%, 0.00%), (ELV, 115, 0.21%, 0.00%), (INTC, 1,516, 0.20%, 0.00%), (BMY, 631, 0.19%, 0.00%), (UPS, 315, 0.18%, 0.00%), (PYPL, 371, 0.17%, 0.00%), (CL, 273, 0.15%, 0.00%), (FDX, 97, 0.15%, 0.00%), (USB, 476, 0.14%, 0.00%), (TGT, 132, 0.09%, 0.00%), (SC8071B, nan, nan%, 0.00%), (SC8073B, nan, nan%, 0.00%), (SP8072B, nan, nan%, 0.00%), (SP8075B, nan, nan%, 0.00%), (SP8074B, nan, nan%, 0.00%), (XP8075B, nan, nan%, 0.00%)</t>
  </si>
  <si>
    <t>(META, 6,009, 2.53%, 0.00%), (BRK/B, 6,991, 2.01%, 0.00%), (GOOGL, 16,105, 1.88%, 0.00%), (CSCO, 42,447, 1.73%, 0.00%), (LIN, 6,006, 1.70%, 0.00%), (AMT, 12,184, 1.58%, 0.00%), (JPM, 8,852, 1.58%, 0.00%), (GOOG, 13,118, 1.54%, 0.00%), (TSLA, 8,041, 1.54%, 0.00%), (XOM, 21,427, 1.44%, 0.00%), (V, 6,591, 1.39%, 0.00%), (LLY, 2,523, 1.16%, 0.00%), (CB, 6,724, 1.08%, 0.00%), (WM, 7,532, 1.06%, 0.00%), (MA, 3,126, 1.06%, 0.00%), (GE, 6,269, 1.01%, 0.00%), (ORCL, 6,307, 0.94%, 0.00%), (NEE, 19,348, 0.83%, 0.00%), (NFLX, 1,178, 0.83%, 0.00%), (JNJ, 7,711, 0.78%, 0.00%), (CVX, 8,148, 0.76%, 0.00%), (PG, 8,113, 0.76%, 0.00%), (WMT, 12,835, 0.76%, 0.00%), (PLTR, 8,044, 0.75%, 0.00%), (UNH, 4,693, 0.75%, 0.00%), (COST, 1,310, 0.74%, 0.00%), (RTX, 7,710, 0.72%, 0.00%), (CAT, 2,797, 0.72%, 0.00%), (MCD, 3,834, 0.69%, 0.00%), (ABT, 8,845, 0.68%, 0.00%), (HD, 2,901, 0.65%, 0.00%), (ABBV, 5,659, 0.65%, 0.00%), (AMD, 5,877, 0.61%, 0.00%), (KO, 14,669, 0.61%, 0.00%), (BAC, 20,989, 0.60%, 0.00%), (CRM, 3,752, 0.60%, 0.00%), (BKNG, 177, 0.60%, 0.00%), (SO, 10,309, 0.59%, 0.00%), (BA, 4,331, 0.59%, 0.00%), (NKE, 12,532, 0.59%, 0.00%), (PM, 5,883, 0.57%, 0.00%), (IBM, 3,628, 0.57%, 0.00%), (ISRG, 1,816, 0.54%, 0.00%), (ETN, 2,289, 0.53%, 0.00%), (INTU, 1,100, 0.53%, 0.00%), (GS, 1,197, 0.52%, 0.00%), (DUK, 7,268, 0.52%, 0.00%), (WFC, 10,469, 0.52%, 0.00%), (HON, 3,767, 0.50%, 0.00%), (UBER, 9,327, 0.49%, 0.00%), (MET, 10,432, 0.49%, 0.00%), (NOW, 808, 0.48%, 0.00%), (DE, 1,474, 0.45%, 0.00%), (PEP, 5,191, 0.45%, 0.00%), (T, 24,980, 0.41%, 0.00%), (ACN, 2,452, 0.41%, 0.00%), (MS, 4,731, 0.41%, 0.00%), (MRK, 8,101, 0.40%, 0.00%), (AXP, 2,122, 0.39%, 0.00%), (QCOM, 4,024, 0.39%, 0.00%), (SPGI, 1,211, 0.38%, 0.00%), (ADBE, 1,727, 0.38%, 0.00%), (TXN, 3,304, 0.38%, 0.00%), (VZ, 14,655, 0.38%, 0.00%), (BLK, 555, 0.37%, 0.00%), (COP, 6,306, 0.37%, 0.00%), (MDT, 6,540, 0.36%, 0.00%), (DIS, 4,992, 0.36%, 0.00%), (UNP, 2,685, 0.36%, 0.00%), (TMO, 1,225, 0.35%, 0.00%), (C, 5,947, 0.34%, 0.00%), (AMAT, 2,986, 0.34%, 0.00%), (SCHW, 5,701, 0.33%, 0.00%), (SBUX, 6,064, 0.33%, 0.00%), (AMGN, 1,721, 0.31%, 0.00%), (LMT, 1,222, 0.31%, 0.00%), (EMR, 3,303, 0.29%, 0.00%), (MMM, 3,155, 0.29%, 0.00%), (GILD, 3,991, 0.27%, 0.00%), (PFE, 18,149, 0.27%, 0.00%), (DHR, 2,059, 0.25%, 0.00%), (TJX, 3,294, 0.25%, 0.00%), (CVS, 6,418, 0.23%, 0.00%), (MO, 6,413, 0.23%, 0.00%), (LOW, 1,657, 0.23%, 0.00%), (MDLZ, 5,060, 0.21%, 0.00%), (CMCSA, 10,521, 0.21%, 0.00%), (ELV, 1,183, 0.21%, 0.00%), (INTC, 15,620, 0.19%, 0.00%), (BMY, 6,495, 0.18%, 0.00%), (UPS, 3,240, 0.18%, 0.00%), (PYPL, 3,824, 0.17%, 0.00%), (CL, 2,815, 0.15%, 0.00%), (FDX, 996, 0.14%, 0.00%), (USB, 4,905, 0.14%, 0.00%), (TGT, 1,362, 0.09%, 0.00%)</t>
  </si>
  <si>
    <t>(AVGO, 14,865, 3.17%, 0.00%), (META, 5,281, 2.67%, 0.00%), (BRK/B, 6,143, 2.12%, 0.00%), (GOOGL, 14,153, 1.99%, 0.00%), (CSCO, 37,303, 1.83%, 0.00%), (LIN, 5,278, 1.80%, 0.00%), (AMT, 10,707, 1.67%, 0.00%), (JPM, 7,779, 1.67%, 0.00%), (GOOG, 11,528, 1.63%, 0.00%), (TSLA, 7,066, 1.63%, 0.00%), (XOM, 18,830, 1.53%, 0.00%), (V, 5,792, 1.47%, 0.00%), (LLY, 2,218, 1.23%, 0.00%), (CB, 5,909, 1.15%, 0.00%), (WM, 6,619, 1.13%, 0.00%), (MA, 2,747, 1.12%, 0.00%), (GE, 5,510, 1.07%, 0.00%), (ORCL, 5,543, 0.99%, 0.00%), (NEE, 17,003, 0.88%, 0.00%), (NFLX, 1,035, 0.87%, 0.00%), (JNJ, 6,776, 0.82%, 0.00%), (CVX, 7,160, 0.81%, 0.00%), (PG, 7,130, 0.80%, 0.00%), (WMT, 11,280, 0.80%, 0.00%), (PLTR, 7,069, 0.79%, 0.00%), (UNH, 4,124, 0.79%, 0.00%), (COST, 1,151, 0.78%, 0.00%), (RTX, 6,776, 0.77%, 0.00%), (CAT, 2,458, 0.76%, 0.00%), (MCD, 3,369, 0.73%, 0.00%), (ABT, 7,773, 0.71%, 0.00%), (HD, 2,549, 0.69%, 0.00%), (ABBV, 4,973, 0.69%, 0.00%), (AMD, 5,165, 0.65%, 0.00%), (KO, 12,891, 0.64%, 0.00%), (BAC, 18,445, 0.64%, 0.00%), (CRM, 3,297, 0.64%, 0.00%), (BKNG, 156, 0.63%, 0.00%), (SO, 9,059, 0.62%, 0.00%), (BA, 3,806, 0.62%, 0.00%), (NKE, 11,013, 0.62%, 0.00%), (PM, 5,170, 0.60%, 0.00%), (IBM, 3,189, 0.60%, 0.00%), (ISRG, 1,596, 0.57%, 0.00%), (ETN, 2,012, 0.57%, 0.00%), (INTU, 967, 0.56%, 0.00%), (GS, 1,052, 0.55%, 0.00%), (DUK, 6,387, 0.55%, 0.00%), (WFC, 9,200, 0.55%, 0.00%), (HON, 3,310, 0.53%, 0.00%), (UBER, 8,197, 0.52%, 0.00%), (MET, 9,168, 0.52%, 0.00%), (NOW, 710, 0.50%, 0.00%), (DE, 1,295, 0.48%, 0.00%), (PEP, 4,562, 0.47%, 0.00%), (T, 21,952, 0.44%, 0.00%), (ACN, 2,155, 0.43%, 0.00%), (MS, 4,158, 0.43%, 0.00%), (MRK, 7,119, 0.43%, 0.00%), (AXP, 1,865, 0.42%, 0.00%), (QCOM, 3,536, 0.41%, 0.00%), (SPGI, 1,064, 0.41%, 0.00%), (ADBE, 1,518, 0.41%, 0.00%), (TXN, 2,903, 0.40%, 0.00%), (VZ, 12,879, 0.40%, 0.00%), (BLK, 488, 0.39%, 0.00%), (COP, 5,542, 0.39%, 0.00%), (MDT, 5,748, 0.38%, 0.00%), (DIS, 4,387, 0.38%, 0.00%), (UNP, 2,360, 0.38%, 0.00%), (TMO, 1,077, 0.37%, 0.00%), (C, 5,226, 0.36%, 0.00%), (AMAT, 2,624, 0.35%, 0.00%), (SCHW, 5,010, 0.35%, 0.00%), (SBUX, 5,329, 0.35%, 0.00%), (AMGN, 1,513, 0.33%, 0.00%), (LMT, 1,074, 0.32%, 0.00%), (EMR, 2,903, 0.31%, 0.00%), (MMM, 2,772, 0.30%, 0.00%), (GILD, 3,507, 0.29%, 0.00%), (PFE, 15,949, 0.28%, 0.00%), (DHR, 1,809, 0.27%, 0.00%), (TJX, 2,894, 0.26%, 0.00%), (CVS, 5,640, 0.24%, 0.00%), (MO, 5,635, 0.24%, 0.00%), (LOW, 1,456, 0.24%, 0.00%), (MDLZ, 4,446, 0.22%, 0.00%), (CMCSA, 9,246, 0.22%, 0.00%), (ELV, 1,039, 0.22%, 0.00%), (INTC, 13,727, 0.20%, 0.00%), (BMY, 5,708, 0.19%, 0.00%), (UPS, 2,847, 0.19%, 0.00%), (PYPL, 3,360, 0.17%, 0.00%), (CL, 2,473, 0.15%, 0.00%), (FDX, 875, 0.15%, 0.00%), (USB, 4,311, 0.14%, 0.00%), (TGT, 1,197, 0.09%, 0.00%), (SC23471B, nan, nan%, 0.00%), (SC23473B, nan, nan%, 0.00%), (SP23472B, nan, nan%, 0.00%), (SP23475B, nan, nan%, 0.00%), (SP23474B, nan, nan%, 0.00%), (XP23475B, nan, nan%, 0.00%)</t>
  </si>
  <si>
    <t>(AVGO, 11,072, 3.16%, 0.00%), (META, 3,933, 2.67%, 0.00%), (BRK/B, 4,576, 2.12%, 0.00%), (GOOGL, 10,541, 1.99%, 0.00%), (CSCO, 27,783, 1.83%, 0.00%), (LIN, 3,931, 1.79%, 0.00%), (AMT, 7,974, 1.67%, 0.00%), (JPM, 5,794, 1.66%, 0.00%), (GOOG, 8,586, 1.63%, 0.00%), (TSLA, 5,263, 1.63%, 0.00%), (XOM, 14,025, 1.52%, 0.00%), (V, 4,314, 1.47%, 0.00%), (LLY, 1,652, 1.23%, 0.00%), (CB, 4,401, 1.14%, 0.00%), (WM, 4,930, 1.12%, 0.00%), (MA, 2,046, 1.12%, 0.00%), (GE, 4,104, 1.07%, 0.00%), (ORCL, 4,128, 0.99%, 0.00%), (NEE, 12,663, 0.88%, 0.00%), (NFLX, 771, 0.87%, 0.00%), (JNJ, 5,047, 0.82%, 0.00%), (CVX, 5,333, 0.81%, 0.00%), (PG, 5,310, 0.80%, 0.00%), (WMT, 8,401, 0.80%, 0.00%), (PLTR, 5,265, 0.79%, 0.00%), (UNH, 3,072, 0.79%, 0.00%), (COST, 858, 0.78%, 0.00%), (RTX, 5,047, 0.76%, 0.00%), (CAT, 1,831, 0.76%, 0.00%), (MCD, 2,509, 0.73%, 0.00%), (ABT, 5,789, 0.71%, 0.00%), (HD, 1,899, 0.69%, 0.00%), (ABBV, 3,704, 0.68%, 0.00%), (AMD, 3,847, 0.65%, 0.00%), (KO, 9,601, 0.64%, 0.00%), (BAC, 13,738, 0.64%, 0.00%), (CRM, 2,455, 0.64%, 0.00%), (BKNG, 116, 0.63%, 0.00%), (SO, 6,747, 0.62%, 0.00%), (BA, 2,834, 0.62%, 0.00%), (NKE, 8,203, 0.62%, 0.00%), (PM, 3,851, 0.60%, 0.00%), (IBM, 2,275, 0.58%, 0.00%), (ISRG, 1,189, 0.57%, 0.00%), (ETN, 1,498, 0.56%, 0.00%), (INTU, 720, 0.56%, 0.00%), (GS, 784, 0.55%, 0.00%), (DUK, 4,757, 0.55%, 0.00%), (WFC, 6,852, 0.55%, 0.00%), (HON, 2,465, 0.53%, 0.00%), (UBER, 6,105, 0.51%, 0.00%), (MET, 6,828, 0.51%, 0.00%), (NOW, 529, 0.50%, 0.00%), (DE, 965, 0.48%, 0.00%), (PEP, 3,398, 0.47%, 0.00%), (T, 16,350, 0.43%, 0.00%), (ACN, 1,605, 0.43%, 0.00%), (MS, 3,097, 0.43%, 0.00%), (MRK, 5,303, 0.42%, 0.00%), (AXP, 1,389, 0.41%, 0.00%), (QCOM, 2,634, 0.41%, 0.00%), (SPGI, 793, 0.41%, 0.00%), (ADBE, 1,131, 0.41%, 0.00%), (VZ, 9,592, 0.40%, 0.00%), (TXN, 2,162, 0.40%, 0.00%), (BLK, 363, 0.39%, 0.00%), (COP, 4,128, 0.39%, 0.00%), (MDT, 4,281, 0.38%, 0.00%), (DIS, 3,267, 0.38%, 0.00%), (UNP, 1,758, 0.38%, 0.00%), (TMO, 802, 0.37%, 0.00%), (C, 3,892, 0.36%, 0.00%), (AMAT, 1,954, 0.35%, 0.00%), (SCHW, 3,732, 0.35%, 0.00%), (SBUX, 3,969, 0.35%, 0.00%), (AMGN, 1,127, 0.33%, 0.00%), (LMT, 800, 0.32%, 0.00%), (EMR, 2,162, 0.31%, 0.00%), (MMM, 2,065, 0.30%, 0.00%), (GILD, 2,612, 0.29%, 0.00%), (PFE, 11,879, 0.28%, 0.00%), (DHR, 1,347, 0.27%, 0.00%), (TJX, 2,156, 0.26%, 0.00%), (CVS, 4,200, 0.24%, 0.00%), (MO, 4,197, 0.24%, 0.00%), (LOW, 1,084, 0.24%, 0.00%), (MDLZ, 3,312, 0.22%, 0.00%), (CMCSA, 6,886, 0.22%, 0.00%), (ELV, 774, 0.22%, 0.00%), (INTC, 10,224, 0.20%, 0.00%), (BMY, 4,251, 0.19%, 0.00%), (UPS, 2,120, 0.19%, 0.00%), (PYPL, 2,503, 0.17%, 0.00%), (CL, 1,842, 0.15%, 0.00%), (FDX, 652, 0.15%, 0.00%), (USB, 3,211, 0.14%, 0.00%), (TGT, 892, 0.09%, 0.00%), (SC22171B, nan, nan%, 0.00%), (SC22173B, nan, nan%, 0.00%), (SP22172B, nan, nan%, 0.00%), (SP22175B, nan, nan%, 0.00%), (SP22174B, nan, nan%, 0.00%), (XP22175B, nan, nan%, 0.00%)</t>
  </si>
  <si>
    <t>(META, 1,481, 2.54%, 0.00%), (BRK/B, 1,723, 2.02%, 0.00%), (GOOGL, 3,970, 1.89%, 0.00%), (CSCO, 10,462, 1.74%, 0.00%), (LIN, 1,480, 1.71%, 0.00%), (AMT, 3,003, 1.59%, 0.00%), (JPM, 2,182, 1.59%, 0.00%), (TSLA, 1,982, 1.55%, 0.00%), (GOOG, 3,233, 1.55%, 0.00%), (XOM, 5,281, 1.45%, 0.00%), (V, 1,624, 1.40%, 0.00%), (LLY, 622, 1.17%, 0.00%), (CB, 1,657, 1.09%, 0.00%), (WM, 1,856, 1.07%, 0.00%), (MA, 771, 1.06%, 0.00%), (GE, 1,545, 1.02%, 0.00%), (ORCL, 1,555, 0.95%, 0.00%), (NEE, 4,769, 0.84%, 0.00%), (NFLX, 290, 0.83%, 0.00%), (JNJ, 1,900, 0.78%, 0.00%), (CVX, 2,008, 0.77%, 0.00%), (PG, 2,000, 0.76%, 0.00%), (WMT, 3,164, 0.76%, 0.00%), (PLTR, 1,983, 0.76%, 0.00%), (UNH, 1,157, 0.75%, 0.00%), (COST, 323, 0.74%, 0.00%), (RTX, 1,900, 0.73%, 0.00%), (CAT, 689, 0.72%, 0.00%), (MCD, 945, 0.70%, 0.00%), (ABT, 2,180, 0.68%, 0.00%), (HD, 715, 0.66%, 0.00%), (ABBV, 1,395, 0.65%, 0.00%), (AMD, 1,449, 0.62%, 0.00%), (KO, 3,616, 0.61%, 0.00%), (BAC, 5,173, 0.61%, 0.00%), (CRM, 925, 0.61%, 0.00%), (BKNG, 44, 0.61%, 0.00%), (SO, 2,541, 0.59%, 0.00%), (BA, 1,067, 0.59%, 0.00%), (NKE, 3,089, 0.59%, 0.00%), (PM, 1,450, 0.57%, 0.00%), (IBM, 894, 0.57%, 0.00%), (ISRG, 448, 0.54%, 0.00%), (ETN, 564, 0.54%, 0.00%), (INTU, 271, 0.53%, 0.00%), (GS, 295, 0.53%, 0.00%), (DUK, 1,791, 0.52%, 0.00%), (WFC, 2,580, 0.52%, 0.00%), (HON, 928, 0.50%, 0.00%), (UBER, 2,299, 0.49%, 0.00%), (MET, 2,571, 0.49%, 0.00%), (NOW, 199, 0.48%, 0.00%), (DE, 363, 0.46%, 0.00%), (PEP, 1,279, 0.45%, 0.00%), (T, 6,157, 0.41%, 0.00%), (ACN, 604, 0.41%, 0.00%), (MS, 1,166, 0.41%, 0.00%), (MRK, 1,997, 0.40%, 0.00%), (AXP, 523, 0.40%, 0.00%), (QCOM, 992, 0.39%, 0.00%), (ADBE, 426, 0.39%, 0.00%), (SPGI, 298, 0.39%, 0.00%), (TXN, 814, 0.38%, 0.00%), (VZ, 3,612, 0.38%, 0.00%), (BLK, 137, 0.38%, 0.00%), (COP, 1,554, 0.37%, 0.00%), (MDT, 1,612, 0.36%, 0.00%), (DIS, 1,230, 0.36%, 0.00%), (UNP, 662, 0.36%, 0.00%), (TMO, 302, 0.36%, 0.00%), (C, 1,466, 0.34%, 0.00%), (SBUX, 1,495, 0.34%, 0.00%), (AMAT, 736, 0.34%, 0.00%), (SCHW, 1,405, 0.34%, 0.00%), (AMGN, 424, 0.31%, 0.00%), (LMT, 301, 0.31%, 0.00%), (EMR, 814, 0.29%, 0.00%), (MMM, 778, 0.29%, 0.00%), (GILD, 984, 0.28%, 0.00%), (PFE, 4,473, 0.27%, 0.00%), (DHR, 507, 0.26%, 0.00%), (TJX, 812, 0.25%, 0.00%), (CVS, 1,582, 0.23%, 0.00%), (MO, 1,581, 0.23%, 0.00%), (LOW, 408, 0.23%, 0.00%), (MDLZ, 1,247, 0.21%, 0.00%), (CMCSA, 2,593, 0.21%, 0.00%), (ELV, 292, 0.21%, 0.00%), (INTC, 3,850, 0.19%, 0.00%), (BMY, 1,601, 0.18%, 0.00%), (UPS, 798, 0.18%, 0.00%), (PYPL, 942, 0.17%, 0.00%), (CL, 694, 0.15%, 0.00%), (FDX, 245, 0.14%, 0.00%), (USB, 1,209, 0.14%, 0.00%), (TGT, 336, 0.09%, 0.00%), (SC28181B, nan, nan%, 0.00%), (SC28183B, nan, nan%, 0.00%), (SP28182B, nan, nan%, 0.00%), (SP28185B, nan, nan%, 0.00%), (SP28184B, nan, nan%, 0.00%), (XP28185B, nan, nan%, 0.00%)</t>
  </si>
  <si>
    <t>(META, 1,609, 2.58%, 0.00%), (BRK/B, 1,872, 2.04%, 0.00%), (GOOGL, 4,313, 1.92%, 0.00%), (CSCO, 11,368, 1.76%, 0.00%), (LIN, 1,608, 1.73%, 0.00%), (AMT, 3,263, 1.61%, 0.00%), (JPM, 2,371, 1.61%, 0.00%), (GOOG, 3,513, 1.57%, 0.00%), (TSLA, 2,153, 1.57%, 0.00%), (XOM, 5,738, 1.47%, 0.00%), (V, 1,765, 1.42%, 0.00%), (LLY, 676, 1.19%, 0.00%), (CB, 1,801, 1.10%, 0.00%), (WM, 2,017, 1.08%, 0.00%), (MA, 837, 1.08%, 0.00%), (GE, 1,679, 1.03%, 0.00%), (ORCL, 1,689, 0.96%, 0.00%), (NEE, 5,181, 0.85%, 0.00%), (NFLX, 316, 0.84%, 0.00%), (JNJ, 2,065, 0.79%, 0.00%), (CVX, 2,182, 0.78%, 0.00%), (PG, 2,173, 0.77%, 0.00%), (WMT, 3,437, 0.77%, 0.00%), (PLTR, 2,154, 0.76%, 0.00%), (UNH, 1,257, 0.76%, 0.00%), (COST, 351, 0.75%, 0.00%), (RTX, 2,065, 0.74%, 0.00%), (CAT, 749, 0.73%, 0.00%), (MCD, 1,027, 0.71%, 0.00%), (ABT, 2,369, 0.69%, 0.00%), (HD, 777, 0.67%, 0.00%), (ABBV, 1,516, 0.66%, 0.00%), (AMD, 1,574, 0.63%, 0.00%), (KO, 3,929, 0.62%, 0.00%), (BAC, 5,621, 0.62%, 0.00%), (CRM, 1,005, 0.61%, 0.00%), (BKNG, 47, 0.60%, 0.00%), (SO, 2,761, 0.60%, 0.00%), (BA, 1,160, 0.60%, 0.00%), (NKE, 3,356, 0.60%, 0.00%), (PM, 1,576, 0.58%, 0.00%), (IBM, 972, 0.58%, 0.00%), (ISRG, 486, 0.55%, 0.00%), (ETN, 613, 0.55%, 0.00%), (INTU, 295, 0.54%, 0.00%), (GS, 321, 0.53%, 0.00%), (DUK, 1,946, 0.53%, 0.00%), (WFC, 2,804, 0.53%, 0.00%), (HON, 1,009, 0.51%, 0.00%), (UBER, 2,498, 0.50%, 0.00%), (MET, 2,794, 0.50%, 0.00%), (NOW, 216, 0.49%, 0.00%), (DE, 395, 0.46%, 0.00%), (PEP, 1,390, 0.46%, 0.00%), (T, 6,690, 0.42%, 0.00%), (ACN, 657, 0.42%, 0.00%), (MS, 1,267, 0.41%, 0.00%), (MRK, 2,170, 0.41%, 0.00%), (AXP, 568, 0.40%, 0.00%), (QCOM, 1,078, 0.40%, 0.00%), (ADBE, 463, 0.39%, 0.00%), (SPGI, 324, 0.39%, 0.00%), (TXN, 885, 0.38%, 0.00%), (VZ, 3,925, 0.38%, 0.00%), (BLK, 149, 0.38%, 0.00%), (COP, 1,689, 0.37%, 0.00%), (MDT, 1,752, 0.37%, 0.00%), (DIS, 1,337, 0.37%, 0.00%), (UNP, 719, 0.36%, 0.00%), (TMO, 328, 0.36%, 0.00%), (C, 1,593, 0.34%, 0.00%), (AMAT, 800, 0.34%, 0.00%), (SBUX, 1,624, 0.34%, 0.00%), (SCHW, 1,527, 0.34%, 0.00%), (AMGN, 461, 0.32%, 0.00%), (LMT, 327, 0.31%, 0.00%), (EMR, 885, 0.30%, 0.00%), (MMM, 845, 0.29%, 0.00%), (GILD, 1,069, 0.28%, 0.00%), (PFE, 4,860, 0.27%, 0.00%), (DHR, 551, 0.26%, 0.00%), (TJX, 882, 0.25%, 0.00%), (CVS, 1,719, 0.23%, 0.00%), (LOW, 444, 0.23%, 0.00%), (MO, 1,717, 0.23%, 0.00%), (MDLZ, 1,355, 0.21%, 0.00%), (CMCSA, 2,818, 0.21%, 0.00%), (ELV, 317, 0.21%, 0.00%), (INTC, 4,183, 0.19%, 0.00%), (BMY, 1,740, 0.19%, 0.00%), (UPS, 868, 0.18%, 0.00%), (PYPL, 1,024, 0.17%, 0.00%), (CL, 754, 0.15%, 0.00%), (FDX, 267, 0.14%, 0.00%), (USB, 1,314, 0.14%, 0.00%), (TGT, 365, 0.09%, 0.00%), (SC13481B, nan, nan%, 0.00%), (SC13483B, nan, nan%, 0.00%), (SP13482B, nan, nan%, 0.00%), (SP13485B, nan, nan%, 0.00%), (SP13484B, nan, nan%, 0.00%), (XP13485B, nan, nan%, 0.00%)</t>
  </si>
  <si>
    <t>(AVGO, 8,527, 3.16%, 0.00%), (META, 3,029, 2.67%, 0.00%), (BRK/B, 3,524, 2.12%, 0.00%), (GOOGL, 8,118, 1.99%, 0.00%), (CSCO, 21,397, 1.83%, 0.00%), (LIN, 3,027, 1.79%, 0.00%), (AMT, 6,141, 1.66%, 0.00%), (JPM, 4,462, 1.66%, 0.00%), (TSLA, 4,053, 1.63%, 0.00%), (GOOG, 6,613, 1.63%, 0.00%), (XOM, 10,801, 1.52%, 0.00%), (V, 3,322, 1.47%, 0.00%), (LLY, 1,272, 1.23%, 0.00%), (CB, 3,389, 1.14%, 0.00%), (WM, 3,797, 1.12%, 0.00%), (MA, 1,576, 1.12%, 0.00%), (GE, 3,160, 1.07%, 0.00%), (ORCL, 3,179, 0.99%, 0.00%), (NEE, 9,753, 0.88%, 0.00%), (NFLX, 594, 0.87%, 0.00%), (JNJ, 3,887, 0.82%, 0.00%), (CVX, 4,107, 0.81%, 0.00%), (PG, 4,090, 0.80%, 0.00%), (WMT, 6,470, 0.80%, 0.00%), (PLTR, 4,055, 0.79%, 0.00%), (UNH, 2,366, 0.79%, 0.00%), (COST, 660, 0.78%, 0.00%), (RTX, 3,887, 0.76%, 0.00%), (CAT, 1,410, 0.76%, 0.00%), (MCD, 1,932, 0.73%, 0.00%), (ABT, 4,459, 0.71%, 0.00%), (HD, 1,462, 0.69%, 0.00%), (ABBV, 2,853, 0.68%, 0.00%), (AMD, 2,963, 0.65%, 0.00%), (KO, 7,395, 0.64%, 0.00%), (BAC, 10,580, 0.64%, 0.00%), (CRM, 1,891, 0.64%, 0.00%), (BKNG, 89, 0.63%, 0.00%), (SO, 5,196, 0.62%, 0.00%), (BA, 2,183, 0.62%, 0.00%), (NKE, 6,317, 0.62%, 0.00%), (PM, 2,965, 0.60%, 0.00%), (IBM, 1,829, 0.60%, 0.00%), (ISRG, 916, 0.57%, 0.00%), (ETN, 1,154, 0.56%, 0.00%), (INTU, 554, 0.56%, 0.00%), (GS, 603, 0.55%, 0.00%), (DUK, 3,664, 0.55%, 0.00%), (WFC, 5,277, 0.55%, 0.00%), (HON, 1,899, 0.53%, 0.00%), (UBER, 4,702, 0.51%, 0.00%), (MET, 5,259, 0.51%, 0.00%), (NOW, 407, 0.50%, 0.00%), (DE, 743, 0.48%, 0.00%), (PEP, 2,617, 0.47%, 0.00%), (T, 12,592, 0.43%, 0.00%), (ACN, 1,236, 0.43%, 0.00%), (MS, 2,385, 0.43%, 0.00%), (MRK, 4,084, 0.42%, 0.00%), (AXP, 1,070, 0.41%, 0.00%), (QCOM, 2,028, 0.41%, 0.00%), (SPGI, 610, 0.41%, 0.00%), (ADBE, 871, 0.41%, 0.00%), (TXN, 1,665, 0.40%, 0.00%), (VZ, 7,387, 0.40%, 0.00%), (BLK, 280, 0.39%, 0.00%), (COP, 3,179, 0.39%, 0.00%), (MDT, 3,297, 0.38%, 0.00%), (DIS, 2,516, 0.38%, 0.00%), (UNP, 1,354, 0.38%, 0.00%), (TMO, 617, 0.37%, 0.00%), (C, 2,998, 0.36%, 0.00%), (AMAT, 1,505, 0.35%, 0.00%), (SBUX, 3,057, 0.35%, 0.00%), (SCHW, 2,874, 0.35%, 0.00%), (AMGN, 868, 0.33%, 0.00%), (LMT, 616, 0.32%, 0.00%), (EMR, 1,665, 0.31%, 0.00%), (MMM, 1,590, 0.30%, 0.00%), (GILD, 2,012, 0.29%, 0.00%), (PFE, 9,148, 0.28%, 0.00%), (DHR, 1,038, 0.27%, 0.00%), (TJX, 1,660, 0.26%, 0.00%), (CVS, 3,235, 0.24%, 0.00%), (MO, 3,232, 0.24%, 0.00%), (LOW, 835, 0.24%, 0.00%), (MDLZ, 2,550, 0.22%, 0.00%), (CMCSA, 5,304, 0.22%, 0.00%), (ELV, 596, 0.22%, 0.00%), (INTC, 7,874, 0.20%, 0.00%), (BMY, 3,274, 0.19%, 0.00%), (UPS, 1,633, 0.19%, 0.00%), (PYPL, 1,927, 0.17%, 0.00%), (CL, 1,419, 0.15%, 0.00%), (FDX, 502, 0.15%, 0.00%), (USB, 2,473, 0.14%, 0.00%), (TGT, 687, 0.09%, 0.00%), (SC26771B, nan, nan%, 0.00%), (SC26773B, nan, nan%, 0.00%), (SP26772B, nan, nan%, 0.00%), (SP26775B, nan, nan%, 0.00%), (SP26774B, nan, nan%, 0.00%), (XP26775B, nan, nan%, 0.00%)</t>
  </si>
  <si>
    <t>BK, MSFT, EBAY, JPM, GOOGL, META, BKNG, RJF, BLK, MLI, AMAT, V</t>
  </si>
  <si>
    <t>(EWBC, 10,217, 1.87%, 0.01%), (EA, 6,592, 1.86%, 0.00%), (AXP, 3,334, 1.82%, 0.00%), (NVDA, 5,522, 1.79%, 0.00%), (HIG, 7,914, 1.78%, 0.00%), (ADP, 3,158, 1.78%, 0.00%), (TRV, 3,760, 1.76%, 0.00%), (KLAC, 1,046, 1.75%, 0.00%), (SNA, 2,947, 1.72%, 0.01%), (PHM, 8,387, 1.71%, 0.00%), (UNM, 13,296, 1.71%, 0.01%), (PCAR, 9,347, 1.67%, 0.00%), (ROST, 6,585, 1.65%, 0.00%), (CRM, 3,386, 1.62%, 0.00%), (CB, 3,335, 1.60%, 0.00%), (CTSH, 11,946, 1.58%, 0.00%), (SYF, 12,343, 1.56%, 0.00%), (PAYC, 3,616, 1.53%, 0.01%), (BKR, 17,580, 1.44%, 0.00%), (WSM, 4,179, 1.43%, 0.00%), (LEN, 6,977, 1.41%, 0.00%), (ACN, 2,816, 1.39%, 0.00%), (QCOM, 4,768, 1.37%, 0.00%), (ELV, 2,264, 1.20%, 0.00%), (DHI, 4,637, 1.20%, 0.00%), (AFL, 6,529, 1.16%, 0.00%), (AAPL, 3,078, 1.16%, 0.00%), (LRCX, 6,089, 1.09%, 0.00%), (CSCO, 8,844, 1.09%, 0.00%), (ODFL, 4,050, 1.07%, 0.00%), (GE, 2,134, 1.05%, 0.00%), (STT, 4,902, 1.00%, 0.00%), (MPWR, 754, 1.00%, 0.00%), (CF, 5,602, 0.94%, 0.00%), (PNC, 2,625, 0.91%, 0.00%), (MTB, 2,608, 0.90%, 0.00%), (AMP, 955, 0.89%, 0.00%), (XOM, 4,103, 0.83%, 0.00%), (COST, 490, 0.82%, 0.00%), (ABT, 3,529, 0.82%, 0.00%), (CSL, 1,099, 0.81%, 0.00%), (EOG, 3,692, 0.81%, 0.00%), (EG, 1,242, 0.75%, 0.00%), (GEV, 500, 0.59%, 0.00%), (NTRS, 2,275, 0.54%, 0.00%), (CRBG, 7,817, 0.50%, 0.00%), (MA, 475, 0.48%, 0.00%), (JNJ, 1,524, 0.46%, 0.00%), (DOV, 1,330, 0.44%, 0.00%), (ACM, 2,153, 0.44%, 0.00%), (WTFC, 1,833, 0.43%, 0.00%), (CINF, 1,583, 0.43%, 0.00%), (MCK, 329, 0.42%, 0.00%), (SLM, 7,305, 0.42%, 0.00%), (MTG, 8,940, 0.41%, 0.00%), (EQH, 4,411, 0.40%, 0.00%), (JXN, 2,568, 0.40%, 0.00%), (NUE, 1,521, 0.39%, 0.00%), (ALL, 1,127, 0.39%, 0.00%), (LNC, 6,223, 0.38%, 0.00%), (NKE, 2,773, 0.38%, 0.00%), (ADM, 3,789, 0.38%, 0.00%), (PGR, 830, 0.36%, 0.00%), (FANG, 1,184, 0.32%, 0.00%), (SC13N61B, nan, nan%, 0.00%), (SC13N63B, nan, nan%, 0.00%), (SP13N62B, nan, nan%, 0.00%), (SP13N65B, nan, nan%, 0.00%), (SP13N64B, nan, nan%, 0.00%), (SPX Index, nan, nan%, 0.00%), (XP13N65B, nan, nan%, 0.00%)</t>
  </si>
  <si>
    <t>(AVGO, 3,944, 3.39%, 0.00%), (META, 1,401, 2.76%, 0.00%), (BRK/B, 1,630, 2.21%, 0.00%), (GOOGL, 3,755, 2.09%, 0.00%), (CSCO, 9,897, 1.92%, 0.00%), (LIN, 1,400, 1.86%, 0.00%), (JPM, 2,064, 1.76%, 0.00%), (GOOG, 3,059, 1.71%, 0.00%), (AMT, 2,841, 1.69%, 0.00%), (TSLA, 1,875, 1.69%, 0.00%), (XOM, 4,996, 1.59%, 0.00%), (V, 1,537, 1.54%, 0.00%), (LLY, 588, 1.27%, 0.00%), (CB, 1,568, 1.19%, 0.00%), (WM, 1,756, 1.16%, 0.00%), (MA, 729, 1.16%, 0.00%), (GE, 1,462, 1.14%, 0.00%), (ORCL, 1,471, 1.04%, 0.00%), (NFLX, 275, 0.93%, 0.00%), (NEE, 4,511, 0.91%, 0.00%), (JNJ, 1,798, 0.86%, 0.00%), (PLTR, 1,876, 0.85%, 0.00%), (WMT, 2,993, 0.83%, 0.00%), (UNH, 1,094, 0.83%, 0.00%), (CVX, 1,900, 0.83%, 0.00%), (PG, 1,892, 0.82%, 0.00%), (RTX, 1,798, 0.81%, 0.00%), (CAT, 652, 0.80%, 0.00%), (COST, 305, 0.80%, 0.00%), (MCD, 894, 0.77%, 0.00%), (ABT, 2,062, 0.75%, 0.00%), (HD, 676, 0.71%, 0.00%), (ABBV, 1,320, 0.71%, 0.00%), (AMD, 1,370, 0.69%, 0.00%), (KO, 3,420, 0.67%, 0.00%), (BAC, 4,894, 0.67%, 0.00%), (CRM, 875, 0.66%, 0.00%), (BKNG, 41, 0.66%, 0.00%), (BA, 1,010, 0.65%, 0.00%), (SO, 2,404, 0.65%, 0.00%), (NKE, 2,922, 0.64%, 0.00%), (PM, 1,372, 0.63%, 0.00%), (IBM, 846, 0.63%, 0.00%), (ISRG, 424, 0.60%, 0.00%), (ETN, 534, 0.59%, 0.00%), (INTU, 256, 0.58%, 0.00%), (DUK, 1,695, 0.58%, 0.00%), (GS, 279, 0.58%, 0.00%), (WFC, 2,441, 0.57%, 0.00%), (HON, 878, 0.55%, 0.00%), (UBER, 2,175, 0.54%, 0.00%), (NOW, 188, 0.52%, 0.00%), (MET, 2,432, 0.52%, 0.00%), (DE, 344, 0.50%, 0.00%), (PEP, 1,210, 0.49%, 0.00%), (T, 5,824, 0.46%, 0.00%), (MS, 1,103, 0.45%, 0.00%), (ACN, 572, 0.45%, 0.00%), (MRK, 1,889, 0.44%, 0.00%), (AXP, 495, 0.43%, 0.00%), (QCOM, 938, 0.42%, 0.00%), (SPGI, 282, 0.42%, 0.00%), (ADBE, 403, 0.42%, 0.00%), (VZ, 3,417, 0.41%, 0.00%), (TXN, 770, 0.41%, 0.00%), (BLK, 129, 0.41%, 0.00%), (COP, 1,470, 0.40%, 0.00%), (UNP, 626, 0.40%, 0.00%), (MDT, 1,525, 0.40%, 0.00%), (DIS, 1,164, 0.40%, 0.00%), (TMO, 286, 0.39%, 0.00%), (C, 1,387, 0.38%, 0.00%), (SBUX, 1,414, 0.37%, 0.00%), (AMAT, 696, 0.37%, 0.00%), (SCHW, 1,329, 0.37%, 0.00%), (AMGN, 401, 0.34%, 0.00%), (LMT, 285, 0.34%, 0.00%), (EMR, 770, 0.32%, 0.00%), (MMM, 736, 0.31%, 0.00%), (GILD, 931, 0.30%, 0.00%), (PFE, 4,232, 0.29%, 0.00%), (DHR, 480, 0.28%, 0.00%), (TJX, 768, 0.27%, 0.00%), (CVS, 1,496, 0.26%, 0.00%), (MO, 1,495, 0.26%, 0.00%), (LOW, 386, 0.25%, 0.00%), (ELV, 276, 0.23%, 0.00%), (CMCSA, 2,453, 0.23%, 0.00%), (MDLZ, 1,180, 0.22%, 0.00%), (INTC, 3,642, 0.21%, 0.00%), (BMY, 1,515, 0.20%, 0.00%), (UPS, 755, 0.19%, 0.00%), (PYPL, 892, 0.18%, 0.00%), (CL, 656, 0.16%, 0.00%), (USB, 1,144, 0.15%, 0.00%), (FDX, 232, 0.15%, 0.00%), (TGT, 318, 0.09%, 0.00%), (SC31761B, nan, nan%, 0.00%), (SC31763B, nan, nan%, 0.00%), (SP31762B, nan, nan%, 0.00%), (SP31765B, nan, nan%, 0.00%), (SP31764B, nan, nan%, 0.00%), (XP31765B, nan, nan%, 0.00%)</t>
  </si>
  <si>
    <t>(AVGO, 2,595, 3.26%, 0.00%), (META, 922, 2.67%, 0.00%), (BRK/B, 1,072, 2.13%, 0.00%), (GOOGL, 2,471, 2.01%, 0.00%), (CSCO, 6,512, 1.85%, 0.00%), (LIN, 921, 1.79%, 0.00%), (JPM, 1,358, 1.69%, 0.00%), (GOOG, 2,012, 1.65%, 0.00%), (AMT, 1,869, 1.63%, 0.00%), (TSLA, 1,233, 1.63%, 0.00%), (XOM, 3,287, 1.53%, 0.00%), (V, 1,011, 1.48%, 0.00%), (LLY, 387, 1.23%, 0.00%), (CB, 1,031, 1.15%, 0.00%), (WM, 1,155, 1.12%, 0.00%), (MA, 480, 1.12%, 0.00%), (GE, 962, 1.09%, 0.00%), (ORCL, 968, 1.00%, 0.00%), (NFLX, 181, 0.90%, 0.00%), (NEE, 2,968, 0.88%, 0.00%), (JNJ, 1,183, 0.82%, 0.00%), (PLTR, 1,234, 0.82%, 0.00%), (WMT, 1,969, 0.80%, 0.00%), (UNH, 720, 0.80%, 0.00%), (CVX, 1,250, 0.80%, 0.00%), (PG, 1,245, 0.79%, 0.00%), (RTX, 1,183, 0.78%, 0.00%), (CAT, 429, 0.78%, 0.00%), (COST, 201, 0.78%, 0.00%), (MCD, 588, 0.74%, 0.00%), (ABT, 1,357, 0.72%, 0.00%), (HD, 445, 0.69%, 0.00%), (ABBV, 868, 0.68%, 0.00%), (AMD, 902, 0.66%, 0.00%), (KO, 2,250, 0.64%, 0.00%), (BAC, 3,220, 0.64%, 0.00%), (BKNG, 27, 0.63%, 0.00%), (CRM, 575, 0.63%, 0.00%), (BA, 664, 0.63%, 0.00%), (SO, 1,581, 0.63%, 0.00%), (NKE, 1,922, 0.61%, 0.00%), (PM, 902, 0.61%, 0.00%), (IBM, 557, 0.60%, 0.00%), (ISRG, 279, 0.58%, 0.00%), (ETN, 351, 0.57%, 0.00%), (INTU, 169, 0.57%, 0.00%), (GS, 184, 0.56%, 0.00%), (DUK, 1,115, 0.56%, 0.00%), (WFC, 1,606, 0.55%, 0.00%), (HON, 578, 0.53%, 0.00%), (UBER, 1,431, 0.52%, 0.00%), (NOW, 124, 0.51%, 0.00%), (MET, 1,600, 0.50%, 0.00%), (DE, 226, 0.48%, 0.00%), (PEP, 796, 0.47%, 0.00%), (T, 3,832, 0.44%, 0.00%), (MS, 726, 0.44%, 0.00%), (ACN, 376, 0.43%, 0.00%), (MRK, 1,243, 0.42%, 0.00%), (AXP, 326, 0.41%, 0.00%), (SPGI, 186, 0.41%, 0.00%), (QCOM, 617, 0.41%, 0.00%), (ADBE, 265, 0.40%, 0.00%), (VZ, 2,248, 0.40%, 0.00%), (TXN, 507, 0.40%, 0.00%), (BLK, 85, 0.40%, 0.00%), (COP, 967, 0.39%, 0.00%), (UNP, 412, 0.39%, 0.00%), (MDT, 1,003, 0.38%, 0.00%), (DIS, 766, 0.38%, 0.00%), (TMO, 188, 0.37%, 0.00%), (C, 912, 0.36%, 0.00%), (AMAT, 458, 0.36%, 0.00%), (SBUX, 930, 0.36%, 0.00%), (SCHW, 875, 0.36%, 0.00%), (AMGN, 264, 0.33%, 0.00%), (LMT, 187, 0.33%, 0.00%), (EMR, 507, 0.31%, 0.00%), (MMM, 484, 0.30%, 0.00%), (GILD, 612, 0.29%, 0.00%), (PFE, 2,784, 0.28%, 0.00%), (DHR, 316, 0.27%, 0.00%), (TJX, 505, 0.26%, 0.00%), (CVS, 984, 0.25%, 0.00%), (MO, 984, 0.25%, 0.00%), (LOW, 254, 0.24%, 0.00%), (ELV, 181, 0.22%, 0.00%), (CMCSA, 1,614, 0.22%, 0.00%), (MDLZ, 776, 0.21%, 0.00%), (INTC, 2,396, 0.20%, 0.00%), (BMY, 996, 0.19%, 0.00%), (UPS, 497, 0.18%, 0.00%), (PYPL, 587, 0.17%, 0.00%), (CL, 432, 0.15%, 0.00%), (USB, 752, 0.14%, 0.00%), (FDX, 153, 0.14%, 0.00%), (TGT, 209, 0.09%, 0.00%), (SC9061B, nan, nan%, 0.00%), (SC9063B, nan, nan%, 0.00%), (SP9062B, nan, nan%, 0.00%), (SP9065B, nan, nan%, 0.00%), (SP9064B, nan, nan%, 0.00%), (XP9065B, nan, nan%, 0.00%)</t>
  </si>
  <si>
    <t>(META, 869, 2.46%, 0.00%), (BRK/B, 1,011, 1.96%, 0.00%), (GOOGL, 2,330, 1.86%, 0.00%), (CSCO, 6,140, 1.71%, 0.00%), (LIN, 869, 1.65%, 0.00%), (JPM, 1,281, 1.56%, 0.00%), (GOOG, 1,898, 1.52%, 0.00%), (AMT, 1,762, 1.50%, 0.00%), (TSLA, 1,163, 1.50%, 0.00%), (XOM, 3,100, 1.41%, 0.00%), (V, 953, 1.36%, 0.00%), (LLY, 365, 1.13%, 0.00%), (CB, 973, 1.06%, 0.00%), (WM, 1,089, 1.03%, 0.00%), (MA, 452, 1.03%, 0.00%), (GE, 907, 1.01%, 0.00%), (ORCL, 912, 0.93%, 0.00%), (NFLX, 170, 0.82%, 0.00%), (NEE, 2,799, 0.81%, 0.00%), (JNJ, 1,115, 0.76%, 0.00%), (PLTR, 1,164, 0.75%, 0.00%), (WMT, 1,857, 0.74%, 0.00%), (UNH, 679, 0.74%, 0.00%), (CVX, 1,179, 0.74%, 0.00%), (PG, 1,174, 0.73%, 0.00%), (COST, 190, 0.72%, 0.00%), (RTX, 1,115, 0.72%, 0.00%), (CAT, 405, 0.72%, 0.00%), (MCD, 555, 0.68%, 0.00%), (ABT, 1,280, 0.67%, 0.00%), (HD, 420, 0.64%, 0.00%), (ABBV, 819, 0.63%, 0.00%), (AMD, 850, 0.61%, 0.00%), (BKNG, 26, 0.60%, 0.00%), (KO, 2,122, 0.59%, 0.00%), (BAC, 3,036, 0.59%, 0.00%), (CRM, 543, 0.59%, 0.00%), (BA, 626, 0.58%, 0.00%), (SO, 1,491, 0.58%, 0.00%), (NKE, 1,813, 0.57%, 0.00%), (PM, 851, 0.56%, 0.00%), (IBM, 525, 0.56%, 0.00%), (ISRG, 263, 0.53%, 0.00%), (ETN, 331, 0.53%, 0.00%), (INTU, 159, 0.52%, 0.00%), (DUK, 1,051, 0.52%, 0.00%), (GS, 173, 0.52%, 0.00%), (WFC, 1,514, 0.50%, 0.00%), (HON, 545, 0.49%, 0.00%), (UBER, 1,349, 0.48%, 0.00%), (NOW, 117, 0.47%, 0.00%), (MET, 1,509, 0.46%, 0.00%), (DE, 213, 0.44%, 0.00%), (PEP, 751, 0.44%, 0.00%), (T, 3,613, 0.41%, 0.00%), (MS, 684, 0.40%, 0.00%), (ACN, 355, 0.40%, 0.00%), (MRK, 1,172, 0.39%, 0.00%), (AXP, 307, 0.38%, 0.00%), (SPGI, 175, 0.38%, 0.00%), (QCOM, 582, 0.38%, 0.00%), (ADBE, 250, 0.37%, 0.00%), (VZ, 2,120, 0.37%, 0.00%), (TXN, 478, 0.37%, 0.00%), (BLK, 80, 0.36%, 0.00%), (COP, 912, 0.36%, 0.00%), (UNP, 388, 0.36%, 0.00%), (MDT, 946, 0.35%, 0.00%), (DIS, 722, 0.35%, 0.00%), (TMO, 177, 0.34%, 0.00%), (C, 860, 0.34%, 0.00%), (AMAT, 432, 0.33%, 0.00%), (SBUX, 877, 0.33%, 0.00%), (SCHW, 825, 0.33%, 0.00%), (AMGN, 249, 0.31%, 0.00%), (LMT, 177, 0.30%, 0.00%), (EMR, 478, 0.28%, 0.00%), (MMM, 456, 0.27%, 0.00%), (GILD, 577, 0.27%, 0.00%), (PFE, 2,625, 0.26%, 0.00%), (DHR, 298, 0.25%, 0.00%), (TJX, 476, 0.24%, 0.00%), (CVS, 928, 0.23%, 0.00%), (MO, 928, 0.23%, 0.00%), (LOW, 240, 0.22%, 0.00%), (ELV, 171, 0.20%, 0.00%), (CMCSA, 1,522, 0.20%, 0.00%), (MDLZ, 732, 0.20%, 0.00%), (INTC, 2,260, 0.19%, 0.00%), (BMY, 940, 0.18%, 0.00%), (UPS, 469, 0.17%, 0.00%), (PYPL, 553, 0.16%, 0.00%), (CL, 407, 0.14%, 0.00%), (USB, 710, 0.13%, 0.00%), (FDX, 144, 0.13%, 0.00%), (TGT, 197, 0.08%, 0.00%)</t>
  </si>
  <si>
    <t>(AVGO, 1,642, 3.18%, 0.00%), (META, 583, 2.60%, 0.00%), (BRK/B, 679, 2.08%, 0.00%), (GOOGL, 1,564, 1.97%, 0.00%), (CSCO, 4,121, 1.81%, 0.00%), (LIN, 583, 1.75%, 0.00%), (JPM, 859, 1.65%, 0.00%), (GOOG, 1,274, 1.61%, 0.00%), (AMT, 1,183, 1.59%, 0.00%), (TSLA, 781, 1.59%, 0.00%), (XOM, 2,080, 1.49%, 0.00%), (V, 640, 1.45%, 0.00%), (LLY, 245, 1.20%, 0.00%), (CB, 653, 1.12%, 0.00%), (WM, 731, 1.09%, 0.00%), (MA, 304, 1.09%, 0.00%), (GE, 609, 1.07%, 0.00%), (ORCL, 612, 0.98%, 0.00%), (NFLX, 114, 0.87%, 0.00%), (NEE, 1,878, 0.86%, 0.00%), (JNJ, 749, 0.80%, 0.00%), (PLTR, 781, 0.80%, 0.00%), (UNH, 456, 0.78%, 0.00%), (WMT, 1,246, 0.78%, 0.00%), (CVX, 791, 0.78%, 0.00%), (PG, 788, 0.77%, 0.00%), (RTX, 749, 0.76%, 0.00%), (CAT, 272, 0.76%, 0.00%), (COST, 127, 0.76%, 0.00%), (MCD, 372, 0.72%, 0.00%), (ABT, 859, 0.71%, 0.00%), (HD, 282, 0.67%, 0.00%), (ABBV, 549, 0.66%, 0.00%), (AMD, 571, 0.65%, 0.00%), (KO, 1,424, 0.63%, 0.00%), (BAC, 2,038, 0.63%, 0.00%), (CRM, 364, 0.62%, 0.00%), (BKNG, 17, 0.61%, 0.00%), (SO, 1,001, 0.61%, 0.00%), (BA, 420, 0.61%, 0.00%), (NKE, 1,217, 0.60%, 0.00%), (PM, 571, 0.60%, 0.00%), (IBM, 352, 0.59%, 0.00%), (ISRG, 176, 0.57%, 0.00%), (ETN, 222, 0.56%, 0.00%), (INTU, 107, 0.56%, 0.00%), (DUK, 706, 0.55%, 0.00%), (GS, 116, 0.55%, 0.00%), (WFC, 1,016, 0.53%, 0.00%), (HON, 366, 0.52%, 0.00%), (UBER, 906, 0.51%, 0.00%), (NOW, 78, 0.49%, 0.00%), (MET, 1,013, 0.49%, 0.00%), (DE, 143, 0.47%, 0.00%), (PEP, 504, 0.46%, 0.00%), (T, 2,425, 0.43%, 0.00%), (MS, 459, 0.43%, 0.00%), (ACN, 238, 0.42%, 0.00%), (MRK, 786, 0.41%, 0.00%), (SPGI, 118, 0.40%, 0.00%), (AXP, 206, 0.40%, 0.00%), (QCOM, 391, 0.40%, 0.00%), (ADBE, 168, 0.39%, 0.00%), (VZ, 1,423, 0.39%, 0.00%), (TXN, 321, 0.39%, 0.00%), (BLK, 54, 0.39%, 0.00%), (COP, 612, 0.38%, 0.00%), (UNP, 261, 0.38%, 0.00%), (MDT, 635, 0.37%, 0.00%), (DIS, 485, 0.37%, 0.00%), (TMO, 119, 0.36%, 0.00%), (C, 577, 0.36%, 0.00%), (SBUX, 589, 0.35%, 0.00%), (SCHW, 554, 0.35%, 0.00%), (AMAT, 290, 0.35%, 0.00%), (AMGN, 167, 0.32%, 0.00%), (LMT, 119, 0.32%, 0.00%), (EMR, 321, 0.30%, 0.00%), (MMM, 306, 0.29%, 0.00%), (GILD, 387, 0.29%, 0.00%), (PFE, 1,762, 0.27%, 0.00%), (DHR, 200, 0.26%, 0.00%), (TJX, 320, 0.26%, 0.00%), (CVS, 623, 0.25%, 0.00%), (MO, 623, 0.25%, 0.00%), (LOW, 161, 0.24%, 0.00%), (ELV, 115, 0.22%, 0.00%), (CMCSA, 1,021, 0.21%, 0.00%), (MDLZ, 491, 0.21%, 0.00%), (INTC, 1,516, 0.20%, 0.00%), (BMY, 631, 0.19%, 0.00%), (UPS, 315, 0.18%, 0.00%), (PYPL, 371, 0.17%, 0.00%), (CL, 273, 0.15%, 0.00%), (USB, 476, 0.14%, 0.00%), (FDX, 97, 0.14%, 0.00%), (TGT, 132, 0.09%, 0.00%), (SC8071B, nan, nan%, 0.00%), (SC8073B, nan, nan%, 0.00%), (SP8072B, nan, nan%, 0.00%), (SP8075B, nan, nan%, 0.00%), (SP8074B, nan, nan%, 0.00%), (XP8075B, nan, nan%, 0.00%)</t>
  </si>
  <si>
    <t>(META, 6,009, 2.50%, 0.00%), (BRK/B, 6,991, 2.00%, 0.00%), (GOOGL, 16,105, 1.89%, 0.00%), (CSCO, 42,447, 1.74%, 0.00%), (LIN, 6,006, 1.68%, 0.00%), (JPM, 8,852, 1.59%, 0.00%), (GOOG, 13,118, 1.55%, 0.00%), (AMT, 12,184, 1.53%, 0.00%), (TSLA, 8,041, 1.53%, 0.00%), (XOM, 21,427, 1.44%, 0.00%), (V, 6,591, 1.39%, 0.00%), (LLY, 2,523, 1.15%, 0.00%), (CB, 6,724, 1.08%, 0.00%), (WM, 7,532, 1.05%, 0.00%), (MA, 3,126, 1.05%, 0.00%), (GE, 6,269, 1.03%, 0.00%), (ORCL, 6,307, 0.94%, 0.00%), (NFLX, 1,178, 0.84%, 0.00%), (NEE, 19,348, 0.83%, 0.00%), (JNJ, 7,711, 0.77%, 0.00%), (PLTR, 8,044, 0.77%, 0.00%), (WMT, 12,835, 0.75%, 0.00%), (UNH, 4,693, 0.75%, 0.00%), (CVX, 8,148, 0.75%, 0.00%), (PG, 8,113, 0.74%, 0.00%), (RTX, 7,710, 0.73%, 0.00%), (COST, 1,310, 0.73%, 0.00%), (CAT, 2,797, 0.73%, 0.00%), (MCD, 3,834, 0.70%, 0.00%), (ABT, 8,845, 0.68%, 0.00%), (HD, 2,901, 0.65%, 0.00%), (ABBV, 5,659, 0.64%, 0.00%), (AMD, 5,877, 0.62%, 0.00%), (KO, 14,669, 0.61%, 0.00%), (BAC, 20,989, 0.60%, 0.00%), (BKNG, 177, 0.60%, 0.00%), (CRM, 3,752, 0.60%, 0.00%), (BA, 4,331, 0.59%, 0.00%), (SO, 10,309, 0.59%, 0.00%), (NKE, 12,532, 0.58%, 0.00%), (PM, 5,883, 0.57%, 0.00%), (IBM, 3,628, 0.57%, 0.00%), (ISRG, 1,816, 0.54%, 0.00%), (ETN, 2,289, 0.54%, 0.00%), (INTU, 1,100, 0.53%, 0.00%), (DUK, 7,268, 0.53%, 0.00%), (GS, 1,197, 0.52%, 0.00%), (WFC, 10,469, 0.51%, 0.00%), (HON, 3,767, 0.50%, 0.00%), (UBER, 9,327, 0.49%, 0.00%), (NOW, 808, 0.47%, 0.00%), (MET, 10,432, 0.47%, 0.00%), (DE, 1,474, 0.45%, 0.00%), (PEP, 5,191, 0.45%, 0.00%), (T, 24,980, 0.41%, 0.00%), (MS, 4,731, 0.41%, 0.00%), (ACN, 2,452, 0.40%, 0.00%), (MRK, 8,101, 0.40%, 0.00%), (AXP, 2,122, 0.39%, 0.00%), (SPGI, 1,211, 0.38%, 0.00%), (QCOM, 4,024, 0.38%, 0.00%), (ADBE, 1,727, 0.38%, 0.00%), (VZ, 14,655, 0.38%, 0.00%), (TXN, 3,304, 0.37%, 0.00%), (BLK, 555, 0.37%, 0.00%), (COP, 6,306, 0.36%, 0.00%), (UNP, 2,685, 0.36%, 0.00%), (MDT, 6,540, 0.36%, 0.00%), (DIS, 4,992, 0.36%, 0.00%), (TMO, 1,225, 0.35%, 0.00%), (C, 5,947, 0.34%, 0.00%), (SBUX, 6,064, 0.34%, 0.00%), (AMAT, 2,986, 0.34%, 0.00%), (SCHW, 5,701, 0.34%, 0.00%), (AMGN, 1,721, 0.31%, 0.00%), (LMT, 1,222, 0.31%, 0.00%), (EMR, 3,303, 0.29%, 0.00%), (MMM, 3,155, 0.28%, 0.00%), (GILD, 3,991, 0.28%, 0.00%), (PFE, 18,149, 0.26%, 0.00%), (DHR, 2,059, 0.25%, 0.00%), (TJX, 3,294, 0.25%, 0.00%), (CVS, 6,418, 0.24%, 0.00%), (MO, 6,413, 0.24%, 0.00%), (LOW, 1,657, 0.23%, 0.00%), (ELV, 1,183, 0.21%, 0.00%), (CMCSA, 10,521, 0.21%, 0.00%), (MDLZ, 5,060, 0.20%, 0.00%), (INTC, 15,620, 0.19%, 0.00%), (BMY, 6,495, 0.18%, 0.00%), (UPS, 3,240, 0.17%, 0.00%), (PYPL, 3,824, 0.16%, 0.00%), (CL, 2,815, 0.14%, 0.00%), (USB, 4,905, 0.14%, 0.00%), (FDX, 996, 0.13%, 0.00%), (TGT, 1,362, 0.08%, 0.00%)</t>
  </si>
  <si>
    <t>(AVGO, 14,865, 3.24%, 0.00%), (META, 5,281, 2.65%, 0.00%), (BRK/B, 6,143, 2.11%, 0.00%), (GOOGL, 14,153, 2.00%, 0.00%), (CSCO, 37,303, 1.84%, 0.00%), (LIN, 5,278, 1.78%, 0.00%), (JPM, 7,779, 1.68%, 0.00%), (GOOG, 11,528, 1.64%, 0.00%), (AMT, 10,707, 1.62%, 0.00%), (TSLA, 7,066, 1.61%, 0.00%), (XOM, 18,830, 1.52%, 0.00%), (V, 5,792, 1.47%, 0.00%), (LLY, 2,218, 1.22%, 0.00%), (CB, 5,909, 1.14%, 0.00%), (WM, 6,619, 1.11%, 0.00%), (MA, 2,747, 1.11%, 0.00%), (GE, 5,510, 1.09%, 0.00%), (ORCL, 5,543, 1.00%, 0.00%), (NFLX, 1,035, 0.89%, 0.00%), (NEE, 17,003, 0.88%, 0.00%), (JNJ, 6,776, 0.82%, 0.00%), (PLTR, 7,069, 0.81%, 0.00%), (WMT, 11,280, 0.79%, 0.00%), (UNH, 4,124, 0.79%, 0.00%), (CVX, 7,160, 0.79%, 0.00%), (PG, 7,130, 0.79%, 0.00%), (RTX, 6,776, 0.77%, 0.00%), (COST, 1,151, 0.77%, 0.00%), (CAT, 2,458, 0.77%, 0.00%), (MCD, 3,369, 0.74%, 0.00%), (ABT, 7,773, 0.72%, 0.00%), (HD, 2,549, 0.68%, 0.00%), (ABBV, 4,973, 0.68%, 0.00%), (AMD, 5,165, 0.66%, 0.00%), (KO, 12,891, 0.64%, 0.00%), (BAC, 18,445, 0.64%, 0.00%), (BKNG, 156, 0.63%, 0.00%), (CRM, 3,297, 0.63%, 0.00%), (BA, 3,806, 0.62%, 0.00%), (SO, 9,059, 0.62%, 0.00%), (NKE, 11,013, 0.61%, 0.00%), (PM, 5,170, 0.61%, 0.00%), (IBM, 3,189, 0.60%, 0.00%), (ISRG, 1,596, 0.57%, 0.00%), (ETN, 2,012, 0.57%, 0.00%), (INTU, 967, 0.56%, 0.00%), (DUK, 6,387, 0.56%, 0.00%), (GS, 1,052, 0.55%, 0.00%), (WFC, 9,200, 0.54%, 0.00%), (HON, 3,310, 0.53%, 0.00%), (UBER, 8,197, 0.52%, 0.00%), (NOW, 710, 0.50%, 0.00%), (MET, 9,168, 0.50%, 0.00%), (DE, 1,295, 0.48%, 0.00%), (PEP, 4,562, 0.47%, 0.00%), (T, 21,952, 0.44%, 0.00%), (MS, 4,158, 0.43%, 0.00%), (ACN, 2,155, 0.43%, 0.00%), (MRK, 7,119, 0.42%, 0.00%), (AXP, 1,865, 0.41%, 0.00%), (SPGI, 1,064, 0.41%, 0.00%), (QCOM, 3,536, 0.40%, 0.00%), (ADBE, 1,518, 0.40%, 0.00%), (VZ, 12,879, 0.40%, 0.00%), (TXN, 2,903, 0.40%, 0.00%), (BLK, 488, 0.39%, 0.00%), (COP, 5,542, 0.39%, 0.00%), (UNP, 2,360, 0.38%, 0.00%), (MDT, 5,748, 0.38%, 0.00%), (DIS, 4,387, 0.38%, 0.00%), (TMO, 1,077, 0.37%, 0.00%), (C, 5,226, 0.36%, 0.00%), (SBUX, 5,329, 0.36%, 0.00%), (AMAT, 2,624, 0.36%, 0.00%), (SCHW, 5,010, 0.36%, 0.00%), (AMGN, 1,513, 0.33%, 0.00%), (LMT, 1,074, 0.33%, 0.00%), (EMR, 2,903, 0.31%, 0.00%), (MMM, 2,772, 0.29%, 0.00%), (GILD, 3,507, 0.29%, 0.00%), (PFE, 15,949, 0.28%, 0.00%), (DHR, 1,809, 0.27%, 0.00%), (TJX, 2,894, 0.26%, 0.00%), (CVS, 5,640, 0.25%, 0.00%), (MO, 5,635, 0.25%, 0.00%), (LOW, 1,456, 0.24%, 0.00%), (ELV, 1,039, 0.22%, 0.00%), (CMCSA, 9,246, 0.22%, 0.00%), (MDLZ, 4,446, 0.21%, 0.00%), (INTC, 13,727, 0.20%, 0.00%), (BMY, 5,708, 0.19%, 0.00%), (UPS, 2,847, 0.18%, 0.00%), (PYPL, 3,360, 0.17%, 0.00%), (CL, 2,473, 0.15%, 0.00%), (USB, 4,311, 0.14%, 0.00%), (FDX, 875, 0.14%, 0.00%), (TGT, 1,197, 0.09%, 0.00%), (SC23471B, nan, nan%, 0.00%), (SC23473B, nan, nan%, 0.00%), (SP23472B, nan, nan%, 0.00%), (SP23475B, nan, nan%, 0.00%), (SP23474B, nan, nan%, 0.00%), (XP23475B, nan, nan%, 0.00%)</t>
  </si>
  <si>
    <t>(AVGO, 11,072, 3.23%, 0.00%), (META, 3,933, 2.64%, 0.00%), (BRK/B, 4,576, 2.11%, 0.00%), (GOOGL, 10,541, 2.00%, 0.00%), (CSCO, 27,783, 1.83%, 0.00%), (LIN, 3,931, 1.78%, 0.00%), (JPM, 5,794, 1.68%, 0.00%), (GOOG, 8,586, 1.64%, 0.00%), (AMT, 7,974, 1.61%, 0.00%), (TSLA, 5,263, 1.61%, 0.00%), (XOM, 14,025, 1.51%, 0.00%), (V, 4,314, 1.47%, 0.00%), (LLY, 1,652, 1.22%, 0.00%), (CB, 4,401, 1.13%, 0.00%), (WM, 4,930, 1.11%, 0.00%), (MA, 2,046, 1.11%, 0.00%), (GE, 4,104, 1.08%, 0.00%), (ORCL, 4,128, 0.99%, 0.00%), (NFLX, 771, 0.88%, 0.00%), (NEE, 12,663, 0.87%, 0.00%), (JNJ, 5,047, 0.82%, 0.00%), (PLTR, 5,265, 0.81%, 0.00%), (WMT, 8,401, 0.79%, 0.00%), (UNH, 3,072, 0.79%, 0.00%), (CVX, 5,333, 0.79%, 0.00%), (PG, 5,310, 0.78%, 0.00%), (RTX, 5,047, 0.77%, 0.00%), (COST, 858, 0.77%, 0.00%), (CAT, 1,831, 0.77%, 0.00%), (MCD, 2,509, 0.73%, 0.00%), (ABT, 5,789, 0.72%, 0.00%), (HD, 1,899, 0.68%, 0.00%), (ABBV, 3,704, 0.67%, 0.00%), (AMD, 3,847, 0.66%, 0.00%), (KO, 9,601, 0.64%, 0.00%), (BAC, 13,738, 0.64%, 0.00%), (BKNG, 116, 0.63%, 0.00%), (CRM, 2,455, 0.63%, 0.00%), (BA, 2,834, 0.62%, 0.00%), (SO, 6,747, 0.62%, 0.00%), (NKE, 8,203, 0.61%, 0.00%), (PM, 3,851, 0.60%, 0.00%), (IBM, 2,375, 0.60%, 0.00%), (ISRG, 1,189, 0.57%, 0.00%), (ETN, 1,498, 0.56%, 0.00%), (INTU, 720, 0.56%, 0.00%), (DUK, 4,757, 0.56%, 0.00%), (GS, 784, 0.55%, 0.00%), (WFC, 6,852, 0.54%, 0.00%), (HON, 2,465, 0.53%, 0.00%), (UBER, 6,105, 0.52%, 0.00%), (NOW, 529, 0.50%, 0.00%), (MET, 6,828, 0.50%, 0.00%), (DE, 965, 0.47%, 0.00%), (PEP, 3,398, 0.47%, 0.00%), (T, 16,350, 0.44%, 0.00%), (MS, 3,097, 0.43%, 0.00%), (ACN, 1,605, 0.43%, 0.00%), (MRK, 5,303, 0.42%, 0.00%), (AXP, 1,389, 0.41%, 0.00%), (SPGI, 793, 0.41%, 0.00%), (QCOM, 2,634, 0.40%, 0.00%), (ADBE, 1,131, 0.40%, 0.00%), (VZ, 9,592, 0.40%, 0.00%), (TXN, 2,162, 0.39%, 0.00%), (BLK, 363, 0.39%, 0.00%), (COP, 4,128, 0.38%, 0.00%), (UNP, 1,758, 0.38%, 0.00%), (MDT, 4,281, 0.38%, 0.00%), (DIS, 3,267, 0.38%, 0.00%), (TMO, 802, 0.37%, 0.00%), (C, 3,892, 0.36%, 0.00%), (SBUX, 3,969, 0.36%, 0.00%), (AMAT, 1,954, 0.36%, 0.00%), (SCHW, 3,732, 0.36%, 0.00%), (AMGN, 1,127, 0.33%, 0.00%), (LMT, 800, 0.32%, 0.00%), (EMR, 2,162, 0.31%, 0.00%), (MMM, 2,065, 0.29%, 0.00%), (GILD, 2,612, 0.29%, 0.00%), (PFE, 11,879, 0.27%, 0.00%), (DHR, 1,347, 0.27%, 0.00%), (TJX, 2,156, 0.26%, 0.00%), (CVS, 4,200, 0.25%, 0.00%), (MO, 4,197, 0.25%, 0.00%), (LOW, 1,084, 0.24%, 0.00%), (ELV, 774, 0.22%, 0.00%), (CMCSA, 6,886, 0.22%, 0.00%), (MDLZ, 3,312, 0.21%, 0.00%), (INTC, 10,224, 0.20%, 0.00%), (BMY, 4,251, 0.19%, 0.00%), (UPS, 2,120, 0.18%, 0.00%), (PYPL, 2,503, 0.17%, 0.00%), (CL, 1,842, 0.15%, 0.00%), (USB, 3,211, 0.14%, 0.00%), (FDX, 652, 0.14%, 0.00%), (TGT, 892, 0.09%, 0.00%), (SC22171B, nan, nan%, 0.00%), (SC22173B, nan, nan%, 0.00%), (SP22172B, nan, nan%, 0.00%), (SP22175B, nan, nan%, 0.00%), (SP22174B, nan, nan%, 0.00%), (XP22175B, nan, nan%, 0.00%)</t>
  </si>
  <si>
    <t>(META, 1,481, 2.52%, 0.00%), (BRK/B, 1,723, 2.01%, 0.00%), (GOOGL, 3,970, 1.91%, 0.00%), (CSCO, 10,462, 1.75%, 0.00%), (LIN, 1,480, 1.69%, 0.00%), (JPM, 2,182, 1.60%, 0.00%), (GOOG, 3,233, 1.56%, 0.00%), (AMT, 3,003, 1.54%, 0.00%), (TSLA, 1,982, 1.54%, 0.00%), (XOM, 5,281, 1.44%, 0.00%), (V, 1,624, 1.40%, 0.00%), (LLY, 622, 1.16%, 0.00%), (CB, 1,657, 1.08%, 0.00%), (WM, 1,856, 1.06%, 0.00%), (MA, 771, 1.06%, 0.00%), (GE, 1,545, 1.03%, 0.00%), (ORCL, 1,555, 0.95%, 0.00%), (NFLX, 290, 0.84%, 0.00%), (NEE, 4,769, 0.83%, 0.00%), (JNJ, 1,900, 0.78%, 0.00%), (PLTR, 1,983, 0.77%, 0.00%), (WMT, 3,164, 0.76%, 0.00%), (UNH, 1,157, 0.76%, 0.00%), (CVX, 2,008, 0.75%, 0.00%), (PG, 2,000, 0.75%, 0.00%), (RTX, 1,900, 0.74%, 0.00%), (COST, 323, 0.73%, 0.00%), (CAT, 689, 0.73%, 0.00%), (MCD, 945, 0.70%, 0.00%), (ABT, 2,180, 0.68%, 0.00%), (HD, 715, 0.65%, 0.00%), (ABBV, 1,395, 0.64%, 0.00%), (AMD, 1,449, 0.63%, 0.00%), (KO, 3,616, 0.61%, 0.00%), (BAC, 5,173, 0.61%, 0.00%), (BKNG, 44, 0.61%, 0.00%), (CRM, 925, 0.60%, 0.00%), (BA, 1,067, 0.59%, 0.00%), (SO, 2,541, 0.59%, 0.00%), (NKE, 3,089, 0.58%, 0.00%), (PM, 1,450, 0.58%, 0.00%), (IBM, 894, 0.57%, 0.00%), (ISRG, 448, 0.55%, 0.00%), (ETN, 564, 0.54%, 0.00%), (INTU, 271, 0.53%, 0.00%), (DUK, 1,791, 0.53%, 0.00%), (GS, 295, 0.53%, 0.00%), (WFC, 2,580, 0.52%, 0.00%), (HON, 928, 0.51%, 0.00%), (UBER, 2,299, 0.49%, 0.00%), (NOW, 199, 0.48%, 0.00%), (MET, 2,571, 0.47%, 0.00%), (DE, 363, 0.45%, 0.00%), (PEP, 1,279, 0.45%, 0.00%), (T, 6,157, 0.42%, 0.00%), (MS, 1,166, 0.41%, 0.00%), (ACN, 604, 0.41%, 0.00%), (MRK, 1,997, 0.40%, 0.00%), (AXP, 523, 0.39%, 0.00%), (QCOM, 992, 0.39%, 0.00%), (SPGI, 298, 0.39%, 0.00%), (ADBE, 426, 0.38%, 0.00%), (VZ, 3,612, 0.38%, 0.00%), (TXN, 814, 0.38%, 0.00%), (BLK, 137, 0.37%, 0.00%), (COP, 1,554, 0.37%, 0.00%), (UNP, 662, 0.37%, 0.00%), (MDT, 1,612, 0.36%, 0.00%), (DIS, 1,230, 0.36%, 0.00%), (TMO, 302, 0.35%, 0.00%), (C, 1,466, 0.34%, 0.00%), (SBUX, 1,495, 0.34%, 0.00%), (AMAT, 736, 0.34%, 0.00%), (SCHW, 1,405, 0.34%, 0.00%), (AMGN, 424, 0.31%, 0.00%), (LMT, 301, 0.31%, 0.00%), (EMR, 814, 0.29%, 0.00%), (MMM, 778, 0.28%, 0.00%), (GILD, 984, 0.28%, 0.00%), (PFE, 4,473, 0.26%, 0.00%), (DHR, 507, 0.25%, 0.00%), (TJX, 812, 0.25%, 0.00%), (CVS, 1,582, 0.24%, 0.00%), (MO, 1,581, 0.24%, 0.00%), (LOW, 408, 0.23%, 0.00%), (ELV, 292, 0.21%, 0.00%), (CMCSA, 2,593, 0.21%, 0.00%), (MDLZ, 1,247, 0.20%, 0.00%), (INTC, 3,850, 0.19%, 0.00%), (BMY, 1,601, 0.18%, 0.00%), (UPS, 798, 0.17%, 0.00%), (PYPL, 942, 0.16%, 0.00%), (CL, 694, 0.15%, 0.00%), (USB, 1,209, 0.14%, 0.00%), (FDX, 245, 0.13%, 0.00%), (TGT, 336, 0.08%, 0.00%), (SC28181B, nan, nan%, 0.00%), (SC28183B, nan, nan%, 0.00%), (SP28182B, nan, nan%, 0.00%), (SP28185B, nan, nan%, 0.00%), (SP28184B, nan, nan%, 0.00%), (XP28185B, nan, nan%, 0.00%)</t>
  </si>
  <si>
    <t>(AVGO, 4,530, 3.12%, 0.00%), (META, 1,609, 2.55%, 0.00%), (BRK/B, 1,872, 2.03%, 0.00%), (GOOGL, 4,313, 1.93%, 0.00%), (CSCO, 11,368, 1.77%, 0.00%), (LIN, 1,608, 1.71%, 0.00%), (JPM, 2,371, 1.62%, 0.00%), (GOOG, 3,513, 1.58%, 0.00%), (AMT, 3,263, 1.56%, 0.00%), (TSLA, 2,153, 1.55%, 0.00%), (XOM, 5,738, 1.46%, 0.00%), (V, 1,765, 1.42%, 0.00%), (LLY, 676, 1.18%, 0.00%), (CB, 1,801, 1.09%, 0.00%), (WM, 2,017, 1.07%, 0.00%), (MA, 837, 1.07%, 0.00%), (GE, 1,679, 1.05%, 0.00%), (ORCL, 1,689, 0.96%, 0.00%), (NFLX, 316, 0.85%, 0.00%), (NEE, 5,181, 0.84%, 0.00%), (JNJ, 2,065, 0.79%, 0.00%), (PLTR, 2,154, 0.78%, 0.00%), (WMT, 3,437, 0.77%, 0.00%), (UNH, 1,257, 0.76%, 0.00%), (CVX, 2,182, 0.76%, 0.00%), (PG, 2,173, 0.76%, 0.00%), (RTX, 2,065, 0.75%, 0.00%), (COST, 351, 0.74%, 0.00%), (CAT, 749, 0.74%, 0.00%), (MCD, 1,027, 0.71%, 0.00%), (ABT, 2,369, 0.69%, 0.00%), (HD, 777, 0.66%, 0.00%), (ABBV, 1,516, 0.65%, 0.00%), (AMD, 1,574, 0.64%, 0.00%), (KO, 3,929, 0.62%, 0.00%), (BAC, 5,621, 0.61%, 0.00%), (CRM, 1,005, 0.61%, 0.00%), (BKNG, 47, 0.60%, 0.00%), (BA, 1,160, 0.60%, 0.00%), (SO, 2,761, 0.60%, 0.00%), (NKE, 3,356, 0.59%, 0.00%), (PM, 1,576, 0.58%, 0.00%), (IBM, 972, 0.58%, 0.00%), (ISRG, 486, 0.55%, 0.00%), (ETN, 613, 0.55%, 0.00%), (INTU, 295, 0.54%, 0.00%), (DUK, 1,946, 0.54%, 0.00%), (GS, 321, 0.53%, 0.00%), (WFC, 2,804, 0.52%, 0.00%), (HON, 1,009, 0.51%, 0.00%), (UBER, 2,498, 0.50%, 0.00%), (NOW, 216, 0.48%, 0.00%), (MET, 2,794, 0.48%, 0.00%), (DE, 395, 0.46%, 0.00%), (PEP, 1,390, 0.45%, 0.00%), (T, 6,690, 0.42%, 0.00%), (MS, 1,267, 0.42%, 0.00%), (ACN, 657, 0.41%, 0.00%), (MRK, 2,170, 0.41%, 0.00%), (AXP, 568, 0.39%, 0.00%), (QCOM, 1,078, 0.39%, 0.00%), (SPGI, 324, 0.39%, 0.00%), (ADBE, 463, 0.39%, 0.00%), (VZ, 3,925, 0.38%, 0.00%), (TXN, 885, 0.38%, 0.00%), (BLK, 149, 0.38%, 0.00%), (COP, 1,689, 0.37%, 0.00%), (UNP, 719, 0.37%, 0.00%), (MDT, 1,752, 0.37%, 0.00%), (DIS, 1,337, 0.37%, 0.00%), (TMO, 328, 0.36%, 0.00%), (C, 1,593, 0.35%, 0.00%), (SBUX, 1,624, 0.34%, 0.00%), (AMAT, 800, 0.34%, 0.00%), (SCHW, 1,527, 0.34%, 0.00%), (AMGN, 461, 0.32%, 0.00%), (LMT, 327, 0.31%, 0.00%), (EMR, 885, 0.29%, 0.00%), (MMM, 845, 0.28%, 0.00%), (GILD, 1,069, 0.28%, 0.00%), (PFE, 4,860, 0.26%, 0.00%), (DHR, 551, 0.26%, 0.00%), (TJX, 882, 0.25%, 0.00%), (CVS, 1,719, 0.24%, 0.00%), (MO, 1,717, 0.24%, 0.00%), (LOW, 444, 0.23%, 0.00%), (ELV, 317, 0.21%, 0.00%), (CMCSA, 2,818, 0.21%, 0.00%), (MDLZ, 1,355, 0.20%, 0.00%), (INTC, 4,183, 0.19%, 0.00%), (BMY, 1,740, 0.18%, 0.00%), (UPS, 868, 0.17%, 0.00%), (PYPL, 1,024, 0.16%, 0.00%), (CL, 754, 0.15%, 0.00%), (USB, 1,314, 0.14%, 0.00%), (FDX, 267, 0.14%, 0.00%), (TGT, 365, 0.09%, 0.00%), (SC13481B, nan, nan%, 0.00%), (SC13483B, nan, nan%, 0.00%), (SP13482B, nan, nan%, 0.00%), (SP13485B, nan, nan%, 0.00%), (SP13484B, nan, nan%, 0.00%), (XP13485B, nan, nan%, 0.00%)</t>
  </si>
  <si>
    <t>(AVGO, 8,527, 3.24%, 0.00%), (META, 3,029, 2.64%, 0.00%), (BRK/B, 3,524, 2.11%, 0.00%), (GOOGL, 8,118, 2.00%, 0.00%), (CSCO, 21,397, 1.83%, 0.00%), (LIN, 3,027, 1.78%, 0.00%), (JPM, 4,462, 1.68%, 0.00%), (GOOG, 6,613, 1.64%, 0.00%), (AMT, 6,141, 1.61%, 0.00%), (TSLA, 4,053, 1.61%, 0.00%), (XOM, 10,801, 1.52%, 0.00%), (V, 3,322, 1.47%, 0.00%), (LLY, 1,272, 1.22%, 0.00%), (CB, 3,389, 1.13%, 0.00%), (WM, 3,797, 1.11%, 0.00%), (MA, 1,576, 1.11%, 0.00%), (GE, 3,160, 1.08%, 0.00%), (ORCL, 3,179, 0.99%, 0.00%), (NFLX, 594, 0.88%, 0.00%), (NEE, 9,753, 0.87%, 0.00%), (JNJ, 3,887, 0.82%, 0.00%), (PLTR, 4,055, 0.81%, 0.00%), (WMT, 6,470, 0.79%, 0.00%), (UNH, 2,366, 0.79%, 0.00%), (CVX, 4,107, 0.79%, 0.00%), (PG, 4,090, 0.78%, 0.00%), (RTX, 3,887, 0.77%, 0.00%), (COST, 660, 0.77%, 0.00%), (CAT, 1,410, 0.77%, 0.00%), (MCD, 1,932, 0.73%, 0.00%), (ABT, 4,459, 0.72%, 0.00%), (HD, 1,462, 0.68%, 0.00%), (ABBV, 2,853, 0.67%, 0.00%), (AMD, 2,963, 0.66%, 0.00%), (KO, 7,395, 0.64%, 0.00%), (BAC, 10,580, 0.64%, 0.00%), (BKNG, 89, 0.63%, 0.00%), (CRM, 1,891, 0.63%, 0.00%), (BA, 2,183, 0.62%, 0.00%), (SO, 5,196, 0.62%, 0.00%), (NKE, 6,317, 0.61%, 0.00%), (PM, 2,965, 0.60%, 0.00%), (IBM, 1,829, 0.60%, 0.00%), (ISRG, 916, 0.57%, 0.00%), (ETN, 1,154, 0.57%, 0.00%), (INTU, 554, 0.56%, 0.00%), (DUK, 3,664, 0.56%, 0.00%), (GS, 603, 0.55%, 0.00%), (WFC, 5,277, 0.54%, 0.00%), (HON, 1,899, 0.53%, 0.00%), (UBER, 4,702, 0.52%, 0.00%), (NOW, 407, 0.50%, 0.00%), (MET, 5,259, 0.50%, 0.00%), (DE, 743, 0.47%, 0.00%), (PEP, 2,617, 0.47%, 0.00%), (T, 12,592, 0.44%, 0.00%), (MS, 2,385, 0.43%, 0.00%), (ACN, 1,236, 0.43%, 0.00%), (MRK, 4,084, 0.42%, 0.00%), (AXP, 1,070, 0.41%, 0.00%), (SPGI, 610, 0.41%, 0.00%), (QCOM, 2,028, 0.40%, 0.00%), (ADBE, 871, 0.40%, 0.00%), (VZ, 7,387, 0.40%, 0.00%), (TXN, 1,665, 0.40%, 0.00%), (BLK, 280, 0.39%, 0.00%), (COP, 3,179, 0.38%, 0.00%), (UNP, 1,354, 0.38%, 0.00%), (MDT, 3,297, 0.38%, 0.00%), (DIS, 2,516, 0.38%, 0.00%), (TMO, 617, 0.37%, 0.00%), (C, 2,998, 0.36%, 0.00%), (AMAT, 1,505, 0.36%, 0.00%), (SBUX, 3,057, 0.36%, 0.00%), (SCHW, 2,874, 0.36%, 0.00%), (AMGN, 868, 0.33%, 0.00%), (LMT, 616, 0.32%, 0.00%), (EMR, 1,665, 0.31%, 0.00%), (MMM, 1,590, 0.29%, 0.00%), (GILD, 2,012, 0.29%, 0.00%), (PFE, 9,148, 0.27%, 0.00%), (DHR, 1,038, 0.27%, 0.00%), (TJX, 1,660, 0.26%, 0.00%), (CVS, 3,235, 0.25%, 0.00%), (MO, 3,232, 0.25%, 0.00%), (LOW, 835, 0.24%, 0.00%), (ELV, 596, 0.22%, 0.00%), (CMCSA, 5,304, 0.22%, 0.00%), (MDLZ, 2,550, 0.21%, 0.00%), (INTC, 7,874, 0.20%, 0.00%), (BMY, 3,274, 0.19%, 0.00%), (UPS, 1,633, 0.18%, 0.00%), (PYPL, 1,927, 0.17%, 0.00%), (CL, 1,419, 0.15%, 0.00%), (USB, 2,473, 0.14%, 0.00%), (FDX, 502, 0.14%, 0.00%), (TGT, 687, 0.09%, 0.00%), (SC26771B, nan, nan%, 0.00%), (SC26773B, nan, nan%, 0.00%), (SP26772B, nan, nan%, 0.00%), (SP26775B, nan, nan%, 0.00%), (SP26774B, nan, nan%, 0.00%), (XP26775B, nan, nan%, 0.00%)</t>
  </si>
  <si>
    <t>EBAY, META, MSFT, BK, JPM, RJF, BLK, GOOGL, BKNG, MLI, V, EWBC</t>
  </si>
  <si>
    <t>(AMAT, 5,594, 1.83%, 0.00%), (EA, 6,512, 1.81%, 0.00%), (AXP, 3,294, 1.80%, 0.00%), (NVDA, 5,455, 1.79%, 0.00%), (HIG, 7,818, 1.78%, 0.00%), (ADP, 3,120, 1.77%, 0.00%), (TRV, 3,715, 1.77%, 0.00%), (SNA, 2,911, 1.70%, 0.01%), (UNM, 13,135, 1.70%, 0.01%), (PHM, 8,285, 1.69%, 0.00%), (KLAC, 1,033, 1.68%, 0.00%), (PCAR, 9,234, 1.66%, 0.00%), (ROST, 6,505, 1.62%, 0.00%), (CB, 3,294, 1.59%, 0.00%), (CRM, 3,345, 1.59%, 0.00%), (CTSH, 11,801, 1.58%, 0.00%), (SYF, 12,193, 1.56%, 0.00%), (PAYC, 3,572, 1.53%, 0.01%), (BKR, 17,367, 1.43%, 0.00%), (LEN, 6,893, 1.41%, 0.00%), (WSM, 4,129, 1.41%, 0.00%), (ACN, 2,782, 1.37%, 0.00%), (QCOM, 4,710, 1.27%, 0.00%), (DHI, 4,580, 1.19%, 0.00%), (AFL, 6,450, 1.17%, 0.00%), (ELV, 2,237, 1.16%, 0.00%), (AAPL, 3,041, 1.15%, 0.00%), (ODFL, 4,001, 1.09%, 0.00%), (CSCO, 8,737, 1.08%, 0.00%), (GE, 2,108, 1.04%, 0.00%), (LRCX, 6,015, 1.03%, 0.00%), (STT, 4,842, 0.99%, 0.00%), (MPWR, 745, 0.98%, 0.00%), (CF, 5,534, 0.93%, 0.00%), (PNC, 2,593, 0.90%, 0.00%), (AMP, 943, 0.89%, 0.00%), (MTB, 2,577, 0.89%, 0.00%), (COST, 484, 0.83%, 0.00%), (XOM, 4,054, 0.82%, 0.00%), (ABT, 3,486, 0.81%, 0.00%), (EOG, 3,647, 0.80%, 0.00%), (EG, 1,227, 0.75%, 0.00%), (CSL, 1,086, 0.71%, 0.00%), (GEV, 494, 0.60%, 0.00%), (NTRS, 2,248, 0.54%, 0.00%), (CRBG, 7,722, 0.50%, 0.00%), (MA, 469, 0.49%, 0.00%), (JNJ, 1,505, 0.45%, 0.00%), (ACM, 2,127, 0.43%, 0.00%), (DOV, 1,314, 0.43%, 0.00%), (CINF, 1,563, 0.42%, 0.00%), (LNC, 6,147, 0.42%, 0.00%), (WTFC, 1,811, 0.42%, 0.00%), (SLM, 7,217, 0.42%, 0.00%), (MCK, 325, 0.42%, 0.00%), (MTG, 8,832, 0.41%, 0.00%), (ALL, 1,113, 0.41%, 0.00%), (EQH, 4,357, 0.41%, 0.00%), (JXN, 2,537, 0.40%, 0.00%), (NUE, 1,503, 0.39%, 0.00%), (NKE, 2,740, 0.37%, 0.00%), (ADM, 3,743, 0.37%, 0.00%), (PGR, 820, 0.36%, 0.00%), (FANG, 1,170, 0.32%, 0.00%), (SC13N61B, nan, nan%, 0.00%), (SC13N63B, nan, nan%, 0.00%), (SP13N62B, nan, nan%, 0.00%), (SP13N65B, nan, nan%, 0.00%), (SP13N64B, nan, nan%, 0.00%), (SPX Index, nan, nan%, 0.00%), (XP13N65B, nan, nan%, 0.00%)</t>
  </si>
  <si>
    <t>(AVGO, 3,912, 3.32%, 0.00%), (META, 1,390, 3.02%, 0.00%), (BRK/B, 1,617, 2.20%, 0.00%), (GOOGL, 3,724, 2.06%, 0.00%), (CSCO, 9,816, 1.92%, 0.00%), (LIN, 1,389, 1.84%, 0.00%), (JPM, 2,047, 1.74%, 0.00%), (GOOG, 3,034, 1.69%, 0.00%), (AMT, 2,817, 1.68%, 0.00%), (TSLA, 1,859, 1.66%, 0.00%), (XOM, 4,955, 1.58%, 0.00%), (V, 1,524, 1.53%, 0.00%), (LLY, 584, 1.28%, 0.00%), (CB, 1,555, 1.19%, 0.00%), (MA, 723, 1.19%, 0.00%), (WM, 1,742, 1.15%, 0.00%), (GE, 1,450, 1.12%, 0.00%), (ORCL, 1,459, 1.07%, 0.00%), (NFLX, 272, 0.91%, 0.00%), (NEE, 4,474, 0.90%, 0.00%), (JNJ, 1,783, 0.85%, 0.00%), (PLTR, 1,860, 0.84%, 0.00%), (WMT, 2,968, 0.83%, 0.00%), (CVX, 1,884, 0.82%, 0.00%), (COST, 303, 0.81%, 0.00%), (CAT, 647, 0.81%, 0.00%), (PG, 1,876, 0.81%, 0.00%), (RTX, 1,783, 0.80%, 0.00%), (UNH, 1,085, 0.79%, 0.00%), (MCD, 887, 0.76%, 0.00%), (ABT, 2,045, 0.75%, 0.00%), (ABBV, 1,309, 0.72%, 0.00%), (HD, 671, 0.71%, 0.00%), (AMD, 1,359, 0.69%, 0.00%), (KO, 3,392, 0.66%, 0.00%), (BAC, 4,854, 0.66%, 0.00%), (BKNG, 41, 0.65%, 0.00%), (CRM, 868, 0.65%, 0.00%), (SO, 2,384, 0.65%, 0.00%), (BA, 1,001, 0.64%, 0.00%), (PM, 1,360, 0.64%, 0.00%), (IBM, 839, 0.62%, 0.00%), (NKE, 2,898, 0.62%, 0.00%), (ISRG, 420, 0.59%, 0.00%), (ETN, 529, 0.59%, 0.00%), (DUK, 1,681, 0.58%, 0.00%), (INTU, 254, 0.58%, 0.00%), (GS, 277, 0.58%, 0.00%), (WFC, 2,421, 0.56%, 0.00%), (HON, 871, 0.55%, 0.00%), (UBER, 2,157, 0.55%, 0.00%), (MET, 2,412, 0.53%, 0.00%), (NOW, 187, 0.52%, 0.00%), (DE, 341, 0.51%, 0.00%), (PEP, 1,200, 0.48%, 0.00%), (T, 5,777, 0.46%, 0.00%), (ACN, 567, 0.44%, 0.00%), (SPGI, 280, 0.44%, 0.00%), (MRK, 1,873, 0.43%, 0.00%), (AXP, 491, 0.42%, 0.00%), (VZ, 3,389, 0.42%, 0.00%), (ADBE, 399, 0.41%, 0.00%), (BLK, 128, 0.41%, 0.00%), (COP, 1,458, 0.40%, 0.00%), (QCOM, 930, 0.40%, 0.00%), (UNP, 621, 0.40%, 0.00%), (MDT, 1,512, 0.40%, 0.00%), (DIS, 1,154, 0.39%, 0.00%), (TMO, 283, 0.39%, 0.00%), (C, 1,375, 0.37%, 0.00%), (SCHW, 1,318, 0.37%, 0.00%), (SBUX, 1,402, 0.36%, 0.00%), (AMAT, 690, 0.36%, 0.00%), (AMGN, 398, 0.34%, 0.00%), (LMT, 283, 0.34%, 0.00%), (MS, 794, 0.33%, 0.00%), (EMR, 764, 0.32%, 0.00%), (MMM, 729, 0.31%, 0.00%), (GILD, 923, 0.30%, 0.00%), (TXN, 564, 0.29%, 0.00%), (PFE, 4,197, 0.28%, 0.00%), (DHR, 476, 0.27%, 0.00%), (TJX, 762, 0.27%, 0.00%), (CVS, 1,484, 0.26%, 0.00%), (MO, 1,483, 0.26%, 0.00%), (LOW, 383, 0.25%, 0.00%), (CMCSA, 2,433, 0.23%, 0.00%), (ELV, 274, 0.22%, 0.00%), (MDLZ, 1,170, 0.22%, 0.00%), (INTC, 3,612, 0.21%, 0.00%), (BMY, 1,502, 0.19%, 0.00%), (UPS, 749, 0.18%, 0.00%), (PYPL, 884, 0.17%, 0.00%), (CL, 651, 0.16%, 0.00%), (USB, 1,134, 0.15%, 0.00%), (FDX, 230, 0.15%, 0.00%), (TGT, 315, 0.09%, 0.00%), (SC31761B, nan, nan%, 0.00%), (SC31763B, nan, nan%, 0.00%), (SP31762B, nan, nan%, 0.00%), (SP31765B, nan, nan%, 0.00%), (SP31764B, nan, nan%, 0.00%), (XP31765B, nan, nan%, 0.00%)</t>
  </si>
  <si>
    <t>(AVGO, 2,573, 3.20%, 0.00%), (META, 914, 2.93%, 0.00%), (BRK/B, 1,063, 2.12%, 0.00%), (GOOGL, 2,450, 1.98%, 0.00%), (CSCO, 6,457, 1.85%, 0.00%), (LIN, 914, 1.78%, 0.00%), (JPM, 1,347, 1.67%, 0.00%), (GOOG, 1,996, 1.63%, 0.00%), (AMT, 1,853, 1.62%, 0.00%), (TSLA, 1,223, 1.60%, 0.00%), (XOM, 3,260, 1.52%, 0.00%), (V, 1,003, 1.48%, 0.00%), (LLY, 384, 1.23%, 0.00%), (MA, 476, 1.15%, 0.00%), (CB, 1,023, 1.14%, 0.00%), (WM, 1,146, 1.11%, 0.00%), (GE, 954, 1.08%, 0.00%), (ORCL, 959, 1.03%, 0.00%), (NFLX, 179, 0.88%, 0.00%), (NEE, 2,943, 0.87%, 0.00%), (JNJ, 1,173, 0.82%, 0.00%), (PLTR, 1,224, 0.81%, 0.00%), (WMT, 1,953, 0.80%, 0.00%), (CVX, 1,240, 0.79%, 0.00%), (COST, 199, 0.78%, 0.00%), (CAT, 425, 0.78%, 0.00%), (PG, 1,234, 0.78%, 0.00%), (RTX, 1,173, 0.77%, 0.00%), (UNH, 714, 0.76%, 0.00%), (MCD, 583, 0.73%, 0.00%), (ABT, 1,346, 0.72%, 0.00%), (ABBV, 861, 0.70%, 0.00%), (HD, 441, 0.68%, 0.00%), (AMD, 894, 0.66%, 0.00%), (KO, 2,232, 0.64%, 0.00%), (BAC, 3,193, 0.64%, 0.00%), (BKNG, 27, 0.63%, 0.00%), (CRM, 571, 0.63%, 0.00%), (SO, 1,568, 0.62%, 0.00%), (BA, 659, 0.62%, 0.00%), (PM, 895, 0.61%, 0.00%), (IBM, 552, 0.60%, 0.00%), (NKE, 1,906, 0.60%, 0.00%), (ETN, 348, 0.57%, 0.00%), (ISRG, 276, 0.57%, 0.00%), (DUK, 1,106, 0.56%, 0.00%), (INTU, 167, 0.56%, 0.00%), (GS, 182, 0.56%, 0.00%), (WFC, 1,593, 0.54%, 0.00%), (HON, 573, 0.53%, 0.00%), (UBER, 1,419, 0.53%, 0.00%), (MET, 1,587, 0.51%, 0.00%), (NOW, 123, 0.50%, 0.00%), (DE, 224, 0.49%, 0.00%), (PEP, 790, 0.46%, 0.00%), (T, 3,800, 0.44%, 0.00%), (SPGI, 184, 0.43%, 0.00%), (ACN, 373, 0.42%, 0.00%), (MRK, 1,232, 0.41%, 0.00%), (AXP, 323, 0.41%, 0.00%), (VZ, 2,229, 0.40%, 0.00%), (ADBE, 263, 0.39%, 0.00%), (BLK, 84, 0.39%, 0.00%), (COP, 959, 0.38%, 0.00%), (QCOM, 612, 0.38%, 0.00%), (UNP, 409, 0.38%, 0.00%), (MDT, 995, 0.38%, 0.00%), (DIS, 759, 0.38%, 0.00%), (TMO, 186, 0.37%, 0.00%), (C, 905, 0.36%, 0.00%), (SCHW, 867, 0.36%, 0.00%), (SBUX, 922, 0.35%, 0.00%), (AMAT, 454, 0.34%, 0.00%), (AMGN, 262, 0.33%, 0.00%), (LMT, 186, 0.33%, 0.00%), (MS, 520, 0.31%, 0.00%), (EMR, 502, 0.31%, 0.00%), (TXN, 403, 0.31%, 0.00%), (MMM, 480, 0.30%, 0.00%), (GILD, 607, 0.29%, 0.00%), (PFE, 2,761, 0.27%, 0.00%), (DHR, 313, 0.26%, 0.00%), (TJX, 501, 0.26%, 0.00%), (CVS, 976, 0.25%, 0.00%), (MO, 976, 0.25%, 0.00%), (LOW, 252, 0.24%, 0.00%), (CMCSA, 1,601, 0.22%, 0.00%), (ELV, 180, 0.22%, 0.00%), (MDLZ, 770, 0.21%, 0.00%), (INTC, 2,376, 0.20%, 0.00%), (BMY, 988, 0.18%, 0.00%), (UPS, 493, 0.18%, 0.00%), (PYPL, 582, 0.17%, 0.00%), (CL, 428, 0.15%, 0.00%), (USB, 746, 0.14%, 0.00%), (FDX, 151, 0.14%, 0.00%), (TGT, 207, 0.09%, 0.00%), (SC9061B, nan, nan%, 0.00%), (SC9063B, nan, nan%, 0.00%), (SP9062B, nan, nan%, 0.00%), (SP9065B, nan, nan%, 0.00%), (SP9064B, nan, nan%, 0.00%), (XP9065B, nan, nan%, 0.00%)</t>
  </si>
  <si>
    <t>(META, 865, 2.70%, 0.00%), (BRK/B, 1,007, 1.96%, 0.00%), (GOOGL, 2,319, 1.83%, 0.00%), (CSCO, 6,111, 1.71%, 0.00%), (LIN, 865, 1.64%, 0.00%), (JPM, 1,275, 1.55%, 0.00%), (GOOG, 1,889, 1.50%, 0.00%), (AMT, 1,754, 1.50%, 0.00%), (TSLA, 1,158, 1.48%, 0.00%), (XOM, 3,085, 1.41%, 0.00%), (V, 949, 1.37%, 0.00%), (LLY, 363, 1.14%, 0.00%), (MA, 450, 1.06%, 0.00%), (CB, 968, 1.06%, 0.00%), (WM, 1,084, 1.03%, 0.00%), (GE, 903, 1.00%, 0.00%), (ORCL, 908, 0.96%, 0.00%), (NFLX, 170, 0.82%, 0.00%), (NEE, 2,786, 0.81%, 0.00%), (JNJ, 1,110, 0.75%, 0.00%), (PLTR, 1,158, 0.75%, 0.00%), (WMT, 1,848, 0.74%, 0.00%), (CVX, 1,173, 0.73%, 0.00%), (COST, 189, 0.73%, 0.00%), (CAT, 403, 0.72%, 0.00%), (PG, 1,168, 0.72%, 0.00%), (RTX, 1,110, 0.72%, 0.00%), (UNH, 676, 0.70%, 0.00%), (MCD, 552, 0.68%, 0.00%), (ABT, 1,274, 0.67%, 0.00%), (ABBV, 815, 0.64%, 0.00%), (HD, 418, 0.63%, 0.00%), (AMD, 846, 0.61%, 0.00%), (KO, 2,112, 0.59%, 0.00%), (BAC, 3,022, 0.59%, 0.00%), (CRM, 540, 0.58%, 0.00%), (SO, 1,484, 0.58%, 0.00%), (BA, 624, 0.57%, 0.00%), (PM, 847, 0.57%, 0.00%), (BKNG, 25, 0.57%, 0.00%), (IBM, 522, 0.55%, 0.00%), (NKE, 1,804, 0.55%, 0.00%), (ISRG, 262, 0.53%, 0.00%), (ETN, 330, 0.52%, 0.00%), (DUK, 1,046, 0.52%, 0.00%), (INTU, 158, 0.52%, 0.00%), (GS, 172, 0.51%, 0.00%), (WFC, 1,507, 0.50%, 0.00%), (HON, 542, 0.49%, 0.00%), (UBER, 1,343, 0.49%, 0.00%), (MET, 1,502, 0.47%, 0.00%), (NOW, 116, 0.46%, 0.00%), (DE, 212, 0.45%, 0.00%), (PEP, 747, 0.43%, 0.00%), (T, 3,597, 0.41%, 0.00%), (MS, 681, 0.40%, 0.00%), (SPGI, 174, 0.39%, 0.00%), (ACN, 353, 0.39%, 0.00%), (MRK, 1,166, 0.38%, 0.00%), (AXP, 306, 0.38%, 0.00%), (VZ, 2,110, 0.37%, 0.00%), (ADBE, 249, 0.37%, 0.00%), (BLK, 80, 0.36%, 0.00%), (COP, 908, 0.36%, 0.00%), (QCOM, 579, 0.35%, 0.00%), (UNP, 387, 0.35%, 0.00%), (MDT, 942, 0.35%, 0.00%), (DIS, 719, 0.35%, 0.00%), (TMO, 176, 0.34%, 0.00%), (C, 856, 0.33%, 0.00%), (SCHW, 821, 0.33%, 0.00%), (SBUX, 873, 0.32%, 0.00%), (AMAT, 430, 0.32%, 0.00%), (AMGN, 248, 0.30%, 0.00%), (LMT, 176, 0.30%, 0.00%), (EMR, 476, 0.28%, 0.00%), (TXN, 376, 0.28%, 0.00%), (MMM, 454, 0.28%, 0.00%), (GILD, 575, 0.27%, 0.00%), (PFE, 2,613, 0.25%, 0.00%), (DHR, 296, 0.24%, 0.00%), (TJX, 474, 0.24%, 0.00%), (CVS, 924, 0.23%, 0.00%), (MO, 923, 0.23%, 0.00%), (LOW, 239, 0.22%, 0.00%), (CMCSA, 1,515, 0.21%, 0.00%), (ELV, 170, 0.20%, 0.00%), (MDLZ, 728, 0.19%, 0.00%), (INTC, 2,249, 0.18%, 0.00%), (BMY, 935, 0.17%, 0.00%), (UPS, 466, 0.16%, 0.00%), (PYPL, 551, 0.16%, 0.00%), (CL, 405, 0.14%, 0.00%), (USB, 706, 0.13%, 0.00%), (FDX, 143, 0.13%, 0.00%), (TGT, 196, 0.08%, 0.00%)</t>
  </si>
  <si>
    <t>(AVGO, 1,631, 3.13%, 0.00%), (META, 580, 2.87%, 0.00%), (BRK/B, 674, 2.07%, 0.00%), (GOOGL, 1,553, 1.94%, 0.00%), (CSCO, 4,094, 1.81%, 0.00%), (LIN, 579, 1.73%, 0.00%), (JPM, 854, 1.64%, 0.00%), (GOOG, 1,265, 1.59%, 0.00%), (AMT, 1,175, 1.58%, 0.00%), (TSLA, 776, 1.56%, 0.00%), (XOM, 2,067, 1.49%, 0.00%), (V, 636, 1.44%, 0.00%), (LLY, 243, 1.20%, 0.00%), (CB, 649, 1.12%, 0.00%), (MA, 302, 1.12%, 0.00%), (WM, 726, 1.08%, 0.00%), (GE, 605, 1.06%, 0.00%), (ORCL, 608, 1.01%, 0.00%), (NFLX, 114, 0.87%, 0.00%), (NEE, 1,866, 0.85%, 0.00%), (JNJ, 744, 0.80%, 0.00%), (PLTR, 776, 0.79%, 0.00%), (WMT, 1,238, 0.79%, 0.00%), (CVX, 786, 0.77%, 0.00%), (COST, 126, 0.77%, 0.00%), (CAT, 270, 0.76%, 0.00%), (PG, 782, 0.76%, 0.00%), (RTX, 744, 0.76%, 0.00%), (UNH, 453, 0.74%, 0.00%), (MCD, 370, 0.72%, 0.00%), (ABT, 853, 0.70%, 0.00%), (ABBV, 546, 0.68%, 0.00%), (HD, 280, 0.66%, 0.00%), (AMD, 567, 0.65%, 0.00%), (KO, 1,415, 0.63%, 0.00%), (BAC, 2,024, 0.62%, 0.00%), (CRM, 362, 0.61%, 0.00%), (SO, 994, 0.61%, 0.00%), (BKNG, 17, 0.61%, 0.00%), (BA, 418, 0.60%, 0.00%), (PM, 567, 0.60%, 0.00%), (IBM, 350, 0.58%, 0.00%), (NKE, 1,209, 0.58%, 0.00%), (ETN, 221, 0.56%, 0.00%), (ISRG, 175, 0.55%, 0.00%), (DUK, 701, 0.55%, 0.00%), (INTU, 106, 0.55%, 0.00%), (GS, 115, 0.54%, 0.00%), (WFC, 1,010, 0.53%, 0.00%), (HON, 363, 0.52%, 0.00%), (UBER, 900, 0.51%, 0.00%), (MET, 1,006, 0.50%, 0.00%), (NOW, 78, 0.49%, 0.00%), (DE, 142, 0.48%, 0.00%), (PEP, 501, 0.45%, 0.00%), (T, 2,409, 0.43%, 0.00%), (SPGI, 117, 0.42%, 0.00%), (ACN, 236, 0.41%, 0.00%), (MRK, 781, 0.40%, 0.00%), (AXP, 205, 0.40%, 0.00%), (VZ, 1,413, 0.39%, 0.00%), (BLK, 54, 0.39%, 0.00%), (ADBE, 167, 0.39%, 0.00%), (COP, 608, 0.38%, 0.00%), (QCOM, 388, 0.37%, 0.00%), (MDT, 631, 0.37%, 0.00%), (UNP, 259, 0.37%, 0.00%), (DIS, 481, 0.37%, 0.00%), (TMO, 118, 0.36%, 0.00%), (C, 574, 0.35%, 0.00%), (SCHW, 550, 0.35%, 0.00%), (SBUX, 585, 0.34%, 0.00%), (AMAT, 288, 0.34%, 0.00%), (MS, 356, 0.33%, 0.00%), (AMGN, 166, 0.32%, 0.00%), (LMT, 118, 0.32%, 0.00%), (EMR, 319, 0.30%, 0.00%), (MMM, 304, 0.29%, 0.00%), (GILD, 385, 0.29%, 0.00%), (PFE, 1,750, 0.27%, 0.00%), (DHR, 199, 0.26%, 0.00%), (TXN, 219, 0.26%, 0.00%), (TJX, 318, 0.26%, 0.00%), (CVS, 619, 0.25%, 0.00%), (MO, 618, 0.25%, 0.00%), (LOW, 160, 0.23%, 0.00%), (CMCSA, 1,015, 0.22%, 0.00%), (ELV, 114, 0.21%, 0.00%), (MDLZ, 488, 0.21%, 0.00%), (INTC, 1,507,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</si>
  <si>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5,968, 2.74%, 0.00%), (BRK/B, 6,943, 1.99%, 0.00%), (GOOGL, 15,995, 1.86%, 0.00%), (CSCO, 42,156, 1.74%, 0.00%), (LIN, 5,964, 1.67%, 0.00%), (JPM, 8,791, 1.57%, 0.00%), (GOOG, 13,028, 1.53%, 0.00%), (AMT, 12,100, 1.52%, 0.00%), (TSLA, 7,985, 1.50%, 0.00%), (XOM, 21,280, 1.43%, 0.00%), (V, 6,546, 1.39%, 0.00%), (LLY, 2,506, 1.15%, 0.00%), (MA, 3,105, 1.08%, 0.00%), (CB, 6,678, 1.08%, 0.00%), (WM, 7,480, 1.04%, 0.00%), (GE, 6,226, 1.02%, 0.00%), (ORCL, 6,264, 0.97%, 0.00%), (NFLX, 1,170, 0.83%, 0.00%), (NEE, 19,215, 0.82%, 0.00%), (JNJ, 7,658, 0.77%, 0.00%), (PLTR, 7,989, 0.76%, 0.00%), (WMT, 12,747, 0.76%, 0.00%), (CVX, 8,092, 0.74%, 0.00%), (COST, 1,301, 0.74%, 0.00%), (CAT, 2,778, 0.73%, 0.00%), (PG, 8,057, 0.73%, 0.00%), (RTX, 7,657, 0.73%, 0.00%), (UNH, 4,661, 0.71%, 0.00%), (MCD, 3,807, 0.69%, 0.00%), (ABT, 8,784, 0.68%, 0.00%), (ABBV, 5,620, 0.65%, 0.00%), (HD, 2,881, 0.64%, 0.00%), (AMD, 5,837, 0.62%, 0.00%), (KO, 14,569, 0.60%, 0.00%), (BAC, 20,845, 0.60%, 0.00%), (BKNG, 176, 0.59%, 0.00%), (CRM, 3,726, 0.59%, 0.00%), (SO, 10,238, 0.59%, 0.00%), (BA, 4,301, 0.58%, 0.00%), (PM, 5,843, 0.58%, 0.00%), (IBM, 3,604, 0.56%, 0.00%), (NKE, 12,446, 0.56%, 0.00%), (ISRG, 1,804, 0.53%, 0.00%), (ETN, 2,274, 0.53%, 0.00%), (DUK, 7,218, 0.53%, 0.00%), (INTU, 1,092, 0.52%, 0.00%), (GS, 1,189, 0.52%, 0.00%), (WFC, 10,397, 0.51%, 0.00%), (HON, 3,741, 0.50%, 0.00%), (UBER, 9,263, 0.49%, 0.00%), (MET, 10,361, 0.48%, 0.00%), (NOW, 803, 0.47%, 0.00%), (DE, 1,464, 0.46%, 0.00%), (PEP, 5,156, 0.43%, 0.00%), (T, 24,808, 0.41%, 0.00%), (MS, 4,699, 0.40%, 0.00%), (SPGI, 1,203, 0.40%, 0.00%), (ACN, 2,435, 0.40%, 0.00%), (MRK, 8,046, 0.39%, 0.00%), (AXP, 2,108, 0.38%, 0.00%), (VZ, 14,554, 0.38%, 0.00%), (ADBE, 1,716, 0.37%, 0.00%), (BLK, 551, 0.37%, 0.00%), (COP, 6,263, 0.36%, 0.00%), (QCOM, 3,996, 0.36%, 0.00%), (UNP, 2,667, 0.36%, 0.00%), (MDT, 6,495, 0.36%, 0.00%), (DIS, 4,957, 0.36%, 0.00%), (TMO, 1,217, 0.35%, 0.00%), (C, 5,906, 0.34%, 0.00%), (SCHW, 5,662, 0.34%, 0.00%), (SBUX, 6,022, 0.33%, 0.00%), (AMAT, 2,965, 0.32%, 0.00%), (AMGN, 1,710, 0.31%, 0.00%), (LMT, 1,214, 0.31%, 0.00%), (EMR, 3,280, 0.29%, 0.00%), (MMM, 3,133, 0.28%, 0.00%), (GILD, 3,964, 0.27%, 0.00%), (TXN, 2,381, 0.26%, 0.00%), (PFE, 18,024, 0.26%, 0.00%), (DHR, 2,045, 0.25%, 0.00%), (TJX, 3,271, 0.25%, 0.00%), (CVS, 6,373, 0.24%, 0.00%), (MO, 6,369, 0.24%, 0.00%), (LOW, 1,645, 0.22%, 0.00%), (CMCSA, 10,449, 0.21%, 0.00%), (ELV, 1,175, 0.20%, 0.00%), (MDLZ, 5,025, 0.20%, 0.00%), (INTC, 15,513, 0.19%, 0.00%), (BMY, 6,451, 0.17%, 0.00%), (UPS, 3,217, 0.17%, 0.00%), (PYPL, 3,797, 0.16%, 0.00%), (CL, 2,795, 0.14%, 0.00%), (FDX, 989, 0.13%, 0.00%), (USB, 4,871, 0.13%, 0.00%), (TGT, 1,353, 0.08%, 0.00%)</t>
  </si>
  <si>
    <t>(AVGO, 14,747, 3.18%, 0.00%), (META, 5,239, 2.90%, 0.00%), (BRK/B, 6,095, 2.11%, 0.00%), (GOOGL, 14,041, 1.97%, 0.00%), (CSCO, 37,006, 1.84%, 0.00%), (LIN, 5,236, 1.76%, 0.00%), (JPM, 7,717, 1.66%, 0.00%), (GOOG, 11,437, 1.61%, 0.00%), (AMT, 10,622, 1.61%, 0.00%), (TSLA, 7,010, 1.59%, 0.00%), (XOM, 18,681, 1.51%, 0.00%), (V, 5,746, 1.47%, 0.00%), (LLY, 2,200, 1.22%, 0.00%), (MA, 2,726, 1.14%, 0.00%), (CB, 5,862, 1.14%, 0.00%), (WM, 6,566, 1.10%, 0.00%), (GE, 5,466, 1.08%, 0.00%), (ORCL, 5,499, 1.03%, 0.00%), (NFLX, 1,027, 0.88%, 0.00%), (NEE, 16,868, 0.87%, 0.00%), (JNJ, 6,722, 0.81%, 0.00%), (PLTR, 7,013, 0.81%, 0.00%), (WMT, 11,190, 0.80%, 0.00%), (CVX, 7,104, 0.78%, 0.00%), (COST, 1,142, 0.78%, 0.00%), (CAT, 2,438, 0.78%, 0.00%), (PG, 7,073, 0.78%, 0.00%), (RTX, 6,722, 0.77%, 0.00%), (UNH, 4,092, 0.75%, 0.00%), (MCD, 3,342, 0.73%, 0.00%), (ABT, 7,711, 0.71%, 0.00%), (ABBV, 4,934, 0.69%, 0.00%), (HD, 2,529, 0.68%, 0.00%), (AMD, 5,124, 0.66%, 0.00%), (KO, 12,789, 0.64%, 0.00%), (BAC, 18,299, 0.63%, 0.00%), (CRM, 3,271, 0.62%, 0.00%), (BKNG, 154, 0.62%, 0.00%), (SO, 8,987, 0.62%, 0.00%), (BA, 3,775, 0.61%, 0.00%), (PM, 5,129, 0.61%, 0.00%), (IBM, 3,163, 0.59%, 0.00%), (NKE, 10,926, 0.59%, 0.00%), (ISRG, 1,584, 0.56%, 0.00%), (ETN, 1,996, 0.56%, 0.00%), (DUK, 6,336, 0.56%, 0.00%), (INTU, 959, 0.55%, 0.00%), (GS, 1,044, 0.55%, 0.00%), (WFC, 9,127, 0.54%, 0.00%), (HON, 3,284, 0.53%, 0.00%), (UBER, 8,132, 0.52%, 0.00%), (MET, 9,095, 0.50%, 0.00%), (NOW, 705, 0.49%, 0.00%), (DE, 1,285, 0.49%, 0.00%), (PEP, 4,526, 0.46%, 0.00%), (T, 21,778, 0.44%, 0.00%), (SPGI, 1,056, 0.42%, 0.00%), (ACN, 2,138, 0.42%, 0.00%), (MS, 4,025, 0.42%, 0.00%), (MRK, 7,063, 0.41%, 0.00%), (AXP, 1,850, 0.41%, 0.00%), (VZ, 12,777, 0.40%, 0.00%), (ADBE, 1,506, 0.39%, 0.00%), (BLK, 484, 0.39%, 0.00%), (COP, 5,498, 0.38%, 0.00%), (QCOM, 3,508, 0.38%, 0.00%), (UNP, 2,341, 0.38%, 0.00%), (MDT, 5,702, 0.38%, 0.00%), (DIS, 4,352, 0.38%, 0.00%), (TMO, 1,068, 0.37%, 0.00%), (C, 5,184, 0.36%, 0.00%), (SCHW, 4,971, 0.36%, 0.00%), (SBUX, 5,286, 0.35%, 0.00%), (AMAT, 2,603, 0.34%, 0.00%), (AMGN, 1,501, 0.33%, 0.00%), (LMT, 1,065, 0.33%, 0.00%), (EMR, 2,880, 0.31%, 0.00%), (MMM, 2,750, 0.30%, 0.00%), (GILD, 3,480, 0.29%, 0.00%), (TXN, 2,180, 0.29%, 0.00%), (PFE, 15,823, 0.27%, 0.00%), (DHR, 1,795, 0.26%, 0.00%), (TJX, 2,872, 0.26%, 0.00%), (CVS, 5,595, 0.25%, 0.00%), (MO, 5,591, 0.25%, 0.00%), (LOW, 1,444, 0.24%, 0.00%), (CMCSA, 9,173, 0.22%, 0.00%), (ELV, 1,031, 0.21%, 0.00%), (MDLZ, 4,411, 0.21%, 0.00%), (INTC, 13,618, 0.20%, 0.00%), (BMY, 5,663, 0.18%, 0.00%), (UPS, 2,824, 0.18%, 0.00%), (PYPL, 3,333, 0.17%, 0.00%), (CL, 2,454, 0.15%, 0.00%), (FDX, 868, 0.14%, 0.00%), (USB, 4,276, 0.14%, 0.00%), (TGT, 1,188, 0.09%, 0.00%), (SC23471B, nan, nan%, 0.00%), (SC23473B, nan, nan%, 0.00%), (SP23472B, nan, nan%, 0.00%), (SP23475B, nan, nan%, 0.00%), (SP23474B, nan, nan%, 0.00%), (XP23475B, nan, nan%, 0.00%)</t>
  </si>
  <si>
    <t>(AVGO, 10,979, 3.17%, 0.00%), (META, 3,900, 2.89%, 0.00%), (BRK/B, 4,537, 2.10%, 0.00%), (GOOGL, 10,453, 1.96%, 0.00%), (CSCO, 27,549, 1.83%, 0.00%), (LIN, 3,898, 1.76%, 0.00%), (JPM, 5,745, 1.66%, 0.00%), (GOOG, 8,514, 1.61%, 0.00%), (AMT, 7,907, 1.61%, 0.00%), (TSLA, 5,219, 1.58%, 0.00%), (XOM, 13,907, 1.51%, 0.00%), (V, 4,278, 1.46%, 0.00%), (LLY, 1,638, 1.22%, 0.00%), (MA, 2,029, 1.13%, 0.00%), (CB, 4,364, 1.13%, 0.00%), (WM, 4,888, 1.10%, 0.00%), (GE, 4,069, 1.07%, 0.00%), (ORCL, 4,093, 1.02%, 0.00%), (NFLX, 765, 0.87%, 0.00%), (NEE, 12,557, 0.86%, 0.00%), (JNJ, 5,004, 0.81%, 0.00%), (PLTR, 5,221, 0.81%, 0.00%), (WMT, 8,330, 0.80%, 0.00%), (CVX, 5,288, 0.78%, 0.00%), (COST, 850, 0.78%, 0.00%), (CAT, 1,815, 0.77%, 0.00%), (PG, 5,265, 0.77%, 0.00%), (RTX, 5,004, 0.77%, 0.00%), (UNH, 3,046, 0.75%, 0.00%), (MCD, 2,488, 0.73%, 0.00%), (ABT, 5,741, 0.71%, 0.00%), (ABBV, 3,673, 0.69%, 0.00%), (HD, 1,883, 0.67%, 0.00%), (AMD, 3,815, 0.65%, 0.00%), (KO, 9,521, 0.63%, 0.00%), (BAC, 13,622, 0.63%, 0.00%), (CRM, 2,435, 0.62%, 0.00%), (BKNG, 115, 0.62%, 0.00%), (SO, 6,691, 0.62%, 0.00%), (BA, 2,811, 0.61%, 0.00%), (PM, 3,718, 0.59%, 0.00%), (IBM, 2,355, 0.59%, 0.00%), (NKE, 8,134, 0.59%, 0.00%), (ISRG, 1,179, 0.56%, 0.00%), (ETN, 1,486, 0.56%, 0.00%), (DUK, 4,717, 0.56%, 0.00%), (INTU, 714, 0.55%, 0.00%), (GS, 777, 0.55%, 0.00%), (WFC, 6,794, 0.53%, 0.00%), (HON, 2,445, 0.53%, 0.00%), (UBER, 6,054, 0.52%, 0.00%), (MET, 6,771, 0.50%, 0.00%), (NOW, 525, 0.49%, 0.00%), (DE, 957, 0.49%, 0.00%), (PEP, 3,369, 0.46%, 0.00%), (T, 16,212, 0.43%, 0.00%), (SPGI, 786, 0.42%, 0.00%), (ACN, 1,591, 0.42%, 0.00%), (MRK, 5,258, 0.41%, 0.00%), (AXP, 1,378, 0.40%, 0.00%), (VZ, 9,511, 0.40%, 0.00%), (ADBE, 1,121, 0.39%, 0.00%), (BLK, 360, 0.39%, 0.00%), (COP, 4,093, 0.38%, 0.00%), (QCOM, 2,611, 0.38%, 0.00%), (UNP, 1,743, 0.38%, 0.00%), (MDT, 4,245, 0.38%, 0.00%), (DIS, 3,240, 0.38%, 0.00%), (TMO, 795, 0.37%, 0.00%), (C, 3,859, 0.36%, 0.00%), (SCHW, 3,700, 0.35%, 0.00%), (SBUX, 3,935, 0.35%, 0.00%), (AMAT, 1,938, 0.34%, 0.00%), (AMGN, 1,117, 0.33%, 0.00%), (LMT, 793, 0.32%, 0.00%), (MS, 2,271, 0.32%, 0.00%), (EMR, 2,144, 0.30%, 0.00%), (MMM, 2,047, 0.30%, 0.00%), (GILD, 2,590, 0.29%, 0.00%), (TXN, 1,544, 0.27%, 0.00%), (PFE, 11,779, 0.27%, 0.00%), (DHR, 1,336, 0.26%, 0.00%), (TJX, 2,138, 0.26%, 0.00%), (CVS, 4,165, 0.25%, 0.00%), (MO, 4,162, 0.25%, 0.00%), (LOW, 1,075, 0.23%, 0.00%), (CMCSA, 6,829, 0.22%, 0.00%), (ELV, 768, 0.21%, 0.00%), (MDLZ, 3,284, 0.21%, 0.00%), (INTC, 10,138, 0.20%, 0.00%), (BMY, 4,216, 0.18%, 0.00%), (UPS, 2,103, 0.18%, 0.00%), (PYPL, 2,482, 0.17%, 0.00%), (CL, 1,827, 0.15%, 0.00%), (FDX, 646, 0.14%, 0.00%), (USB, 3,184, 0.14%, 0.00%), (TGT, 884, 0.09%, 0.00%), (SC22171B, nan, nan%, 0.00%), (SC22173B, nan, nan%, 0.00%), (SP22172B, nan, nan%, 0.00%), (SP22175B, nan, nan%, 0.00%), (SP22174B, nan, nan%, 0.00%), (XP22175B, nan, nan%, 0.00%)</t>
  </si>
  <si>
    <t>(META, 1,471, 2.77%, 0.00%), (BRK/B, 1,712, 2.01%, 0.00%), (GOOGL, 3,943, 1.88%, 0.00%), (CSCO, 10,393, 1.75%, 0.00%), (LIN, 1,470, 1.68%, 0.00%), (JPM, 2,167, 1.58%, 0.00%), (GOOG, 3,212, 1.54%, 0.00%), (AMT, 2,983, 1.53%, 0.00%), (TSLA, 1,969, 1.51%, 0.00%), (XOM, 5,246, 1.44%, 0.00%), (V, 1,614, 1.40%, 0.00%), (LLY, 618, 1.16%, 0.00%), (CB, 1,646, 1.08%, 0.00%), (MA, 765, 1.08%, 0.00%), (WM, 1,844, 1.05%, 0.00%), (GE, 1,535, 1.03%, 0.00%), (ORCL, 1,544, 0.98%, 0.00%), (NFLX, 288, 0.83%, 0.00%), (NEE, 4,737, 0.82%, 0.00%), (JNJ, 1,888, 0.77%, 0.00%), (PLTR, 1,970, 0.77%, 0.00%), (WMT, 3,143, 0.76%, 0.00%), (CVX, 1,995, 0.75%, 0.00%), (COST, 321, 0.74%, 0.00%), (CAT, 685, 0.74%, 0.00%), (PG, 1,986, 0.74%, 0.00%), (RTX, 1,888, 0.73%, 0.00%), (UNH, 1,149, 0.72%, 0.00%), (MCD, 939, 0.69%, 0.00%), (ABT, 2,166, 0.68%, 0.00%), (ABBV, 1,386, 0.66%, 0.00%), (HD, 710, 0.64%, 0.00%), (AMD, 1,439, 0.63%, 0.00%), (KO, 3,592, 0.61%, 0.00%), (BAC, 5,139, 0.60%, 0.00%), (CRM, 919, 0.59%, 0.00%), (SO, 2,524, 0.59%, 0.00%), (BKNG, 43, 0.59%, 0.00%), (BA, 1,060, 0.58%, 0.00%), (PM, 1,440, 0.58%, 0.00%), (IBM, 888, 0.56%, 0.00%), (NKE, 3,068, 0.56%, 0.00%), (ETN, 561, 0.54%, 0.00%), (ISRG, 445, 0.54%, 0.00%), (DUK, 1,780, 0.53%, 0.00%), (INTU, 269, 0.52%, 0.00%), (GS, 293, 0.52%, 0.00%), (WFC, 2,563, 0.51%, 0.00%), (HON, 922, 0.50%, 0.00%), (UBER, 2,284, 0.50%, 0.00%), (MET, 2,554, 0.48%, 0.00%), (NOW, 198, 0.47%, 0.00%), (DE, 361, 0.46%, 0.00%), (PEP, 1,271, 0.44%, 0.00%), (T, 6,116, 0.42%, 0.00%), (ACN, 600, 0.40%, 0.00%), (SPGI, 296, 0.40%, 0.00%), (MRK, 1,984, 0.39%, 0.00%), (AXP, 520, 0.39%, 0.00%), (VZ, 3,588, 0.38%, 0.00%), (ADBE, 423, 0.37%, 0.00%), (BLK, 136, 0.37%, 0.00%), (COP, 1,544, 0.36%, 0.00%), (QCOM, 985, 0.36%, 0.00%), (UNP, 658, 0.36%, 0.00%), (MDT, 1,601, 0.36%, 0.00%), (DIS, 1,222, 0.36%, 0.00%), (TMO, 300, 0.35%, 0.00%), (C, 1,456, 0.34%, 0.00%), (SCHW, 1,396, 0.34%, 0.00%), (MS, 958, 0.34%, 0.00%), (SBUX, 1,485, 0.33%, 0.00%), (AMAT, 731, 0.32%, 0.00%), (AMGN, 422, 0.31%, 0.00%), (LMT, 299, 0.31%, 0.00%), (EMR, 809, 0.29%, 0.00%), (MMM, 772, 0.28%, 0.00%), (GILD, 977, 0.28%, 0.00%), (TXN, 609, 0.27%, 0.00%), (PFE, 4,444, 0.26%, 0.00%), (DHR, 504, 0.25%, 0.00%), (TJX, 806, 0.25%, 0.00%), (CVS, 1,571, 0.24%, 0.00%), (MO, 1,570, 0.24%, 0.00%), (LOW, 406, 0.22%, 0.00%), (CMCSA, 2,576, 0.21%, 0.00%), (ELV, 290, 0.20%, 0.00%), (MDLZ, 1,239, 0.20%, 0.00%), (INTC, 3,825, 0.19%, 0.00%), (BMY, 1,590, 0.17%, 0.00%), (UPS, 793, 0.17%, 0.00%), (PYPL, 936, 0.16%, 0.00%), (CL, 689, 0.14%, 0.00%), (FDX, 244, 0.13%, 0.00%), (USB, 1,201, 0.13%, 0.00%), (TGT, 334, 0.08%, 0.00%), (SC28181B, nan, nan%, 0.00%), (SC28183B, nan, nan%, 0.00%), (SP28182B, nan, nan%, 0.00%), (SP28185B, nan, nan%, 0.00%), (SP28184B, nan, nan%, 0.00%), (XP28185B, nan, nan%, 0.00%)</t>
  </si>
  <si>
    <t>(AVGO, 4,502, 3.07%, 0.00%), (META, 1,599, 2.81%, 0.00%), (BRK/B, 1,861, 2.03%, 0.00%), (GOOGL, 4,286, 1.90%, 0.00%), (CSCO, 11,297, 1.77%, 0.00%), (LIN, 1,598, 1.70%, 0.00%), (JPM, 2,356, 1.60%, 0.00%), (GOOG, 3,491, 1.56%, 0.00%), (AMT, 3,243, 1.55%, 0.00%), (TSLA, 2,140, 1.53%, 0.00%), (XOM, 5,703, 1.46%, 0.00%), (V, 1,754, 1.42%, 0.00%), (LLY, 672, 1.18%, 0.00%), (CB, 1,790, 1.10%, 0.00%), (MA, 832, 1.10%, 0.00%), (WM, 2,004, 1.06%, 0.00%), (GE, 1,669, 1.04%, 0.00%), (ORCL, 1,679, 0.99%, 0.00%), (NFLX, 314, 0.85%, 0.00%), (NEE, 5,149, 0.84%, 0.00%), (JNJ, 2,052, 0.78%, 0.00%), (PLTR, 2,141, 0.78%, 0.00%), (WMT, 3,416, 0.77%, 0.00%), (CVX, 2,169, 0.76%, 0.00%), (COST, 349, 0.75%, 0.00%), (CAT, 744, 0.75%, 0.00%), (PG, 2,159, 0.75%, 0.00%), (RTX, 2,052, 0.74%, 0.00%), (UNH, 1,249, 0.73%, 0.00%), (MCD, 1,020, 0.70%, 0.00%), (ABT, 2,354, 0.69%, 0.00%), (ABBV, 1,506, 0.67%, 0.00%), (HD, 772, 0.65%, 0.00%), (AMD, 1,564, 0.64%, 0.00%), (KO, 3,904, 0.61%, 0.00%), (BAC, 5,586, 0.61%, 0.00%), (CRM, 998, 0.60%, 0.00%), (BKNG, 47, 0.60%, 0.00%), (SO, 2,744, 0.60%, 0.00%), (BA, 1,153, 0.59%, 0.00%), (PM, 1,566, 0.59%, 0.00%), (IBM, 966, 0.57%, 0.00%), (NKE, 3,335, 0.57%, 0.00%), (ETN, 609, 0.54%, 0.00%), (ISRG, 483, 0.54%, 0.00%), (DUK, 1,934, 0.54%, 0.00%), (INTU, 293, 0.53%, 0.00%), (GS, 319, 0.53%, 0.00%), (WFC, 2,786, 0.52%, 0.00%), (HON, 1,002, 0.51%, 0.00%), (UBER, 2,482, 0.50%, 0.00%), (MET, 2,776, 0.49%, 0.00%), (NOW, 215, 0.48%, 0.00%), (DE, 392, 0.47%, 0.00%), (PEP, 1,382, 0.44%, 0.00%), (T, 6,648, 0.42%, 0.00%), (MS, 1,259, 0.41%, 0.00%), (ACN, 653, 0.41%, 0.00%), (SPGI, 322, 0.41%, 0.00%), (MRK, 2,156, 0.40%, 0.00%), (AXP, 565, 0.39%, 0.00%), (VZ, 3,900, 0.38%, 0.00%), (BLK, 148, 0.38%, 0.00%), (ADBE, 460, 0.38%, 0.00%), (COP, 1,678, 0.37%, 0.00%), (QCOM, 1,071, 0.37%, 0.00%), (UNP, 715, 0.37%, 0.00%), (MDT, 1,741, 0.37%, 0.00%), (DIS, 1,328, 0.36%, 0.00%), (TMO, 326, 0.36%, 0.00%), (C, 1,583, 0.34%, 0.00%), (SCHW, 1,517, 0.34%, 0.00%), (SBUX, 1,614, 0.34%, 0.00%), (AMAT, 795, 0.33%, 0.00%), (AMGN, 458, 0.32%, 0.00%), (LMT, 325, 0.31%, 0.00%), (EMR, 879, 0.29%, 0.00%), (MMM, 840, 0.29%, 0.00%), (TXN, 679, 0.28%, 0.00%), (GILD, 1,062, 0.28%, 0.00%), (PFE, 4,830, 0.26%, 0.00%), (DHR, 548, 0.25%, 0.00%), (TJX, 877, 0.25%, 0.00%), (CVS, 1,708, 0.24%, 0.00%), (MO, 1,707, 0.24%, 0.00%), (LOW, 441, 0.23%, 0.00%), (CMCSA, 2,800, 0.21%, 0.00%), (ELV, 315, 0.21%, 0.00%), (MDLZ, 1,347, 0.20%, 0.00%), (INTC, 4,157, 0.19%, 0.00%), (BMY, 1,729, 0.17%, 0.00%), (UPS, 862, 0.17%, 0.00%), (PYPL, 1,018, 0.16%, 0.00%), (CL, 749, 0.15%, 0.00%), (FDX, 265, 0.14%, 0.00%), (USB, 1,305, 0.14%, 0.00%), (TGT, 363, 0.08%, 0.00%), (SC13481B, nan, nan%, 0.00%), (SC13483B, nan, nan%, 0.00%), (SP13482B, nan, nan%, 0.00%), (SP13485B, nan, nan%, 0.00%), (SP13484B, nan, nan%, 0.00%), (XP13485B, nan, nan%, 0.00%)</t>
  </si>
  <si>
    <t>(AVGO, 8,471, 3.18%, 0.00%), (META, 3,009, 2.91%, 0.00%), (BRK/B, 3,501, 2.11%, 0.00%), (GOOGL, 8,065, 1.97%, 0.00%), (CSCO, 21,256, 1.84%, 0.00%), (LIN, 3,007, 1.76%, 0.00%), (JPM, 4,433, 1.66%, 0.00%), (GOOG, 6,569, 1.61%, 0.00%), (AMT, 6,101, 1.61%, 0.00%), (TSLA, 4,026, 1.59%, 0.00%), (XOM, 10,730, 1.51%, 0.00%), (V, 3,300, 1.47%, 0.00%), (LLY, 1,264, 1.22%, 0.00%), (MA, 1,565, 1.14%, 0.00%), (CB, 3,367, 1.14%, 0.00%), (WM, 3,772, 1.10%, 0.00%), (GE, 3,140, 1.08%, 0.00%), (ORCL, 3,158, 1.03%, 0.00%), (NFLX, 590, 0.88%, 0.00%), (NEE, 9,688, 0.87%, 0.00%), (JNJ, 3,861, 0.81%, 0.00%), (PLTR, 4,028, 0.81%, 0.00%), (WMT, 6,427, 0.80%, 0.00%), (CVX, 4,080, 0.78%, 0.00%), (COST, 656, 0.78%, 0.00%), (CAT, 1,401, 0.78%, 0.00%), (PG, 4,063, 0.77%, 0.00%), (RTX, 3,861, 0.77%, 0.00%), (UNH, 2,350, 0.75%, 0.00%), (MCD, 1,920, 0.73%, 0.00%), (ABT, 4,429, 0.71%, 0.00%), (ABBV, 2,834, 0.69%, 0.00%), (HD, 1,453, 0.68%, 0.00%), (AMD, 2,943, 0.66%, 0.00%), (KO, 7,346, 0.64%, 0.00%), (BAC, 10,511, 0.63%, 0.00%), (BKNG, 89, 0.62%, 0.00%), (CRM, 1,879, 0.62%, 0.00%), (SO, 5,162, 0.62%, 0.00%), (BA, 2,169, 0.61%, 0.00%), (PM, 2,946, 0.61%, 0.00%), (IBM, 1,817, 0.59%, 0.00%), (NKE, 6,276, 0.59%, 0.00%), (ISRG, 910, 0.56%, 0.00%), (ETN, 1,146, 0.56%, 0.00%), (DUK, 3,639, 0.56%, 0.00%), (INTU, 551, 0.55%, 0.00%), (GS, 600, 0.55%, 0.00%), (WFC, 5,242, 0.54%, 0.00%), (HON, 1,886, 0.53%, 0.00%), (UBER, 4,671, 0.52%, 0.00%), (MET, 5,224, 0.50%, 0.00%), (NOW, 405, 0.49%, 0.00%), (DE, 738, 0.49%, 0.00%), (PEP, 2,600, 0.46%, 0.00%), (T, 12,509, 0.44%, 0.00%), (MS, 2,369, 0.43%, 0.00%), (SPGI, 606, 0.42%, 0.00%), (ACN, 1,228, 0.42%, 0.00%), (MRK, 4,057, 0.41%, 0.00%), (AXP, 1,063, 0.40%, 0.00%), (VZ, 7,339, 0.40%, 0.00%), (ADBE, 865, 0.39%, 0.00%), (BLK, 278, 0.39%, 0.00%), (COP, 3,158, 0.38%, 0.00%), (QCOM, 2,015, 0.38%, 0.00%), (UNP, 1,345, 0.38%, 0.00%), (MDT, 3,275, 0.38%, 0.00%), (DIS, 2,500, 0.38%, 0.00%), (TMO, 613, 0.37%, 0.00%), (C, 2,978, 0.36%, 0.00%), (TXN, 1,554, 0.36%, 0.00%), (SCHW, 2,855, 0.35%, 0.00%), (SBUX, 3,036, 0.35%, 0.00%), (AMAT, 1,495, 0.34%, 0.00%), (AMGN, 862, 0.33%, 0.00%), (LMT, 612, 0.33%, 0.00%), (EMR, 1,654, 0.30%, 0.00%), (MMM, 1,580, 0.30%, 0.00%), (GILD, 1,999, 0.29%, 0.00%), (PFE, 9,088, 0.27%, 0.00%), (DHR, 1,031, 0.26%, 0.00%), (TJX, 1,649, 0.26%, 0.00%), (CVS, 3,214, 0.25%, 0.00%), (MO, 3,211, 0.25%, 0.00%), (LOW, 830, 0.24%, 0.00%), (CMCSA, 5,269, 0.22%, 0.00%), (ELV, 592, 0.21%, 0.00%), (MDLZ, 2,534, 0.21%, 0.00%), (INTC, 7,822, 0.20%, 0.00%), (BMY, 3,253, 0.18%, 0.00%), (UPS, 1,622, 0.18%, 0.00%), (PYPL, 1,915, 0.17%, 0.00%), (CL, 1,409, 0.15%, 0.00%), (FDX, 499, 0.14%, 0.00%), (USB, 2,456, 0.14%, 0.00%), (TGT, 682, 0.09%, 0.00%), (SC26771B, nan, nan%, 0.00%), (SC26773B, nan, nan%, 0.00%), (SP26772B, nan, nan%, 0.00%), (SP26775B, nan, nan%, 0.00%), (SP26774B, nan, nan%, 0.00%), (XP26775B, nan, nan%, 0.00%)</t>
  </si>
  <si>
    <t>EBAY, META, MSFT, BK, JPM, BLK, GOOGL, RJF, BKNG, EA, MLI, AMAT</t>
  </si>
  <si>
    <t>(EWBC, 10,094, 1.81%, 0.01%), (V, 2,920, 1.80%, 0.00%), (AXP, 3,294, 1.76%, 0.00%), (PHM, 8,285, 1.76%, 0.00%), (HIG, 7,818, 1.75%, 0.00%), (TRV, 3,715, 1.74%, 0.00%), (NVDA, 5,455, 1.73%, 0.00%), (ADP, 3,120, 1.70%, 0.00%), (SNA, 2,911, 1.68%, 0.01%), (UNM, 13,135, 1.67%, 0.01%), (KLAC, 1,033, 1.66%, 0.00%), (PCAR, 9,234, 1.62%, 0.00%), (ROST, 6,505, 1.62%, 0.00%), (CB, 3,294, 1.60%, 0.00%), (CRM, 3,345, 1.52%, 0.00%), (CTSH, 11,801, 1.51%, 0.00%), (SYF, 12,193, 1.49%, 0.00%), (PAYC, 3,572, 1.47%, 0.01%), (LEN, 6,893, 1.45%, 0.00%), (WSM, 4,129, 1.41%, 0.00%), (BKR, 17,367, 1.38%, 0.00%), (ACN, 2,782, 1.29%, 0.00%), (QCOM, 4,710, 1.27%, 0.00%), (DHI, 4,580, 1.25%, 0.00%), (AFL, 6,450, 1.15%, 0.00%), (AAPL, 3,041, 1.12%, 0.00%), (ELV, 2,237, 1.11%, 0.00%), (MPWR, 745, 1.07%, 0.00%), (CSCO, 8,737, 1.07%, 0.00%), (LRCX, 6,015, 1.05%, 0.00%), (ODFL, 4,001, 1.03%, 0.00%), (GE, 2,108, 1.03%, 0.00%), (STT, 4,842, 0.95%, 0.00%), (CF, 5,534, 0.92%, 0.00%), (PNC, 2,593, 0.88%, 0.00%), (MTB, 2,577, 0.87%, 0.00%), (AMP, 943, 0.86%, 0.00%), (COST, 484, 0.84%, 0.00%), (XOM, 4,054, 0.81%, 0.00%), (ABT, 3,486, 0.81%, 0.00%), (EOG, 3,647, 0.77%, 0.00%), (EG, 1,227, 0.74%, 0.00%), (CSL, 1,086, 0.70%, 0.00%), (GEV, 494, 0.59%, 0.00%), (NTRS, 2,248, 0.52%, 0.00%), (CRBG, 7,722, 0.48%, 0.00%), (MA, 469, 0.48%, 0.00%), (JNJ, 1,505, 0.46%, 0.00%), (ACM, 2,127, 0.43%, 0.00%), (MTG, 8,832, 0.42%, 0.00%), (DOV, 1,314, 0.42%, 0.00%), (CINF, 1,563, 0.41%, 0.00%), (MCK, 325, 0.41%, 0.00%), (LNC, 6,147, 0.41%, 0.00%), (SLM, 7,217, 0.41%, 0.00%), (WTFC, 1,811, 0.41%, 0.00%), (ALL, 1,113, 0.40%, 0.00%), (EQH, 4,357, 0.40%, 0.00%), (JXN, 2,537, 0.39%, 0.00%), (NUE, 1,503, 0.38%, 0.00%), (NKE, 2,740, 0.37%, 0.00%), (ADM, 3,743, 0.37%, 0.00%), (PGR, 820, 0.36%, 0.00%), (FANG, 1,170, 0.31%, 0.00%), (SC13N61B, nan, nan%, 0.00%), (SC13N63B, nan, nan%, 0.00%), (SP13N62B, nan, nan%, 0.00%), (SP13N65B, nan, nan%, 0.00%), (SP13N64B, nan, nan%, 0.00%), (SPX Index, nan, nan%, 0.00%), (XP13N65B, nan, nan%, 0.00%)</t>
  </si>
  <si>
    <t>(AVGO, 3,912, 3.31%, 0.00%), (META, 1,390, 3.01%, 0.00%), (BRK/B, 1,617, 2.23%, 0.00%), (GOOGL, 3,724, 2.06%, 0.00%), (CSCO, 9,816, 1.92%, 0.00%), (LIN, 1,389, 1.86%, 0.00%), (AMT, 2,817, 1.75%, 0.00%), (JPM, 2,047, 1.73%, 0.00%), (GOOG, 3,034, 1.68%, 0.00%), (TSLA, 1,859, 1.64%, 0.00%), (XOM, 4,955, 1.58%, 0.00%), (V, 1,524, 1.51%, 0.00%), (LLY, 584, 1.30%, 0.00%), (CB, 1,555, 1.21%, 0.00%), (MA, 723, 1.18%, 0.00%), (WM, 1,742, 1.16%, 0.00%), (GE, 1,450, 1.14%, 0.00%), (ORCL, 1,459, 1.04%, 0.00%), (NEE, 4,474, 0.92%, 0.00%), (NFLX, 272, 0.92%, 0.00%), (JNJ, 1,783, 0.87%, 0.00%), (WMT, 2,968, 0.85%, 0.00%), (PLTR, 1,860, 0.84%, 0.00%), (COST, 303, 0.84%, 0.00%), (CVX, 1,884, 0.83%, 0.00%), (PG, 1,876, 0.83%, 0.00%), (RTX, 1,783, 0.82%, 0.00%), (CAT, 647, 0.81%, 0.00%), (MCD, 887, 0.78%, 0.00%), (ABT, 2,045, 0.76%, 0.00%), (UNH, 1,085, 0.75%, 0.00%), (ABBV, 1,309, 0.74%, 0.00%), (HD, 671, 0.73%, 0.00%), (KO, 3,392, 0.68%, 0.00%), (AMD, 1,359, 0.68%, 0.00%), (SO, 2,384, 0.66%, 0.00%), (BA, 1,001, 0.65%, 0.00%), (PM, 1,360, 0.65%, 0.00%), (BAC, 4,854, 0.65%, 0.00%), (BKNG, 41, 0.64%, 0.00%), (CRM, 868, 0.64%, 0.00%), (NKE, 2,898, 0.63%, 0.00%), (IBM, 839, 0.61%, 0.00%), (DUK, 1,681, 0.60%, 0.00%), (ISRG, 420, 0.59%, 0.00%), (ETN, 529, 0.59%, 0.00%), (INTU, 254, 0.58%, 0.00%), (GS, 277, 0.57%, 0.00%), (HON, 871, 0.55%, 0.00%), (WFC, 2,421, 0.55%, 0.00%), (UBER, 2,157, 0.55%, 0.00%), (MET, 2,412, 0.52%, 0.00%), (DE, 341, 0.50%, 0.00%), (NOW, 187, 0.50%, 0.00%), (PEP, 1,200, 0.49%, 0.00%), (T, 5,777, 0.47%, 0.00%), (MS, 1,094, 0.44%, 0.00%), (SPGI, 280, 0.44%, 0.00%), (MRK, 1,873, 0.43%, 0.00%), (VZ, 3,389, 0.42%, 0.00%), (AXP, 491, 0.42%, 0.00%), (ACN, 567, 0.42%, 0.00%), (BLK, 128, 0.41%, 0.00%), (ADBE, 399, 0.41%, 0.00%), (TXN, 764, 0.40%, 0.00%), (QCOM, 930, 0.40%, 0.00%), (UNP, 621, 0.40%, 0.00%), (COP, 1,458, 0.39%, 0.00%), (MDT, 1,512, 0.39%, 0.00%), (DIS, 1,154, 0.39%, 0.00%), (TMO, 283, 0.38%, 0.00%), (C, 1,375, 0.37%, 0.00%), (SCHW, 1,318, 0.37%, 0.00%), (AMAT, 690, 0.36%, 0.00%), (SBUX, 1,402, 0.36%, 0.00%), (LMT, 283, 0.35%, 0.00%), (AMGN, 398, 0.35%, 0.00%), (EMR, 764, 0.32%, 0.00%), (MMM, 729, 0.31%, 0.00%), (GILD, 923, 0.31%, 0.00%), (PFE, 4,197, 0.29%, 0.00%), (TJX, 762, 0.28%, 0.00%), (DHR, 476, 0.27%, 0.00%), (CVS, 1,484, 0.27%, 0.00%), (MO, 1,483, 0.27%, 0.00%), (LOW, 383, 0.25%, 0.00%), (CMCSA, 2,433, 0.23%, 0.00%), (ELV, 274, 0.22%, 0.00%), (MDLZ, 1,170, 0.22%, 0.00%), (INTC, 3,612, 0.20%, 0.00%), (BMY, 1,502, 0.19%, 0.00%), (UPS, 749, 0.18%, 0.00%), (PYPL, 884, 0.17%, 0.00%), (CL, 651, 0.16%, 0.00%), (FDX, 230, 0.15%, 0.00%), (USB, 1,134, 0.15%, 0.00%), (TGT, 315, 0.09%, 0.00%), (SC31761B, nan, nan%, 0.00%), (SC31763B, nan, nan%, 0.00%), (SP31762B, nan, nan%, 0.00%), (SP31765B, nan, nan%, 0.00%), (SP31764B, nan, nan%, 0.00%), (XP31765B, nan, nan%, 0.00%)</t>
  </si>
  <si>
    <t>(AVGO, 2,573, 3.18%, 0.00%), (META, 914, 2.90%, 0.00%), (BRK/B, 1,063, 2.15%, 0.00%), (GOOGL, 2,450, 1.98%, 0.00%), (CSCO, 6,457, 1.85%, 0.00%), (LIN, 914, 1.79%, 0.00%), (AMT, 1,853, 1.68%, 0.00%), (JPM, 1,347, 1.66%, 0.00%), (GOOG, 1,996, 1.62%, 0.00%), (TSLA, 1,223, 1.58%, 0.00%), (XOM, 3,260, 1.52%, 0.00%), (V, 1,003, 1.45%, 0.00%), (LLY, 384, 1.25%, 0.00%), (CB, 1,023, 1.17%, 0.00%), (MA, 476, 1.13%, 0.00%), (WM, 1,146, 1.12%, 0.00%), (GE, 954, 1.10%, 0.00%), (ORCL, 959, 1.00%, 0.00%), (NEE, 2,943, 0.89%, 0.00%), (NFLX, 179, 0.88%, 0.00%), (JNJ, 1,173, 0.84%, 0.00%), (WMT, 1,953, 0.82%, 0.00%), (PLTR, 1,224, 0.81%, 0.00%), (COST, 199, 0.80%, 0.00%), (CVX, 1,240, 0.80%, 0.00%), (PG, 1,234, 0.79%, 0.00%), (RTX, 1,173, 0.79%, 0.00%), (CAT, 425, 0.78%, 0.00%), (MCD, 583, 0.75%, 0.00%), (ABT, 1,346, 0.73%, 0.00%), (UNH, 714, 0.72%, 0.00%), (ABBV, 861, 0.72%, 0.00%), (HD, 441, 0.70%, 0.00%), (KO, 2,232, 0.66%, 0.00%), (AMD, 894, 0.65%, 0.00%), (SO, 1,568, 0.64%, 0.00%), (BA, 659, 0.62%, 0.00%), (PM, 895, 0.62%, 0.00%), (BAC, 3,193, 0.62%, 0.00%), (BKNG, 27, 0.62%, 0.00%), (CRM, 571, 0.61%, 0.00%), (NKE, 1,906, 0.61%, 0.00%), (IBM, 552, 0.59%, 0.00%), (DUK, 1,106, 0.58%, 0.00%), (ISRG, 276, 0.57%, 0.00%), (ETN, 348, 0.57%, 0.00%), (INTU, 167, 0.55%, 0.00%), (GS, 182, 0.55%, 0.00%), (HON, 573, 0.53%, 0.00%), (WFC, 1,593, 0.53%, 0.00%), (UBER, 1,419, 0.53%, 0.00%), (MET, 1,587, 0.50%, 0.00%), (NOW, 123, 0.48%, 0.00%), (DE, 224, 0.48%, 0.00%), (PEP, 790, 0.47%, 0.00%), (T, 3,800, 0.45%, 0.00%), (SPGI, 184, 0.43%, 0.00%), (MS, 720, 0.43%, 0.00%), (MRK, 1,232, 0.42%, 0.00%), (VZ, 2,229, 0.41%, 0.00%), (AXP, 323, 0.41%, 0.00%), (ACN, 373, 0.41%, 0.00%), (BLK, 84, 0.39%, 0.00%), (ADBE, 263, 0.39%, 0.00%), (TXN, 503, 0.39%, 0.00%), (QCOM, 612, 0.39%, 0.00%), (UNP, 409, 0.38%, 0.00%), (MDT, 995, 0.38%, 0.00%), (COP, 959, 0.38%, 0.00%), (DIS, 759, 0.38%, 0.00%), (TMO, 186, 0.37%, 0.00%), (C, 905, 0.35%, 0.00%), (SCHW, 867, 0.35%, 0.00%), (AMAT, 454, 0.35%, 0.00%), (SBUX, 922, 0.34%, 0.00%), (LMT, 186, 0.33%, 0.00%), (AMGN, 262, 0.33%, 0.00%), (EMR, 502, 0.30%, 0.00%), (MMM, 480, 0.30%, 0.00%), (GILD, 607, 0.29%, 0.00%), (PFE, 2,761, 0.28%, 0.00%), (TJX, 501, 0.27%, 0.00%), (DHR, 313, 0.26%, 0.00%), (CVS, 976, 0.26%, 0.00%), (MO, 976, 0.26%, 0.00%), (LOW, 252, 0.24%, 0.00%), (CMCSA, 1,601, 0.22%, 0.00%), (MDLZ, 770, 0.21%, 0.00%), (ELV, 180, 0.21%, 0.00%), (INTC, 2,376, 0.20%, 0.00%), (BMY, 988, 0.19%, 0.00%), (UPS, 493, 0.18%, 0.00%), (PYPL, 582, 0.17%, 0.00%), (CL, 428, 0.15%, 0.00%), (USB, 746, 0.14%, 0.00%), (FDX, 151, 0.14%, 0.00%), (TGT, 207, 0.09%, 0.00%), (SC9061B, nan, nan%, 0.00%), (SC9063B, nan, nan%, 0.00%), (SP9062B, nan, nan%, 0.00%), (SP9065B, nan, nan%, 0.00%), (SP9064B, nan, nan%, 0.00%), (XP9065B, nan, nan%, 0.00%)</t>
  </si>
  <si>
    <t>(META, 865, 2.65%, 0.00%), (BRK/B, 1,007, 1.96%, 0.00%), (GOOGL, 2,319, 1.81%, 0.00%), (CSCO, 6,111, 1.69%, 0.00%), (LIN, 865, 1.64%, 0.00%), (AMT, 1,754, 1.54%, 0.00%), (JPM, 1,275, 1.52%, 0.00%), (GOOG, 1,889, 1.48%, 0.00%), (TSLA, 1,158, 1.45%, 0.00%), (XOM, 3,085, 1.39%, 0.00%), (V, 949, 1.33%, 0.00%), (LLY, 363, 1.14%, 0.00%), (CB, 968, 1.07%, 0.00%), (MA, 450, 1.04%, 0.00%), (WM, 1,084, 1.02%, 0.00%), (GE, 903, 1.00%, 0.00%), (ORCL, 908, 0.92%, 0.00%), (NFLX, 170, 0.81%, 0.00%), (NEE, 2,786, 0.81%, 0.00%), (JNJ, 1,110, 0.77%, 0.00%), (WMT, 1,848, 0.75%, 0.00%), (COST, 189, 0.74%, 0.00%), (PLTR, 1,158, 0.74%, 0.00%), (CVX, 1,173, 0.73%, 0.00%), (PG, 1,168, 0.73%, 0.00%), (RTX, 1,110, 0.72%, 0.00%), (CAT, 403, 0.71%, 0.00%), (MCD, 552, 0.69%, 0.00%), (ABT, 1,274, 0.67%, 0.00%), (UNH, 676, 0.66%, 0.00%), (ABBV, 815, 0.65%, 0.00%), (HD, 418, 0.64%, 0.00%), (KO, 2,112, 0.60%, 0.00%), (AMD, 846, 0.59%, 0.00%), (SO, 1,484, 0.58%, 0.00%), (BA, 624, 0.57%, 0.00%), (PM, 847, 0.57%, 0.00%), (BAC, 3,022, 0.57%, 0.00%), (CRM, 540, 0.56%, 0.00%), (NKE, 1,804, 0.55%, 0.00%), (BKNG, 25, 0.55%, 0.00%), (IBM, 522, 0.54%, 0.00%), (DUK, 1,046, 0.53%, 0.00%), (ISRG, 262, 0.52%, 0.00%), (ETN, 330, 0.52%, 0.00%), (INTU, 158, 0.51%, 0.00%), (GS, 172, 0.50%, 0.00%), (HON, 542, 0.49%, 0.00%), (WFC, 1,507, 0.48%, 0.00%), (UBER, 1,343, 0.48%, 0.00%), (MET, 1,502, 0.46%, 0.00%), (DE, 212, 0.44%, 0.00%), (NOW, 116, 0.44%, 0.00%), (PEP, 747, 0.43%, 0.00%), (T, 3,597, 0.41%, 0.00%), (SPGI, 174, 0.39%, 0.00%), (MS, 681, 0.39%, 0.00%), (MRK, 1,166, 0.38%, 0.00%), (VZ, 2,110, 0.37%, 0.00%), (AXP, 306, 0.37%, 0.00%), (ACN, 353, 0.37%, 0.00%), (BLK, 80, 0.36%, 0.00%), (ADBE, 249, 0.36%, 0.00%), (TXN, 476, 0.36%, 0.00%), (QCOM, 579, 0.35%, 0.00%), (UNP, 387, 0.35%, 0.00%), (MDT, 942, 0.35%, 0.00%), (COP, 908, 0.35%, 0.00%), (DIS, 719, 0.35%, 0.00%), (TMO, 176, 0.34%, 0.00%), (SCHW, 821, 0.32%, 0.00%), (C, 856, 0.32%, 0.00%), (AMAT, 430, 0.32%, 0.00%), (SBUX, 873, 0.31%, 0.00%), (LMT, 176, 0.31%, 0.00%), (AMGN, 248, 0.30%, 0.00%), (EMR, 476, 0.28%, 0.00%), (MMM, 454, 0.27%, 0.00%), (GILD, 575, 0.27%, 0.00%), (PFE, 2,613, 0.25%, 0.00%), (TJX, 474, 0.25%, 0.00%), (DHR, 296, 0.24%, 0.00%), (CVS, 924, 0.24%, 0.00%), (MO, 923, 0.23%, 0.00%), (LOW, 239, 0.22%, 0.00%), (CMCSA, 1,515, 0.20%, 0.00%), (MDLZ, 728, 0.19%, 0.00%), (ELV, 170, 0.19%, 0.00%), (INTC, 2,249, 0.18%, 0.00%), (BMY, 935, 0.17%, 0.00%), (UPS, 466, 0.16%, 0.00%), (PYPL, 551, 0.15%, 0.00%), (CL, 405, 0.14%, 0.00%), (FDX, 143, 0.13%, 0.00%), (USB, 706, 0.13%, 0.00%), (TGT, 196, 0.08%, 0.00%)</t>
  </si>
  <si>
    <t>(AVGO, 1,631, 3.10%, 0.00%), (META, 580, 2.83%, 0.00%), (BRK/B, 674, 2.09%, 0.00%), (GOOGL, 1,553, 1.92%, 0.00%), (CSCO, 4,094, 1.80%, 0.00%), (LIN, 579, 1.75%, 0.00%), (AMT, 1,175, 1.64%, 0.00%), (JPM, 854, 1.62%, 0.00%), (GOOG, 1,265, 1.58%, 0.00%), (TSLA, 776, 1.54%, 0.00%), (XOM, 2,067, 1.48%, 0.00%), (V, 636, 1.41%, 0.00%), (LLY, 243, 1.22%, 0.00%), (CB, 649, 1.14%, 0.00%), (MA, 302, 1.11%, 0.00%), (WM, 726, 1.09%, 0.00%), (GE, 605, 1.07%, 0.00%), (ORCL, 608, 0.98%, 0.00%), (NFLX, 114, 0.87%, 0.00%), (NEE, 1,866, 0.86%, 0.00%), (JNJ, 744, 0.82%, 0.00%), (WMT, 1,238, 0.80%, 0.00%), (COST, 126, 0.79%, 0.00%), (PLTR, 776, 0.79%, 0.00%), (CVX, 786, 0.78%, 0.00%), (PG, 782, 0.77%, 0.00%), (RTX, 744, 0.77%, 0.00%), (CAT, 270, 0.76%, 0.00%), (MCD, 370, 0.73%, 0.00%), (ABT, 853, 0.71%, 0.00%), (UNH, 453, 0.70%, 0.00%), (ABBV, 546, 0.70%, 0.00%), (HD, 280, 0.69%, 0.00%), (KO, 1,415, 0.64%, 0.00%), (AMD, 567, 0.64%, 0.00%), (SO, 994, 0.62%, 0.00%), (BA, 418, 0.61%, 0.00%), (PM, 567, 0.61%, 0.00%), (BAC, 2,024, 0.61%, 0.00%), (BKNG, 17, 0.60%, 0.00%), (CRM, 362, 0.60%, 0.00%), (NKE, 1,209, 0.59%, 0.00%), (IBM, 350, 0.57%, 0.00%), (DUK, 701, 0.57%, 0.00%), (ETN, 221, 0.55%, 0.00%), (ISRG, 175, 0.55%, 0.00%), (INTU, 106, 0.54%, 0.00%), (GS, 115, 0.54%, 0.00%), (HON, 363, 0.52%, 0.00%), (WFC, 1,010, 0.52%, 0.00%), (UBER, 900, 0.51%, 0.00%), (MET, 1,006, 0.49%, 0.00%), (NOW, 78, 0.47%, 0.00%), (DE, 142, 0.47%, 0.00%), (PEP, 501, 0.46%, 0.00%), (T, 2,409, 0.44%, 0.00%), (SPGI, 117, 0.42%, 0.00%), (MS, 456, 0.42%, 0.00%), (MRK, 781, 0.41%, 0.00%), (VZ, 1,413, 0.40%, 0.00%), (AXP, 205, 0.40%, 0.00%), (ACN, 236, 0.39%, 0.00%), (BLK, 54, 0.39%, 0.00%), (ADBE, 167, 0.38%, 0.00%), (TXN, 319, 0.38%, 0.00%), (QCOM, 388, 0.38%, 0.00%), (UNP, 259, 0.37%, 0.00%), (MDT, 631, 0.37%, 0.00%), (COP, 608, 0.37%, 0.00%), (DIS, 481, 0.37%, 0.00%), (TMO, 118, 0.36%, 0.00%), (C, 574, 0.35%, 0.00%), (SCHW, 550, 0.35%, 0.00%), (AMAT, 288, 0.34%, 0.00%), (SBUX, 585, 0.33%, 0.00%), (LMT, 118, 0.33%, 0.00%), (AMGN, 166, 0.32%, 0.00%), (EMR, 319, 0.30%, 0.00%), (MMM, 304, 0.29%, 0.00%), (GILD, 385, 0.29%, 0.00%), (PFE, 1,750, 0.27%, 0.00%), (TJX, 318, 0.26%, 0.00%), (DHR, 199, 0.26%, 0.00%), (CVS, 619, 0.25%, 0.00%), (MO, 618, 0.25%, 0.00%), (LOW, 160, 0.24%, 0.00%), (CMCSA, 1,015, 0.22%, 0.00%), (MDLZ, 488, 0.21%, 0.00%), (ELV, 114, 0.20%, 0.00%), (INTC, 1,507,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</si>
  <si>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5,968, 2.69%, 0.00%), (BRK/B, 6,943, 1.99%, 0.00%), (GOOGL, 15,995, 1.84%, 0.00%), (CSCO, 42,156, 1.72%, 0.00%), (LIN, 5,964, 1.67%, 0.00%), (AMT, 12,100, 1.56%, 0.00%), (JPM, 8,791, 1.54%, 0.00%), (GOOG, 13,028, 1.50%, 0.00%), (TSLA, 7,985, 1.47%, 0.00%), (XOM, 21,280, 1.42%, 0.00%), (V, 6,546, 1.35%, 0.00%), (LLY, 2,506, 1.16%, 0.00%), (CB, 6,678, 1.08%, 0.00%), (MA, 3,105, 1.05%, 0.00%), (WM, 7,480, 1.04%, 0.00%), (GE, 6,226, 1.02%, 0.00%), (ORCL, 6,264, 0.93%, 0.00%), (NEE, 19,215, 0.82%, 0.00%), (NFLX, 1,170, 0.82%, 0.00%), (JNJ, 7,658, 0.78%, 0.00%), (WMT, 12,747, 0.76%, 0.00%), (PLTR, 7,989, 0.75%, 0.00%), (COST, 1,301, 0.75%, 0.00%), (CVX, 8,092, 0.74%, 0.00%), (PG, 8,057, 0.74%, 0.00%), (RTX, 7,657, 0.73%, 0.00%), (CAT, 2,778, 0.72%, 0.00%), (MCD, 3,807, 0.70%, 0.00%), (ABT, 8,784, 0.68%, 0.00%), (UNH, 4,661, 0.67%, 0.00%), (ABBV, 5,620, 0.66%, 0.00%), (HD, 2,881, 0.65%, 0.00%), (KO, 14,569, 0.61%, 0.00%), (AMD, 5,837, 0.60%, 0.00%), (SO, 10,238, 0.59%, 0.00%), (BA, 4,301, 0.58%, 0.00%), (PM, 5,843, 0.58%, 0.00%), (BAC, 20,845, 0.58%, 0.00%), (BKNG, 176, 0.57%, 0.00%), (CRM, 3,726, 0.57%, 0.00%), (NKE, 12,446, 0.56%, 0.00%), (IBM, 3,604, 0.54%, 0.00%), (DUK, 7,218, 0.54%, 0.00%), (ISRG, 1,804, 0.53%, 0.00%), (ETN, 2,274, 0.53%, 0.00%), (INTU, 1,092, 0.51%, 0.00%), (GS, 1,189, 0.51%, 0.00%), (HON, 3,741, 0.50%, 0.00%), (WFC, 10,397, 0.49%, 0.00%), (UBER, 9,263, 0.49%, 0.00%), (MET, 10,361, 0.47%, 0.00%), (DE, 1,464, 0.45%, 0.00%), (NOW, 803, 0.45%, 0.00%), (PEP, 5,156, 0.44%, 0.00%), (T, 24,808, 0.42%, 0.00%), (MS, 4,699, 0.40%, 0.00%), (SPGI, 1,203, 0.40%, 0.00%), (MRK, 8,046, 0.39%, 0.00%), (VZ, 14,554, 0.38%, 0.00%), (AXP, 2,108, 0.38%, 0.00%), (ACN, 2,435, 0.38%, 0.00%), (BLK, 551, 0.37%, 0.00%), (ADBE, 1,716, 0.36%, 0.00%), (TXN, 3,281, 0.36%, 0.00%), (QCOM, 3,996, 0.36%, 0.00%), (UNP, 2,667, 0.36%, 0.00%), (COP, 6,263, 0.35%, 0.00%), (MDT, 6,495, 0.35%, 0.00%), (DIS, 4,957, 0.35%, 0.00%), (TMO, 1,217, 0.34%, 0.00%), (C, 5,906, 0.33%, 0.00%), (SCHW, 5,662, 0.33%, 0.00%), (AMAT, 2,965, 0.32%, 0.00%), (SBUX, 6,022, 0.32%, 0.00%), (LMT, 1,214, 0.31%, 0.00%), (AMGN, 1,710, 0.31%, 0.00%), (EMR, 3,280, 0.28%, 0.00%), (MMM, 3,133, 0.28%, 0.00%), (GILD, 3,964, 0.27%, 0.00%), (PFE, 18,024, 0.26%, 0.00%), (TJX, 3,271, 0.25%, 0.00%), (DHR, 2,045, 0.24%, 0.00%), (CVS, 6,373, 0.24%, 0.00%), (MO, 6,369, 0.24%, 0.00%), (LOW, 1,645, 0.23%, 0.00%), (CMCSA, 10,449, 0.21%, 0.00%), (MDLZ, 5,025, 0.20%, 0.00%), (ELV, 1,175, 0.20%, 0.00%), (INTC, 15,513, 0.18%, 0.00%), (BMY, 6,451, 0.17%, 0.00%), (UPS, 3,217, 0.17%, 0.00%), (PYPL, 3,797, 0.15%, 0.00%), (CL, 2,795, 0.14%, 0.00%), (FDX, 989, 0.13%, 0.00%), (USB, 4,871, 0.13%, 0.00%), (TGT, 1,353, 0.08%, 0.00%)</t>
  </si>
  <si>
    <t>(AVGO, 14,747, 3.17%, 0.00%), (META, 5,239, 2.88%, 0.00%), (BRK/B, 6,095, 2.14%, 0.00%), (GOOGL, 14,041, 1.97%, 0.00%), (CSCO, 37,006, 1.84%, 0.00%), (LIN, 5,236, 1.78%, 0.00%), (AMT, 10,622, 1.67%, 0.00%), (JPM, 7,717, 1.65%, 0.00%), (GOOG, 11,437, 1.61%, 0.00%), (TSLA, 7,010, 1.57%, 0.00%), (XOM, 18,681, 1.52%, 0.00%), (V, 5,746, 1.44%, 0.00%), (LLY, 2,200, 1.25%, 0.00%), (CB, 5,862, 1.16%, 0.00%), (MA, 2,726, 1.13%, 0.00%), (WM, 6,566, 1.11%, 0.00%), (GE, 5,466, 1.09%, 0.00%), (ORCL, 5,499, 1.00%, 0.00%), (NEE, 16,868, 0.88%, 0.00%), (NFLX, 1,027, 0.88%, 0.00%), (JNJ, 6,722, 0.83%, 0.00%), (WMT, 11,190, 0.82%, 0.00%), (PLTR, 7,013, 0.80%, 0.00%), (COST, 1,142, 0.80%, 0.00%), (CVX, 7,104, 0.80%, 0.00%), (PG, 7,073, 0.79%, 0.00%), (RTX, 6,722, 0.78%, 0.00%), (CAT, 2,438, 0.78%, 0.00%), (MCD, 3,342, 0.75%, 0.00%), (ABT, 7,711, 0.73%, 0.00%), (UNH, 4,092, 0.71%, 0.00%), (ABBV, 4,934, 0.71%, 0.00%), (HD, 2,529, 0.70%, 0.00%), (KO, 12,789, 0.65%, 0.00%), (AMD, 5,124, 0.65%, 0.00%), (SO, 8,987, 0.63%, 0.00%), (BA, 3,775, 0.62%, 0.00%), (PM, 5,129, 0.62%, 0.00%), (BAC, 18,299, 0.62%, 0.00%), (BKNG, 154, 0.61%, 0.00%), (CRM, 3,271, 0.61%, 0.00%), (NKE, 10,926, 0.60%, 0.00%), (IBM, 3,163, 0.58%, 0.00%), (DUK, 6,336, 0.58%, 0.00%), (ISRG, 1,584, 0.57%, 0.00%), (ETN, 1,996, 0.56%, 0.00%), (INTU, 959, 0.55%, 0.00%), (GS, 1,044, 0.55%, 0.00%), (HON, 3,284, 0.53%, 0.00%), (WFC, 9,127, 0.53%, 0.00%), (UBER, 8,132, 0.52%, 0.00%), (MET, 9,095, 0.50%, 0.00%), (DE, 1,285, 0.48%, 0.00%), (NOW, 705, 0.48%, 0.00%), (PEP, 4,526, 0.47%, 0.00%), (T, 21,778, 0.45%, 0.00%), (MS, 4,125, 0.43%, 0.00%), (SPGI, 1,056, 0.42%, 0.00%), (MRK, 7,063, 0.42%, 0.00%), (VZ, 12,777, 0.41%, 0.00%), (AXP, 1,850, 0.40%, 0.00%), (ACN, 2,138, 0.40%, 0.00%), (BLK, 484, 0.39%, 0.00%), (ADBE, 1,506, 0.39%, 0.00%), (TXN, 2,880, 0.39%, 0.00%), (QCOM, 3,508, 0.38%, 0.00%), (UNP, 2,341, 0.38%, 0.00%), (COP, 5,498, 0.38%, 0.00%), (MDT, 5,702, 0.38%, 0.00%), (DIS, 4,352, 0.38%, 0.00%), (TMO, 1,068, 0.37%, 0.00%), (C, 5,184, 0.35%, 0.00%), (SCHW, 4,971, 0.35%, 0.00%), (AMAT, 2,603, 0.35%, 0.00%), (SBUX, 5,286, 0.34%, 0.00%), (LMT, 1,065, 0.33%, 0.00%), (AMGN, 1,501, 0.33%, 0.00%), (EMR, 2,880, 0.30%, 0.00%), (MMM, 2,750, 0.29%, 0.00%), (GILD, 3,480, 0.29%, 0.00%), (PFE, 15,823, 0.27%, 0.00%), (TJX, 2,872, 0.27%, 0.00%), (DHR, 1,795, 0.26%, 0.00%), (CVS, 5,595, 0.26%, 0.00%), (MO, 5,591, 0.25%, 0.00%), (LOW, 1,444, 0.24%, 0.00%), (CMCSA, 9,173, 0.22%, 0.00%), (MDLZ, 4,411, 0.21%, 0.00%), (ELV, 1,031, 0.21%, 0.00%), (INTC, 13,618, 0.19%, 0.00%), (BMY, 5,663, 0.19%, 0.00%), (UPS, 2,824, 0.18%, 0.00%), (PYPL, 3,333, 0.17%, 0.00%), (CL, 2,454, 0.15%, 0.00%), (FDX, 868, 0.14%, 0.00%), (USB, 4,276, 0.14%, 0.00%), (TGT, 1,188, 0.09%, 0.00%), (SC23471B, nan, nan%, 0.00%), (SC23473B, nan, nan%, 0.00%), (SP23472B, nan, nan%, 0.00%), (SP23475B, nan, nan%, 0.00%), (SP23474B, nan, nan%, 0.00%), (XP23475B, nan, nan%, 0.00%)</t>
  </si>
  <si>
    <t>(AVGO, 10,979, 3.15%, 0.00%), (META, 3,900, 2.86%, 0.00%), (BRK/B, 4,537, 2.12%, 0.00%), (GOOGL, 10,453, 1.95%, 0.00%), (CSCO, 27,549, 1.83%, 0.00%), (LIN, 3,898, 1.77%, 0.00%), (AMT, 7,907, 1.66%, 0.00%), (JPM, 5,745, 1.64%, 0.00%), (GOOG, 8,514, 1.60%, 0.00%), (TSLA, 5,219, 1.56%, 0.00%), (XOM, 13,907, 1.51%, 0.00%), (V, 4,278, 1.43%, 0.00%), (LLY, 1,638, 1.24%, 0.00%), (CB, 4,364, 1.15%, 0.00%), (MA, 2,029, 1.12%, 0.00%), (WM, 4,888, 1.11%, 0.00%), (GE, 4,069, 1.09%, 0.00%), (ORCL, 4,093, 0.99%, 0.00%), (NFLX, 765, 0.88%, 0.00%), (NEE, 12,557, 0.88%, 0.00%), (JNJ, 5,004, 0.83%, 0.00%), (WMT, 8,330, 0.81%, 0.00%), (PLTR, 5,221, 0.80%, 0.00%), (COST, 850, 0.80%, 0.00%), (CVX, 5,288, 0.79%, 0.00%), (PG, 5,265, 0.79%, 0.00%), (RTX, 5,004, 0.78%, 0.00%), (CAT, 1,815, 0.77%, 0.00%), (MCD, 2,488, 0.74%, 0.00%), (ABT, 5,741, 0.72%, 0.00%), (UNH, 3,046, 0.71%, 0.00%), (ABBV, 3,673, 0.71%, 0.00%), (HD, 1,883, 0.70%, 0.00%), (KO, 9,521, 0.65%, 0.00%), (AMD, 3,815, 0.64%, 0.00%), (SO, 6,691, 0.63%, 0.00%), (BA, 2,811, 0.62%, 0.00%), (PM, 3,818, 0.62%, 0.00%), (BAC, 13,622, 0.62%, 0.00%), (BKNG, 115, 0.61%, 0.00%), (CRM, 2,435, 0.60%, 0.00%), (NKE, 8,134, 0.60%, 0.00%), (IBM, 2,355, 0.58%, 0.00%), (DUK, 4,717, 0.57%, 0.00%), (ISRG, 1,179, 0.56%, 0.00%), (ETN, 1,486, 0.56%, 0.00%), (INTU, 714, 0.55%, 0.00%), (GS, 777, 0.55%, 0.00%), (HON, 2,445, 0.53%, 0.00%), (WFC, 6,794, 0.52%, 0.00%), (UBER, 6,054, 0.52%, 0.00%), (MET, 6,771, 0.50%, 0.00%), (DE, 957, 0.47%, 0.00%), (NOW, 525, 0.47%, 0.00%), (PEP, 3,369, 0.46%, 0.00%), (T, 16,212, 0.45%, 0.00%), (MS, 3,071, 0.42%, 0.00%), (SPGI, 786, 0.42%, 0.00%), (MRK, 5,258, 0.41%, 0.00%), (VZ, 9,511, 0.40%, 0.00%), (AXP, 1,378, 0.40%, 0.00%), (ACN, 1,591, 0.40%, 0.00%), (BLK, 360, 0.39%, 0.00%), (ADBE, 1,121, 0.39%, 0.00%), (TXN, 2,144, 0.38%, 0.00%), (QCOM, 2,611, 0.38%, 0.00%), (UNP, 1,743, 0.38%, 0.00%), (COP, 4,093, 0.38%, 0.00%), (MDT, 4,245, 0.38%, 0.00%), (DIS, 3,240, 0.37%, 0.00%), (TMO, 795, 0.36%, 0.00%), (C, 3,859, 0.35%, 0.00%), (SCHW, 3,700, 0.35%, 0.00%), (AMAT, 1,938, 0.35%, 0.00%), (SBUX, 3,935, 0.34%, 0.00%), (LMT, 793, 0.33%, 0.00%), (AMGN, 1,117, 0.33%, 0.00%), (EMR, 2,144, 0.30%, 0.00%), (MMM, 2,047, 0.29%, 0.00%), (GILD, 2,590, 0.29%, 0.00%), (PFE, 11,779, 0.27%, 0.00%), (TJX, 2,138, 0.27%, 0.00%), (DHR, 1,336, 0.26%, 0.00%), (CVS, 4,165, 0.25%, 0.00%), (MO, 4,162, 0.25%, 0.00%), (LOW, 1,075, 0.24%, 0.00%), (CMCSA, 6,829, 0.22%, 0.00%), (MDLZ, 3,284, 0.21%, 0.00%), (ELV, 768, 0.21%, 0.00%), (INTC, 10,138, 0.19%, 0.00%), (BMY, 4,216, 0.18%, 0.00%), (UPS, 2,103, 0.18%, 0.00%), (PYPL, 2,482, 0.16%, 0.00%), (CL, 1,827, 0.15%, 0.00%), (FDX, 646, 0.14%, 0.00%), (USB, 3,184, 0.14%, 0.00%), (TGT, 884, 0.09%, 0.00%), (SC22171B, nan, nan%, 0.00%), (SC22173B, nan, nan%, 0.00%), (SP22172B, nan, nan%, 0.00%), (SP22175B, nan, nan%, 0.00%), (SP22174B, nan, nan%, 0.00%), (XP22175B, nan, nan%, 0.00%)</t>
  </si>
  <si>
    <t>(META, 1,471, 2.73%, 0.00%), (BRK/B, 1,712, 2.02%, 0.00%), (GOOGL, 3,943, 1.86%, 0.00%), (CSCO, 10,393, 1.74%, 0.00%), (LIN, 1,470, 1.69%, 0.00%), (AMT, 2,983, 1.58%, 0.00%), (JPM, 2,167, 1.57%, 0.00%), (GOOG, 3,212, 1.52%, 0.00%), (TSLA, 1,969, 1.49%, 0.00%), (XOM, 5,246, 1.44%, 0.00%), (V, 1,614, 1.37%, 0.00%), (LLY, 618, 1.18%, 0.00%), (CB, 1,646, 1.10%, 0.00%), (MA, 765, 1.07%, 0.00%), (WM, 1,844, 1.05%, 0.00%), (GE, 1,535, 1.03%, 0.00%), (ORCL, 1,544, 0.94%, 0.00%), (NEE, 4,737, 0.83%, 0.00%), (NFLX, 288, 0.83%, 0.00%), (JNJ, 1,888, 0.79%, 0.00%), (WMT, 3,143, 0.77%, 0.00%), (PLTR, 1,970, 0.76%, 0.00%), (COST, 321, 0.76%, 0.00%), (CVX, 1,995, 0.75%, 0.00%), (PG, 1,986, 0.75%, 0.00%), (RTX, 1,888, 0.74%, 0.00%), (CAT, 685, 0.73%, 0.00%), (MCD, 939, 0.71%, 0.00%), (ABT, 2,166, 0.69%, 0.00%), (UNH, 1,149, 0.68%, 0.00%), (ABBV, 1,386, 0.67%, 0.00%), (HD, 710, 0.66%, 0.00%), (KO, 3,592, 0.62%, 0.00%), (AMD, 1,439, 0.61%, 0.00%), (SO, 2,524, 0.60%, 0.00%), (BA, 1,060, 0.59%, 0.00%), (PM, 1,440, 0.59%, 0.00%), (BAC, 5,139, 0.59%, 0.00%), (CRM, 919, 0.58%, 0.00%), (BKNG, 43, 0.58%, 0.00%), (NKE, 3,068, 0.57%, 0.00%), (IBM, 888, 0.55%, 0.00%), (DUK, 1,780, 0.55%, 0.00%), (ISRG, 445, 0.54%, 0.00%), (ETN, 561, 0.54%, 0.00%), (INTU, 269, 0.52%, 0.00%), (GS, 293, 0.52%, 0.00%), (HON, 922, 0.50%, 0.00%), (WFC, 2,563, 0.50%, 0.00%), (UBER, 2,284, 0.50%, 0.00%), (MET, 2,554, 0.47%, 0.00%), (DE, 361, 0.45%, 0.00%), (NOW, 198, 0.45%, 0.00%), (PEP, 1,271, 0.44%, 0.00%), (T, 6,116, 0.42%, 0.00%), (MS, 1,158, 0.40%, 0.00%), (SPGI, 296, 0.40%, 0.00%), (MRK, 1,984, 0.39%, 0.00%), (VZ, 3,588, 0.38%, 0.00%), (AXP, 520, 0.38%, 0.00%), (ACN, 600, 0.38%, 0.00%), (BLK, 136, 0.37%, 0.00%), (ADBE, 423, 0.37%, 0.00%), (TXN, 809, 0.37%, 0.00%), (QCOM, 985, 0.36%, 0.00%), (UNP, 658, 0.36%, 0.00%), (COP, 1,544, 0.36%, 0.00%), (MDT, 1,601, 0.36%, 0.00%), (DIS, 1,222, 0.36%, 0.00%), (TMO, 300, 0.35%, 0.00%), (C, 1,456, 0.33%, 0.00%), (SCHW, 1,396, 0.33%, 0.00%), (AMAT, 731, 0.33%, 0.00%), (SBUX, 1,485, 0.32%, 0.00%), (LMT, 299, 0.31%, 0.00%), (AMGN, 422, 0.31%, 0.00%), (EMR, 809, 0.29%, 0.00%), (MMM, 772, 0.28%, 0.00%), (GILD, 977, 0.28%, 0.00%), (PFE, 4,444, 0.26%, 0.00%), (TJX, 806, 0.25%, 0.00%), (DHR, 504, 0.25%, 0.00%), (CVS, 1,571, 0.24%, 0.00%), (MO, 1,570, 0.24%, 0.00%), (LOW, 406, 0.23%, 0.00%), (CMCSA, 2,576, 0.21%, 0.00%), (ELV, 290, 0.20%, 0.00%), (MDLZ, 1,239, 0.20%, 0.00%), (INTC, 3,825, 0.18%, 0.00%), (BMY, 1,590, 0.18%, 0.00%), (UPS, 793, 0.17%, 0.00%), (PYPL, 936, 0.16%, 0.00%), (CL, 689, 0.14%, 0.00%), (FDX, 244, 0.13%, 0.00%), (USB, 1,201, 0.13%, 0.00%), (TGT, 334, 0.08%, 0.00%), (SC28181B, nan, nan%, 0.00%), (SC28183B, nan, nan%, 0.00%), (SP28182B, nan, nan%, 0.00%), (SP28185B, nan, nan%, 0.00%), (SP28184B, nan, nan%, 0.00%), (XP28185B, nan, nan%, 0.00%)</t>
  </si>
  <si>
    <t>(META, 1,599, 2.78%, 0.00%), (BRK/B, 1,861, 2.05%, 0.00%), (GOOGL, 4,286, 1.89%, 0.00%), (CSCO, 11,297, 1.77%, 0.00%), (LIN, 1,598, 1.71%, 0.00%), (AMT, 3,243, 1.61%, 0.00%), (JPM, 2,356, 1.59%, 0.00%), (GOOG, 3,491, 1.55%, 0.00%), (TSLA, 2,140, 1.51%, 0.00%), (XOM, 5,703, 1.46%, 0.00%), (V, 1,754, 1.39%, 0.00%), (LLY, 672, 1.20%, 0.00%), (CB, 1,790, 1.12%, 0.00%), (MA, 832, 1.08%, 0.00%), (WM, 2,004, 1.07%, 0.00%), (GE, 1,669, 1.05%, 0.00%), (ORCL, 1,679, 0.96%, 0.00%), (NFLX, 314, 0.85%, 0.00%), (NEE, 5,149, 0.85%, 0.00%), (JNJ, 2,052, 0.80%, 0.00%), (WMT, 3,416, 0.78%, 0.00%), (PLTR, 2,141, 0.77%, 0.00%), (COST, 349, 0.77%, 0.00%), (CVX, 2,169, 0.77%, 0.00%), (PG, 2,159, 0.76%, 0.00%), (RTX, 2,052, 0.75%, 0.00%), (CAT, 744, 0.75%, 0.00%), (MCD, 1,020, 0.72%, 0.00%), (ABT, 2,354, 0.70%, 0.00%), (UNH, 1,249, 0.69%, 0.00%), (ABBV, 1,506, 0.68%, 0.00%), (HD, 772, 0.67%, 0.00%), (KO, 3,904, 0.63%, 0.00%), (AMD, 1,564, 0.62%, 0.00%), (SO, 2,744, 0.61%, 0.00%), (BA, 1,153, 0.60%, 0.00%), (PM, 1,566, 0.60%, 0.00%), (BAC, 5,586, 0.59%, 0.00%), (BKNG, 47, 0.59%, 0.00%), (CRM, 998, 0.58%, 0.00%), (NKE, 3,335, 0.58%, 0.00%), (IBM, 966, 0.56%, 0.00%), (DUK, 1,934, 0.56%, 0.00%), (ISRG, 483, 0.54%, 0.00%), (ETN, 609, 0.54%, 0.00%), (INTU, 293, 0.53%, 0.00%), (GS, 319, 0.53%, 0.00%), (HON, 1,002, 0.51%, 0.00%), (WFC, 2,786, 0.51%, 0.00%), (UBER, 2,482, 0.50%, 0.00%), (MET, 2,776, 0.48%, 0.00%), (DE, 392, 0.46%, 0.00%), (NOW, 215, 0.46%, 0.00%), (PEP, 1,382, 0.45%, 0.00%), (T, 6,648, 0.43%, 0.00%), (MS, 1,259, 0.41%, 0.00%), (SPGI, 322, 0.41%, 0.00%), (MRK, 2,156, 0.40%, 0.00%), (VZ, 3,900, 0.39%, 0.00%), (AXP, 565, 0.39%, 0.00%), (ACN, 653, 0.39%, 0.00%), (BLK, 148, 0.38%, 0.00%), (ADBE, 460, 0.37%, 0.00%), (TXN, 879, 0.37%, 0.00%), (QCOM, 1,071, 0.37%, 0.00%), (UNP, 715, 0.37%, 0.00%), (MDT, 1,741, 0.36%, 0.00%), (COP, 1,678, 0.36%, 0.00%), (DIS, 1,328, 0.36%, 0.00%), (TMO, 326, 0.35%, 0.00%), (C, 1,583, 0.34%, 0.00%), (SCHW, 1,517, 0.34%, 0.00%), (AMAT, 795, 0.33%, 0.00%), (SBUX, 1,614, 0.33%, 0.00%), (LMT, 325, 0.32%, 0.00%), (AMGN, 458, 0.32%, 0.00%), (EMR, 879, 0.29%, 0.00%), (MMM, 840, 0.28%, 0.00%), (GILD, 1,062, 0.28%, 0.00%), (PFE, 4,830, 0.26%, 0.00%), (TJX, 877, 0.26%, 0.00%), (DHR, 548, 0.25%, 0.00%), (CVS, 1,708, 0.25%, 0.00%), (MO, 1,707, 0.24%, 0.00%), (LOW, 441, 0.23%, 0.00%), (CMCSA, 2,800, 0.21%, 0.00%), (MDLZ, 1,347, 0.20%, 0.00%), (ELV, 315, 0.20%, 0.00%), (INTC, 4,157, 0.19%, 0.00%), (BMY, 1,729, 0.18%, 0.00%), (UPS, 862, 0.17%, 0.00%), (PYPL, 1,018, 0.16%, 0.00%), (CL, 749, 0.15%, 0.00%), (FDX, 265, 0.13%, 0.00%), (USB, 1,305, 0.13%, 0.00%), (TGT, 363, 0.08%, 0.00%), (SC13481B, nan, nan%, 0.00%), (SC13483B, nan, nan%, 0.00%), (SP13482B, nan, nan%, 0.00%), (SP13485B, nan, nan%, 0.00%), (SP13484B, nan, nan%, 0.00%), (XP13485B, nan, nan%, 0.00%)</t>
  </si>
  <si>
    <t>(AVGO, 8,471, 3.16%, 0.00%), (META, 3,009, 2.88%, 0.00%), (BRK/B, 3,501, 2.13%, 0.00%), (GOOGL, 8,065, 1.96%, 0.00%), (CSCO, 21,256, 1.83%, 0.00%), (LIN, 3,007, 1.78%, 0.00%), (AMT, 6,101, 1.67%, 0.00%), (JPM, 4,433, 1.65%, 0.00%), (GOOG, 6,569, 1.60%, 0.00%), (TSLA, 4,026, 1.57%, 0.00%), (XOM, 10,730, 1.51%, 0.00%), (V, 3,300, 1.44%, 0.00%), (LLY, 1,264, 1.24%, 0.00%), (CB, 3,367, 1.16%, 0.00%), (MA, 1,565, 1.12%, 0.00%), (WM, 3,772, 1.11%, 0.00%), (GE, 3,140, 1.09%, 0.00%), (ORCL, 3,158, 0.99%, 0.00%), (NFLX, 590, 0.88%, 0.00%), (NEE, 9,688, 0.88%, 0.00%), (JNJ, 3,861, 0.83%, 0.00%), (WMT, 6,427, 0.81%, 0.00%), (COST, 656, 0.80%, 0.00%), (PLTR, 4,028, 0.80%, 0.00%), (CVX, 4,080, 0.79%, 0.00%), (PG, 4,063, 0.79%, 0.00%), (RTX, 3,861, 0.78%, 0.00%), (CAT, 1,401, 0.77%, 0.00%), (MCD, 1,920, 0.75%, 0.00%), (ABT, 4,429, 0.72%, 0.00%), (UNH, 2,350, 0.71%, 0.00%), (ABBV, 2,834, 0.71%, 0.00%), (HD, 1,453, 0.70%, 0.00%), (KO, 7,346, 0.65%, 0.00%), (AMD, 2,943, 0.65%, 0.00%), (SO, 5,162, 0.63%, 0.00%), (BA, 2,169, 0.62%, 0.00%), (PM, 2,946, 0.62%, 0.00%), (BAC, 10,511, 0.62%, 0.00%), (BKNG, 89, 0.61%, 0.00%), (CRM, 1,879, 0.61%, 0.00%), (NKE, 6,276, 0.60%, 0.00%), (IBM, 1,817, 0.58%, 0.00%), (DUK, 3,639, 0.58%, 0.00%), (ISRG, 910, 0.56%, 0.00%), (ETN, 1,146, 0.56%, 0.00%), (INTU, 551, 0.55%, 0.00%), (GS, 600, 0.55%, 0.00%), (HON, 1,886, 0.53%, 0.00%), (WFC, 5,242, 0.52%, 0.00%), (UBER, 4,671, 0.52%, 0.00%), (MET, 5,224, 0.50%, 0.00%), (NOW, 405, 0.48%, 0.00%), (DE, 738, 0.47%, 0.00%), (PEP, 2,600, 0.47%, 0.00%), (T, 12,509, 0.45%, 0.00%), (MS, 2,369, 0.42%, 0.00%), (SPGI, 606, 0.42%, 0.00%), (MRK, 4,057, 0.41%, 0.00%), (VZ, 7,339, 0.40%, 0.00%), (AXP, 1,063, 0.40%, 0.00%), (ACN, 1,228, 0.40%, 0.00%), (BLK, 278, 0.39%, 0.00%), (ADBE, 865, 0.39%, 0.00%), (TXN, 1,654, 0.39%, 0.00%), (QCOM, 2,015, 0.38%, 0.00%), (UNP, 1,345, 0.38%, 0.00%), (COP, 3,158, 0.38%, 0.00%), (MDT, 3,275, 0.38%, 0.00%), (DIS, 2,500, 0.37%, 0.00%), (TMO, 613, 0.36%, 0.00%), (C, 2,978, 0.35%, 0.00%), (SCHW, 2,855, 0.35%, 0.00%), (AMAT, 1,495, 0.35%, 0.00%), (SBUX, 3,036, 0.34%, 0.00%), (LMT, 612, 0.33%, 0.00%), (AMGN, 862, 0.33%, 0.00%), (EMR, 1,654, 0.30%, 0.00%), (MMM, 1,580, 0.29%, 0.00%), (GILD, 1,999, 0.29%, 0.00%), (PFE, 9,088, 0.27%, 0.00%), (TJX, 1,649, 0.27%, 0.00%), (DHR, 1,031, 0.26%, 0.00%), (CVS, 3,214, 0.26%, 0.00%), (MO, 3,211, 0.25%, 0.00%), (LOW, 830, 0.24%, 0.00%), (CMCSA, 5,269, 0.22%, 0.00%), (MDLZ, 2,534, 0.21%, 0.00%), (ELV, 592, 0.21%, 0.00%), (INTC, 7,822, 0.19%, 0.00%), (BMY, 3,253, 0.18%, 0.00%), (UPS, 1,622, 0.18%, 0.00%), (PYPL, 1,915, 0.16%, 0.00%), (CL, 1,409, 0.15%, 0.00%), (FDX, 499, 0.14%, 0.00%), (USB, 2,456, 0.14%, 0.00%), (TGT, 682, 0.09%, 0.00%), (SC26771B, nan, nan%, 0.00%), (SC26773B, nan, nan%, 0.00%), (SP26772B, nan, nan%, 0.00%), (SP26775B, nan, nan%, 0.00%), (SP26774B, nan, nan%, 0.00%), (XP26775B, nan, nan%, 0.00%)</t>
  </si>
  <si>
    <t>EBAY, META, MSFT, BK, JPM, GOOGL, RJF, BLK, BKNG, MLI, EA, AMAT</t>
  </si>
  <si>
    <t>(EWBC, 10,131, 1.81%, 0.01%), (V, 2,931, 1.80%, 0.00%), (HIG, 7,848, 1.77%, 0.00%), (AXP, 3,306, 1.77%, 0.00%), (PHM, 8,316, 1.76%, 0.00%), (TRV, 3,729, 1.76%, 0.00%), (NVDA, 5,476, 1.75%, 0.00%), (ADP, 3,131, 1.71%, 0.00%), (KLAC, 1,037, 1.69%, 0.00%), (SNA, 2,922, 1.67%, 0.01%), (UNM, 13,184, 1.66%, 0.01%), (ROST, 6,529, 1.64%, 0.00%), (PCAR, 9,268, 1.62%, 0.00%), (CB, 3,307, 1.59%, 0.00%), (CRM, 3,358, 1.53%, 0.00%), (CTSH, 11,845, 1.52%, 0.00%), (SYF, 12,239, 1.52%, 0.00%), (PAYC, 3,585, 1.49%, 0.01%), (LEN, 6,919, 1.46%, 0.00%), (WSM, 4,144, 1.46%, 0.00%), (BKR, 17,432, 1.37%, 0.00%), (ACN, 2,793, 1.30%, 0.00%), (QCOM, 4,728, 1.28%, 0.00%), (DHI, 4,597, 1.25%, 0.00%), (AFL, 6,474, 1.15%, 0.00%), (AAPL, 3,052, 1.13%, 0.00%), (ELV, 2,245, 1.12%, 0.00%), (MPWR, 748, 1.10%, 0.00%), (CSCO, 8,769, 1.08%, 0.00%), (LRCX, 6,038, 1.07%, 0.00%), (GE, 2,116, 1.04%, 0.00%), (ODFL, 4,016, 1.04%, 0.00%), (STT, 4,860, 0.96%, 0.00%), (CF, 5,555, 0.93%, 0.00%), (PNC, 2,603, 0.88%, 0.00%), (MTB, 2,586, 0.87%, 0.00%), (AMP, 947, 0.87%, 0.00%), (COST, 486, 0.84%, 0.00%), (ABT, 3,499, 0.81%, 0.00%), (XOM, 4,069, 0.80%, 0.00%), (EOG, 3,661, 0.77%, 0.00%), (EG, 1,231, 0.74%, 0.00%), (CSL, 1,090, 0.69%, 0.00%), (GEV, 496, 0.60%, 0.00%), (NTRS, 2,256, 0.52%, 0.00%), (CRBG, 7,751, 0.48%, 0.00%), (MA, 471, 0.48%, 0.00%), (JNJ, 1,511, 0.46%, 0.00%), (ACM, 2,135, 0.43%, 0.00%), (MTG, 8,865, 0.42%, 0.00%), (LNC, 6,170, 0.42%, 0.00%), (CINF, 1,569, 0.42%, 0.00%), (DOV, 1,319, 0.42%, 0.00%), (SLM, 7,244, 0.42%, 0.00%), (MCK, 326, 0.41%, 0.00%), (WTFC, 1,817, 0.41%, 0.00%), (ALL, 1,117, 0.41%, 0.00%), (EQH, 4,374, 0.40%, 0.00%), (JXN, 2,547, 0.39%, 0.00%), (NUE, 1,508, 0.38%, 0.00%), (NKE, 2,750, 0.37%, 0.00%), (ADM, 3,757, 0.36%, 0.00%), (PGR, 823, 0.36%,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</si>
  <si>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3,908, 3.32%, 0.00%), (META, 1,388, 3.04%, 0.00%), (BRK/B, 1,615, 2.15%, 0.00%), (GOOGL, 3,721, 2.07%, 0.00%), (CSCO, 9,807, 1.93%, 0.00%), (LIN, 1,388, 1.88%, 0.00%), (AMT, 2,815, 1.74%, 0.00%), (JPM, 2,045, 1.73%, 0.00%), (GOOG, 3,031, 1.69%, 0.00%), (TSLA, 1,858, 1.65%, 0.00%), (XOM, 4,951, 1.57%, 0.00%), (V, 1,523, 1.50%, 0.00%), (LLY, 583, 1.27%, 0.00%), (CB, 1,554, 1.20%, 0.00%), (MA, 722, 1.17%, 0.00%), (WM, 1,740, 1.15%, 0.00%), (GE, 1,449, 1.14%, 0.00%), (ORCL, 1,457, 1.04%, 0.00%), (NFLX, 272, 0.92%, 0.00%), (NEE, 4,470, 0.92%, 0.00%), (JNJ, 1,782, 0.86%, 0.00%), (WMT, 2,966, 0.85%, 0.00%), (PLTR, 1,859, 0.84%, 0.00%), (COST, 303, 0.83%, 0.00%), (CVX, 1,883, 0.83%, 0.00%), (PG, 1,874, 0.81%, 0.00%), (RTX, 1,781, 0.81%, 0.00%), (CAT, 646, 0.80%, 0.00%), (MCD, 886, 0.78%, 0.00%), (ABT, 2,044, 0.76%, 0.00%), (UNH, 1,084, 0.75%, 0.00%), (ABBV, 1,308, 0.74%, 0.00%), (HD, 670, 0.73%, 0.00%), (AMD, 1,358, 0.68%, 0.00%), (KO, 3,389, 0.67%, 0.00%), (SO, 2,382, 0.66%, 0.00%), (BAC, 4,850, 0.64%, 0.00%), (PM, 1,359, 0.64%, 0.00%), (BA, 1,001, 0.64%, 0.00%), (BKNG, 41, 0.64%, 0.00%), (CRM, 867, 0.63%, 0.00%), (NKE, 2,896, 0.63%, 0.00%), (IBM, 838, 0.61%, 0.00%), (DUK, 1,679, 0.60%, 0.00%), (ISRG, 420, 0.59%, 0.00%), (ETN, 529, 0.59%, 0.00%), (GS, 277, 0.57%, 0.00%), (INTU, 254, 0.57%, 0.00%), (HON, 870, 0.55%, 0.00%), (WFC, 2,419, 0.55%, 0.00%), (UBER, 2,155, 0.54%, 0.00%), (MET, 2,410, 0.52%, 0.00%), (NOW, 187, 0.50%, 0.00%), (DE, 341, 0.50%, 0.00%), (PEP, 1,199, 0.48%, 0.00%), (T, 5,771, 0.46%, 0.00%), (SPGI, 280, 0.44%, 0.00%), (MS, 1,093, 0.44%, 0.00%), (MRK, 1,872, 0.43%, 0.00%), (ACN, 567, 0.42%, 0.00%), (AXP, 490, 0.42%, 0.00%), (VZ, 3,386, 0.42%, 0.00%), (BLK, 128, 0.41%, 0.00%), (QCOM, 930, 0.40%, 0.00%), (ADBE, 399, 0.40%, 0.00%), (TXN, 763, 0.40%, 0.00%), (UNP, 620, 0.40%, 0.00%), (DIS, 1,153, 0.39%, 0.00%), (COP, 1,457, 0.39%, 0.00%), (MDT, 1,511, 0.39%, 0.00%), (TMO, 283, 0.37%, 0.00%), (C, 1,374, 0.37%, 0.00%), (SCHW, 1,317, 0.37%, 0.00%), (AMAT, 690, 0.36%, 0.00%), (SBUX, 1,401, 0.36%, 0.00%), (AMGN, 398, 0.34%, 0.00%), (LMT, 282, 0.34%, 0.00%), (EMR, 763, 0.31%, 0.00%), (MMM, 729, 0.31%, 0.00%), (GILD, 922, 0.30%, 0.00%), (PFE, 4,193, 0.28%, 0.00%), (TJX, 761, 0.28%, 0.00%), (DHR, 476, 0.27%, 0.00%), (MO, 1,482, 0.27%, 0.00%), (CVS, 1,483, 0.27%, 0.00%), (LOW, 383, 0.25%, 0.00%), (CMCSA, 2,431, 0.23%, 0.00%), (ELV, 273, 0.22%, 0.00%), (MDLZ, 1,169, 0.22%, 0.00%), (INTC, 3,609, 0.20%, 0.00%), (BMY, 1,501, 0.19%, 0.00%), (UPS, 749, 0.19%, 0.00%), (PYPL, 883, 0.17%, 0.00%), (CL, 650, 0.15%, 0.00%), (USB, 1,133, 0.14%, 0.00%), (FDX, 230, 0.14%, 0.00%), (TGT, 315, 0.09%, 0.00%), (SC31761B, nan, nan%, 0.00%), (SC31763B, nan, nan%, 0.00%), (SP31762B, nan, nan%, 0.00%), (SP31765B, nan, nan%, 0.00%), (SP31764B, nan, nan%, 0.00%), (XP31765B, nan, nan%, 0.00%)</t>
  </si>
  <si>
    <t>(AVGO, 2,571, 3.20%, 0.00%), (META, 913, 2.93%, 0.00%), (BRK/B, 1,063, 2.07%, 0.00%), (GOOGL, 2,448, 1.99%, 0.00%), (CSCO, 6,452, 1.86%, 0.00%), (LIN, 913, 1.81%, 0.00%), (AMT, 1,852, 1.68%, 0.00%), (JPM, 1,346, 1.66%, 0.00%), (GOOG, 1,994, 1.63%, 0.00%), (TSLA, 1,222, 1.58%, 0.00%), (XOM, 3,257, 1.51%, 0.00%), (V, 1,002, 1.44%, 0.00%), (LLY, 384, 1.22%, 0.00%), (CB, 1,022, 1.16%, 0.00%), (MA, 475, 1.13%, 0.00%), (WM, 1,145, 1.11%, 0.00%), (GE, 953, 1.10%, 0.00%), (ORCL, 959, 1.01%, 0.00%), (NFLX, 179, 0.89%, 0.00%), (NEE, 2,941, 0.88%, 0.00%), (JNJ, 1,172, 0.83%, 0.00%), (WMT, 1,951, 0.82%, 0.00%), (PLTR, 1,223, 0.81%, 0.00%), (COST, 199, 0.80%, 0.00%), (CVX, 1,239, 0.80%, 0.00%), (PG, 1,233, 0.78%, 0.00%), (RTX, 1,172, 0.78%, 0.00%), (CAT, 425, 0.77%, 0.00%), (MCD, 583, 0.75%, 0.00%), (ABT, 1,345, 0.73%, 0.00%), (UNH, 713, 0.72%, 0.00%), (ABBV, 860, 0.71%, 0.00%), (HD, 441, 0.70%, 0.00%), (AMD, 893, 0.66%, 0.00%), (KO, 2,230, 0.65%, 0.00%), (SO, 1,567, 0.63%, 0.00%), (BAC, 3,191, 0.62%, 0.00%), (PM, 894, 0.62%, 0.00%), (BKNG, 27, 0.61%, 0.00%), (BA, 658, 0.61%, 0.00%), (CRM, 570, 0.61%, 0.00%), (NKE, 1,905, 0.60%, 0.00%), (IBM, 552, 0.58%, 0.00%), (DUK, 1,105, 0.58%, 0.00%), (ISRG, 276, 0.56%, 0.00%), (ETN, 348, 0.56%, 0.00%), (GS, 182, 0.56%, 0.00%), (INTU, 167, 0.56%, 0.00%), (HON, 573, 0.53%, 0.00%), (WFC, 1,591, 0.52%, 0.00%), (UBER, 1,418, 0.52%, 0.00%), (MET, 1,586, 0.50%, 0.00%), (NOW, 123, 0.48%, 0.00%), (DE, 224, 0.48%, 0.00%), (PEP, 789, 0.46%, 0.00%), (T, 3,797, 0.45%, 0.00%), (SPGI, 184, 0.43%, 0.00%), (MS, 719, 0.43%, 0.00%), (MRK, 1,231, 0.41%, 0.00%), (ACN, 373, 0.41%, 0.00%), (AXP, 323, 0.40%, 0.00%), (VZ, 2,228, 0.40%, 0.00%), (BLK, 84, 0.39%, 0.00%), (QCOM, 612, 0.39%, 0.00%), (ADBE, 263, 0.39%, 0.00%), (TXN, 502, 0.38%, 0.00%), (UNP, 408, 0.38%, 0.00%), (DIS, 759, 0.38%, 0.00%), (COP, 959, 0.38%, 0.00%), (MDT, 994, 0.38%, 0.00%), (TMO, 186, 0.36%, 0.00%), (C, 904, 0.35%, 0.00%), (SCHW, 867, 0.35%, 0.00%), (AMAT, 454, 0.35%, 0.00%), (SBUX, 922, 0.34%, 0.00%), (LMT, 186, 0.33%, 0.00%), (AMGN, 262, 0.33%, 0.00%), (EMR, 502, 0.30%, 0.00%), (MMM, 480, 0.30%, 0.00%), (GILD, 607, 0.29%, 0.00%), (PFE, 2,759, 0.27%, 0.00%), (TJX, 501, 0.27%, 0.00%), (DHR, 313, 0.26%, 0.00%), (MO, 975, 0.26%, 0.00%), (CVS, 976, 0.26%, 0.00%), (LOW, 252, 0.24%, 0.00%), (CMCSA, 1,599, 0.22%, 0.00%), (ELV, 180, 0.21%, 0.00%), (MDLZ, 769, 0.21%, 0.00%), (INTC, 2,374, 0.20%, 0.00%), (BMY, 987, 0.18%, 0.00%), (UPS, 492, 0.18%, 0.00%), (PYPL, 581, 0.17%, 0.00%), (CL, 428, 0.15%, 0.00%), (FDX, 151, 0.14%, 0.00%), (USB, 746, 0.14%, 0.00%), (TGT, 207, 0.09%, 0.00%), (SC9061B, nan, nan%, 0.00%), (SC9063B, nan, nan%, 0.00%), (SP9062B, nan, nan%, 0.00%), (SP9065B, nan, nan%, 0.00%), (SP9064B, nan, nan%, 0.00%), (XP9065B, nan, nan%, 0.00%)</t>
  </si>
  <si>
    <t>(META, 870, 2.72%, 0.00%), (BRK/B, 1,012, 1.90%, 0.00%), (GOOGL, 2,332, 1.85%, 0.00%), (CSCO, 6,146, 1.72%, 0.00%), (LIN, 870, 1.66%, 0.00%), (AMT, 1,764, 1.55%, 0.00%), (JPM, 1,282, 1.54%, 0.00%), (GOOG, 1,899, 1.51%, 0.00%), (TSLA, 1,164, 1.47%, 0.00%), (XOM, 3,103, 1.39%, 0.00%), (V, 954, 1.33%, 0.00%), (LLY, 365, 1.13%, 0.00%), (CB, 974, 1.07%, 0.00%), (MA, 453, 1.05%, 0.00%), (WM, 1,091, 1.02%, 0.00%), (GE, 908, 1.02%, 0.00%), (ORCL, 913, 0.93%, 0.00%), (NFLX, 171, 0.82%, 0.00%), (NEE, 2,801, 0.81%, 0.00%), (JNJ, 1,116, 0.77%, 0.00%), (PLTR, 1,165, 0.76%, 0.00%), (WMT, 1,859, 0.76%, 0.00%), (COST, 190, 0.74%, 0.00%), (CVX, 1,180, 0.73%, 0.00%), (PG, 1,175, 0.72%, 0.00%), (RTX, 1,116, 0.72%, 0.00%), (CAT, 405, 0.72%, 0.00%), (MCD, 555, 0.69%, 0.00%), (ABT, 1,281, 0.67%, 0.00%), (UNH, 680, 0.67%, 0.00%), (ABBV, 819, 0.65%, 0.00%), (HD, 420, 0.65%, 0.00%), (AMD, 851, 0.62%, 0.00%), (KO, 2,124, 0.59%, 0.00%), (SO, 1,493, 0.58%, 0.00%), (BAC, 3,039, 0.57%, 0.00%), (PM, 852, 0.57%, 0.00%), (BKNG, 26, 0.57%, 0.00%), (BA, 627, 0.57%, 0.00%), (CRM, 543, 0.56%, 0.00%), (NKE, 1,815, 0.56%, 0.00%), (IBM, 525, 0.54%, 0.00%), (DUK, 1,052, 0.53%, 0.00%), (ISRG, 263, 0.52%, 0.00%), (ETN, 331, 0.52%, 0.00%), (INTU, 159, 0.51%, 0.00%), (GS, 173, 0.51%, 0.00%), (HON, 545, 0.49%, 0.00%), (UBER, 1,351, 0.49%, 0.00%), (WFC, 1,516, 0.48%, 0.00%), (MET, 1,511, 0.46%, 0.00%), (NOW, 117, 0.44%, 0.00%), (DE, 213, 0.44%, 0.00%), (PEP, 752, 0.43%, 0.00%), (T, 3,617, 0.41%, 0.00%), (SPGI, 175, 0.40%, 0.00%), (MS, 685, 0.39%, 0.00%), (MRK, 1,173, 0.38%, 0.00%), (ACN, 355, 0.38%, 0.00%), (AXP, 307, 0.37%, 0.00%), (VZ, 2,122, 0.37%, 0.00%), (BLK, 80, 0.36%, 0.00%), (QCOM, 583, 0.36%, 0.00%), (ADBE, 250, 0.36%, 0.00%), (TXN, 478, 0.36%, 0.00%), (DIS, 723, 0.35%, 0.00%), (UNP, 389, 0.35%, 0.00%), (COP, 913, 0.35%, 0.00%), (MDT, 947, 0.35%, 0.00%), (TMO, 177, 0.33%, 0.00%), (C, 861, 0.33%, 0.00%), (SCHW, 826, 0.33%, 0.00%), (AMAT, 432, 0.32%, 0.00%), (SBUX, 878, 0.32%, 0.00%), (LMT, 177, 0.30%, 0.00%), (AMGN, 249, 0.30%, 0.00%), (EMR, 478, 0.28%, 0.00%), (MMM, 457, 0.27%, 0.00%), (GILD, 578, 0.27%, 0.00%), (PFE, 2,628, 0.25%, 0.00%), (TJX, 477, 0.25%, 0.00%), (DHR, 298, 0.24%, 0.00%), (MO, 929, 0.24%, 0.00%), (CVS, 929, 0.24%, 0.00%), (LOW, 240, 0.23%, 0.00%), (CMCSA, 1,523, 0.21%, 0.00%), (ELV, 171, 0.19%, 0.00%), (MDLZ, 733, 0.19%, 0.00%), (INTC, 2,262, 0.18%, 0.00%), (BMY, 941, 0.17%, 0.00%), (UPS, 469, 0.16%, 0.00%), (PYPL, 554, 0.15%, 0.00%), (CL, 408, 0.14%, 0.00%), (FDX, 144, 0.13%, 0.00%), (USB, 710, 0.13%, 0.00%), (TGT, 197, 0.08%, 0.00%)</t>
  </si>
  <si>
    <t>(AVGO, 1,631, 3.12%, 0.00%), (META, 579, 2.86%, 0.00%), (BRK/B, 674, 2.01%, 0.00%), (GOOGL, 1,552, 1.94%, 0.00%), (CSCO, 4,092, 1.81%, 0.00%), (LIN, 579, 1.76%, 0.00%), (AMT, 1,174, 1.63%, 0.00%), (JPM, 853, 1.62%, 0.00%), (GOOG, 1,265, 1.59%, 0.00%), (TSLA, 775, 1.54%, 0.00%), (XOM, 2,065, 1.47%, 0.00%), (V, 635, 1.41%, 0.00%), (LLY, 243, 1.18%, 0.00%), (CB, 648, 1.13%, 0.00%), (MA, 301, 1.10%, 0.00%), (WM, 726, 1.08%, 0.00%), (GE, 604, 1.07%, 0.00%), (ORCL, 608, 0.98%, 0.00%), (NFLX, 114, 0.87%, 0.00%), (NEE, 1,865, 0.86%, 0.00%), (JNJ, 743, 0.81%, 0.00%), (WMT, 1,237, 0.80%, 0.00%), (PLTR, 775, 0.79%, 0.00%), (COST, 126, 0.78%, 0.00%), (CVX, 785, 0.78%, 0.00%), (PG, 782, 0.76%, 0.00%), (RTX, 743, 0.76%, 0.00%), (CAT, 270, 0.75%, 0.00%), (MCD, 370, 0.73%, 0.00%), (ABT, 853, 0.71%, 0.00%), (UNH, 452, 0.70%, 0.00%), (ABBV, 546, 0.69%, 0.00%), (HD, 280, 0.68%, 0.00%), (AMD, 567, 0.64%, 0.00%), (KO, 1,414, 0.63%, 0.00%), (SO, 994, 0.62%, 0.00%), (BAC, 2,023, 0.60%, 0.00%), (PM, 567, 0.60%, 0.00%), (BA, 417, 0.60%, 0.00%), (BKNG, 17, 0.59%, 0.00%), (CRM, 362, 0.59%, 0.00%), (NKE, 1,208, 0.59%, 0.00%), (IBM, 350, 0.57%, 0.00%), (DUK, 701, 0.57%, 0.00%), (ETN, 221, 0.55%, 0.00%), (ISRG, 175, 0.55%, 0.00%), (INTU, 106, 0.54%, 0.00%), (GS, 115, 0.54%, 0.00%), (HON, 363, 0.52%, 0.00%), (WFC, 1,009, 0.51%, 0.00%), (UBER, 899, 0.51%, 0.00%), (MET, 1,006, 0.49%, 0.00%), (NOW, 78, 0.47%, 0.00%), (DE, 142, 0.47%, 0.00%), (PEP, 500, 0.45%, 0.00%), (T, 2,408, 0.43%, 0.00%), (SPGI, 117, 0.42%, 0.00%), (MS, 456, 0.42%, 0.00%), (MRK, 781, 0.40%, 0.00%), (AXP, 205, 0.40%, 0.00%), (ACN, 236, 0.40%, 0.00%), (VZ, 1,413, 0.39%, 0.00%), (BLK, 54, 0.39%, 0.00%), (ADBE, 167, 0.38%, 0.00%), (QCOM, 388, 0.38%, 0.00%), (TXN, 318, 0.37%, 0.00%), (UNP, 259, 0.37%, 0.00%), (DIS, 481, 0.37%, 0.00%), (COP, 608, 0.37%, 0.00%), (MDT, 630, 0.37%, 0.00%), (TMO, 118, 0.35%, 0.00%), (C, 573, 0.34%, 0.00%), (SCHW, 550, 0.34%, 0.00%), (AMAT, 288, 0.34%, 0.00%), (SBUX, 585, 0.33%, 0.00%), (LMT, 118, 0.32%, 0.00%), (AMGN, 166, 0.32%, 0.00%), (EMR, 318, 0.29%, 0.00%), (MMM, 304, 0.29%, 0.00%), (GILD, 385, 0.28%, 0.00%), (PFE, 1,749, 0.27%, 0.00%), (TJX, 317, 0.26%, 0.00%), (DHR, 198, 0.25%, 0.00%), (MO, 618, 0.25%, 0.00%), (CVS, 619, 0.25%, 0.00%), (LOW, 160, 0.24%, 0.00%), (CMCSA, 1,014, 0.22%, 0.00%), (ELV, 114, 0.21%, 0.00%), (MDLZ, 488, 0.20%, 0.00%), (INTC, 1,506, 0.19%,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</si>
  <si>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6,022, 2.77%, 0.00%), (BRK/B, 7,006, 1.94%, 0.00%), (GOOGL, 16,140, 1.89%, 0.00%), (CSCO, 42,538, 1.75%, 0.00%), (LIN, 6,018, 1.70%, 0.00%), (AMT, 12,210, 1.58%, 0.00%), (JPM, 8,871, 1.57%, 0.00%), (GOOG, 13,146, 1.54%, 0.00%), (TSLA, 8,058, 1.50%, 0.00%), (XOM, 21,473, 1.42%, 0.00%), (V, 6,605, 1.36%, 0.00%), (LLY, 2,529, 1.16%, 0.00%), (CB, 6,738, 1.09%, 0.00%), (MA, 3,133, 1.07%, 0.00%), (WM, 7,548, 1.04%, 0.00%), (GE, 6,283, 1.04%, 0.00%), (ORCL, 6,320, 0.95%, 0.00%), (NFLX, 1,181, 0.84%, 0.00%), (NEE, 19,389, 0.83%, 0.00%), (JNJ, 7,727, 0.78%, 0.00%), (PLTR, 8,061, 0.78%, 0.00%), (WMT, 12,863, 0.77%, 0.00%), (COST, 1,313, 0.76%, 0.00%), (CVX, 8,165, 0.75%, 0.00%), (PG, 8,130, 0.74%, 0.00%), (RTX, 7,727, 0.74%, 0.00%), (CAT, 2,803, 0.73%, 0.00%), (MCD, 3,842, 0.71%, 0.00%), (ABT, 8,864, 0.69%, 0.00%), (UNH, 4,703, 0.68%, 0.00%), (ABBV, 5,671, 0.67%, 0.00%), (HD, 2,907, 0.66%, 0.00%), (AMD, 5,890, 0.63%, 0.00%), (KO, 14,701, 0.61%, 0.00%), (SO, 10,331, 0.60%, 0.00%), (BAC, 21,034, 0.59%, 0.00%), (PM, 5,896, 0.58%, 0.00%), (BA, 4,340, 0.58%, 0.00%), (CRM, 3,760, 0.57%, 0.00%), (BKNG, 177, 0.57%, 0.00%), (NKE, 12,559, 0.57%, 0.00%), (IBM, 3,636, 0.55%, 0.00%), (DUK, 7,283, 0.54%, 0.00%), (ETN, 2,294, 0.53%, 0.00%), (ISRG, 1,820, 0.53%, 0.00%), (INTU, 1,102, 0.52%, 0.00%), (GS, 1,200, 0.52%, 0.00%), (HON, 3,775, 0.50%, 0.00%), (UBER, 9,347, 0.50%, 0.00%), (WFC, 10,491, 0.49%, 0.00%), (MET, 10,454, 0.47%, 0.00%), (DE, 1,477, 0.45%, 0.00%), (NOW, 810, 0.45%, 0.00%), (PEP, 5,202, 0.44%, 0.00%), (T, 25,033, 0.42%, 0.00%), (SPGI, 1,213, 0.41%, 0.00%), (MS, 4,741, 0.40%, 0.00%), (MRK, 8,119, 0.39%, 0.00%), (ACN, 2,457, 0.38%, 0.00%), (AXP, 2,127, 0.38%, 0.00%), (VZ, 14,686, 0.38%, 0.00%), (BLK, 556, 0.37%, 0.00%), (QCOM, 4,032, 0.37%, 0.00%), (ADBE, 1,731, 0.36%, 0.00%), (TXN, 3,311, 0.36%, 0.00%), (DIS, 5,002, 0.36%, 0.00%), (UNP, 2,691, 0.36%, 0.00%), (COP, 6,320, 0.36%, 0.00%), (MDT, 6,554, 0.35%, 0.00%), (TMO, 1,228, 0.34%, 0.00%), (C, 5,959, 0.33%, 0.00%), (SCHW, 5,714, 0.33%, 0.00%), (AMAT, 2,992, 0.33%, 0.00%), (SBUX, 6,077, 0.32%, 0.00%), (LMT, 1,225, 0.31%, 0.00%), (AMGN, 1,725, 0.31%, 0.00%), (EMR, 3,310, 0.28%, 0.00%), (MMM, 3,161, 0.28%, 0.00%), (GILD, 4,000, 0.27%, 0.00%), (PFE, 18,188, 0.26%, 0.00%), (TJX, 3,301, 0.25%, 0.00%), (DHR, 2,063, 0.24%, 0.00%), (MO, 6,426, 0.24%, 0.00%), (CVS, 6,431, 0.24%, 0.00%), (LOW, 1,660, 0.23%, 0.00%), (CMCSA, 10,544, 0.21%, 0.00%), (ELV, 1,185, 0.20%, 0.00%), (MDLZ, 5,070, 0.20%, 0.00%), (INTC, 15,654, 0.18%, 0.00%), (BMY, 6,509, 0.17%, 0.00%), (UPS, 3,247, 0.17%, 0.00%), (PYPL, 3,832, 0.16%, 0.00%), (CL, 2,821, 0.14%, 0.00%), (FDX, 998, 0.13%, 0.00%), (USB, 4,916, 0.13%, 0.00%), (TGT, 1,365, 0.08%, 0.00%)</t>
  </si>
  <si>
    <t>(AVGO, 14,734, 3.18%, 0.00%), (META, 5,234, 2.91%, 0.00%), (BRK/B, 6,089, 2.05%, 0.00%), (GOOGL, 14,028, 1.98%, 0.00%), (CSCO, 36,973, 1.84%, 0.00%), (LIN, 5,231, 1.80%, 0.00%), (AMT, 10,612, 1.67%, 0.00%), (JPM, 7,711, 1.65%, 0.00%), (GOOG, 11,426, 1.62%, 0.00%), (TSLA, 7,004, 1.57%, 0.00%), (XOM, 18,664, 1.50%, 0.00%), (V, 5,741, 1.43%, 0.00%), (LLY, 2,198, 1.21%, 0.00%), (CB, 5,857, 1.15%, 0.00%), (MA, 2,723, 1.12%, 0.00%), (WM, 6,560, 1.10%, 0.00%), (GE, 5,461, 1.09%, 0.00%), (ORCL, 5,494, 1.00%, 0.00%), (NFLX, 1,026, 0.88%, 0.00%), (NEE, 16,853, 0.88%, 0.00%), (JNJ, 6,716, 0.83%, 0.00%), (WMT, 11,180, 0.81%, 0.00%), (PLTR, 7,006, 0.80%, 0.00%), (COST, 1,141, 0.80%, 0.00%), (CVX, 7,097, 0.79%, 0.00%), (PG, 7,067, 0.78%, 0.00%), (RTX, 6,716, 0.78%, 0.00%), (CAT, 2,436, 0.77%, 0.00%), (MCD, 3,339, 0.74%, 0.00%), (ABT, 7,705, 0.72%, 0.00%), (UNH, 4,088, 0.71%, 0.00%), (ABBV, 4,930, 0.71%, 0.00%), (HD, 2,527, 0.70%, 0.00%), (AMD, 5,119, 0.65%, 0.00%), (KO, 12,778, 0.64%, 0.00%), (SO, 8,979, 0.63%, 0.00%), (BAC, 18,282, 0.62%, 0.00%), (PM, 5,124, 0.62%, 0.00%), (BA, 3,772, 0.61%, 0.00%), (BKNG, 154, 0.61%, 0.00%), (CRM, 3,268, 0.60%, 0.00%), (NKE, 10,916, 0.60%, 0.00%), (IBM, 3,161, 0.58%, 0.00%), (DUK, 6,331, 0.58%, 0.00%), (ISRG, 1,582, 0.56%, 0.00%), (ETN, 1,994, 0.56%, 0.00%), (INTU, 958, 0.55%, 0.00%), (GS, 1,043, 0.55%, 0.00%), (HON, 3,281, 0.53%, 0.00%), (WFC, 9,119, 0.52%, 0.00%), (UBER, 8,124, 0.52%, 0.00%), (MET, 9,087, 0.50%, 0.00%), (DE, 1,284, 0.48%, 0.00%), (NOW, 704, 0.47%, 0.00%), (PEP, 4,522, 0.46%, 0.00%), (T, 21,758, 0.44%, 0.00%), (SPGI, 1,055, 0.43%, 0.00%), (MS, 4,121, 0.42%, 0.00%), (MRK, 7,057, 0.41%, 0.00%), (ACN, 2,136, 0.40%, 0.00%), (AXP, 1,849, 0.40%, 0.00%), (VZ, 12,765, 0.40%, 0.00%), (BLK, 484, 0.39%, 0.00%), (QCOM, 3,505, 0.39%, 0.00%), (ADBE, 1,505, 0.38%, 0.00%), (TXN, 2,878, 0.38%, 0.00%), (UNP, 2,339, 0.38%, 0.00%), (DIS, 4,348, 0.38%, 0.00%), (COP, 5,493, 0.37%, 0.00%), (MDT, 5,697, 0.37%, 0.00%), (TMO, 1,067, 0.36%, 0.00%), (C, 5,180, 0.35%, 0.00%), (SCHW, 4,966, 0.35%, 0.00%), (AMAT, 2,601, 0.35%, 0.00%), (SBUX, 5,282, 0.34%, 0.00%), (LMT, 1,064, 0.33%, 0.00%), (AMGN, 1,499, 0.33%, 0.00%), (EMR, 2,877, 0.30%, 0.00%), (MMM, 2,748, 0.29%, 0.00%), (GILD, 3,477, 0.29%, 0.00%), (PFE, 15,808, 0.27%, 0.00%), (TJX, 2,869, 0.27%, 0.00%), (DHR, 1,793, 0.26%, 0.00%), (MO, 5,586, 0.25%, 0.00%), (CVS, 5,590, 0.25%, 0.00%), (LOW, 1,443, 0.24%, 0.00%), (CMCSA, 9,164, 0.22%, 0.00%), (ELV, 1,030, 0.21%, 0.00%), (MDLZ, 4,407, 0.21%, 0.00%), (INTC, 13,606, 0.19%, 0.00%), (BMY, 5,658, 0.18%, 0.00%), (UPS, 2,822, 0.18%, 0.00%), (PYPL, 3,331, 0.17%, 0.00%), (CL, 2,452, 0.15%, 0.00%), (FDX, 867, 0.14%, 0.00%), (USB, 4,273, 0.14%, 0.00%), (TGT, 1,187, 0.09%, 0.00%), (SC23471B, nan, nan%, 0.00%), (SC23473B, nan, nan%, 0.00%), (SP23472B, nan, nan%, 0.00%), (SP23475B, nan, nan%, 0.00%), (SP23474B, nan, nan%, 0.00%), (XP23475B, nan, nan%, 0.00%)</t>
  </si>
  <si>
    <t>(AVGO, 10,969, 3.17%, 0.00%), (META, 3,897, 2.90%, 0.00%), (BRK/B, 4,533, 2.05%, 0.00%), (GOOGL, 10,444, 1.97%, 0.00%), (CSCO, 27,526, 1.84%, 0.00%), (LIN, 3,894, 1.79%, 0.00%), (AMT, 7,901, 1.66%, 0.00%), (JPM, 5,740, 1.65%, 0.00%), (GOOG, 8,507, 1.61%, 0.00%), (TSLA, 5,214, 1.57%, 0.00%), (XOM, 13,895, 1.50%, 0.00%), (V, 4,274, 1.43%, 0.00%), (LLY, 1,636, 1.21%, 0.00%), (CB, 4,360, 1.15%, 0.00%), (MA, 2,027, 1.12%, 0.00%), (WM, 4,884, 1.10%, 0.00%), (GE, 4,066, 1.09%, 0.00%), (ORCL, 4,090, 1.00%, 0.00%), (NFLX, 764, 0.88%, 0.00%), (NEE, 12,546, 0.87%, 0.00%), (JNJ, 5,000, 0.82%, 0.00%), (WMT, 8,323, 0.81%, 0.00%), (PLTR, 5,216, 0.80%, 0.00%), (COST, 850, 0.80%, 0.00%), (CVX, 5,284, 0.79%, 0.00%), (PG, 5,261, 0.78%, 0.00%), (RTX, 5,000, 0.77%, 0.00%), (CAT, 1,814, 0.77%, 0.00%), (MCD, 2,486, 0.74%, 0.00%), (ABT, 5,736, 0.72%, 0.00%), (UNH, 3,043, 0.71%, 0.00%), (ABBV, 3,670, 0.70%, 0.00%), (HD, 1,881, 0.69%, 0.00%), (AMD, 3,811, 0.65%, 0.00%), (KO, 9,513, 0.64%, 0.00%), (SO, 6,685, 0.63%, 0.00%), (BAC, 13,611, 0.61%, 0.00%), (PM, 3,815, 0.61%, 0.00%), (BA, 2,808, 0.61%, 0.00%), (BKNG, 115, 0.61%, 0.00%), (CRM, 2,433, 0.60%, 0.00%), (NKE, 8,127, 0.60%, 0.00%), (IBM, 2,353, 0.58%, 0.00%), (DUK, 4,713, 0.57%, 0.00%), (ISRG, 1,178, 0.56%, 0.00%), (ETN, 1,485, 0.56%, 0.00%), (INTU, 713, 0.55%, 0.00%), (GS, 776, 0.55%, 0.00%), (HON, 2,443, 0.52%, 0.00%), (WFC, 6,789, 0.52%, 0.00%), (UBER, 6,048, 0.52%, 0.00%), (MET, 6,765, 0.49%, 0.00%), (DE, 956, 0.47%, 0.00%), (NOW, 524, 0.47%, 0.00%), (PEP, 3,366, 0.46%, 0.00%), (T, 16,199, 0.44%, 0.00%), (SPGI, 785, 0.42%, 0.00%), (MS, 3,068, 0.42%, 0.00%), (MRK, 5,253, 0.41%, 0.00%), (ACN, 1,590, 0.40%, 0.00%), (AXP, 1,376, 0.40%, 0.00%), (VZ, 9,503, 0.40%, 0.00%), (BLK, 360, 0.39%, 0.00%), (QCOM, 2,609, 0.38%, 0.00%), (ADBE, 1,120, 0.38%, 0.00%), (TXN, 2,142, 0.38%, 0.00%), (UNP, 1,741, 0.38%, 0.00%), (DIS, 3,237, 0.38%, 0.00%), (COP, 4,090, 0.37%, 0.00%), (MDT, 4,241, 0.37%, 0.00%), (TMO, 794, 0.36%, 0.00%), (C, 3,856, 0.35%, 0.00%), (SCHW, 3,697, 0.35%, 0.00%), (AMAT, 1,936, 0.34%, 0.00%), (SBUX, 3,932, 0.34%, 0.00%), (LMT, 792, 0.33%, 0.00%), (AMGN, 1,116, 0.33%, 0.00%), (EMR, 2,142, 0.30%, 0.00%), (MMM, 2,046, 0.29%, 0.00%), (GILD, 2,588, 0.29%, 0.00%), (PFE, 11,769, 0.27%, 0.00%), (TJX, 2,136, 0.27%, 0.00%), (DHR, 1,335, 0.25%, 0.00%), (MO, 4,158, 0.25%, 0.00%), (CVS, 4,162, 0.25%, 0.00%), (LOW, 1,074, 0.24%, 0.00%), (CMCSA, 6,823, 0.22%, 0.00%), (ELV, 767, 0.21%, 0.00%), (MDLZ, 3,281, 0.21%, 0.00%), (INTC, 10,129, 0.19%, 0.00%), (BMY, 4,212, 0.18%, 0.00%), (UPS, 2,101, 0.18%, 0.00%), (PYPL, 2,479, 0.17%, 0.00%), (CL, 1,825, 0.15%, 0.00%), (FDX, 646, 0.14%, 0.00%), (USB, 3,181, 0.14%, 0.00%), (TGT, 883, 0.09%, 0.00%), (SC22171B, nan, nan%, 0.00%), (SC22173B, nan, nan%, 0.00%), (SP22172B, nan, nan%, 0.00%), (SP22175B, nan, nan%, 0.00%), (SP22174B, nan, nan%, 0.00%), (XP22175B, nan, nan%, 0.00%)</t>
  </si>
  <si>
    <t>(META, 1,470, 2.76%, 0.00%), (BRK/B, 1,711, 1.95%, 0.00%), (GOOGL, 3,941, 1.88%, 0.00%), (CSCO, 10,387, 1.75%, 0.00%), (LIN, 1,470, 1.70%, 0.00%), (AMT, 2,981, 1.58%, 0.00%), (JPM, 2,166, 1.57%, 0.00%), (GOOG, 3,210, 1.54%, 0.00%), (TSLA, 1,968, 1.49%, 0.00%), (XOM, 5,243, 1.43%, 0.00%), (V, 1,613, 1.36%, 0.00%), (LLY, 617, 1.15%, 0.00%), (CB, 1,645, 1.09%, 0.00%), (MA, 765, 1.07%, 0.00%), (WM, 1,843, 1.05%, 0.00%), (GE, 1,534, 1.04%, 0.00%), (ORCL, 1,543, 0.95%, 0.00%), (NFLX, 288, 0.83%, 0.00%), (NEE, 4,734, 0.83%, 0.00%), (JNJ, 1,887, 0.78%, 0.00%), (WMT, 3,141, 0.77%, 0.00%), (PLTR, 1,968, 0.77%, 0.00%), (COST, 321, 0.76%, 0.00%), (CVX, 1,994, 0.75%, 0.00%), (PG, 1,985, 0.74%, 0.00%), (RTX, 1,887, 0.74%, 0.00%), (CAT, 684, 0.73%, 0.00%), (MCD, 938, 0.70%, 0.00%), (ABT, 2,164, 0.69%, 0.00%), (UNH, 1,148, 0.68%, 0.00%), (ABBV, 1,385, 0.67%, 0.00%), (HD, 710, 0.66%, 0.00%), (AMD, 1,438, 0.62%, 0.00%), (KO, 3,590, 0.61%, 0.00%), (SO, 2,523, 0.60%, 0.00%), (BAC, 5,136, 0.59%, 0.00%), (PM, 1,440, 0.58%, 0.00%), (BA, 1,060, 0.58%, 0.00%), (CRM, 918, 0.57%, 0.00%), (BKNG, 43, 0.57%, 0.00%), (NKE, 3,067, 0.57%, 0.00%), (IBM, 888, 0.55%, 0.00%), (DUK, 1,778, 0.55%, 0.00%), (ETN, 560, 0.53%, 0.00%), (ISRG, 444, 0.53%, 0.00%), (INTU, 269, 0.52%, 0.00%), (GS, 293, 0.52%, 0.00%), (HON, 922, 0.50%, 0.00%), (UBER, 2,282, 0.50%, 0.00%), (WFC, 2,562, 0.50%, 0.00%), (MET, 2,553, 0.47%, 0.00%), (NOW, 198, 0.45%, 0.00%), (DE, 361, 0.45%, 0.00%), (PEP, 1,270, 0.44%, 0.00%), (T, 6,113, 0.42%, 0.00%), (SPGI, 296, 0.40%, 0.00%), (MS, 1,158, 0.40%, 0.00%), (MRK, 1,982, 0.39%, 0.00%), (ACN, 600, 0.38%, 0.00%), (AXP, 519, 0.38%, 0.00%), (VZ, 3,586, 0.38%, 0.00%), (BLK, 136, 0.37%, 0.00%), (QCOM, 985, 0.37%, 0.00%), (ADBE, 423, 0.37%, 0.00%), (TXN, 808, 0.36%, 0.00%), (UNP, 657, 0.36%, 0.00%), (DIS, 1,221, 0.36%, 0.00%), (COP, 1,543, 0.36%, 0.00%), (MDT, 1,600, 0.35%, 0.00%), (TMO, 300, 0.34%, 0.00%), (C, 1,455, 0.33%, 0.00%), (SCHW, 1,395, 0.33%, 0.00%), (AMAT, 731, 0.33%, 0.00%), (SBUX, 1,484, 0.32%, 0.00%), (LMT, 299, 0.31%, 0.00%), (AMGN, 421, 0.31%, 0.00%), (EMR, 808, 0.28%, 0.00%), (MMM, 772, 0.28%, 0.00%), (GILD, 977, 0.27%, 0.00%), (PFE, 4,441, 0.26%, 0.00%), (TJX, 806, 0.25%, 0.00%), (DHR, 504, 0.24%, 0.00%), (MO, 1,569, 0.24%, 0.00%), (CVS, 1,570, 0.24%, 0.00%), (LOW, 405, 0.23%, 0.00%), (CMCSA, 2,575, 0.21%, 0.00%), (ELV, 289, 0.20%, 0.00%), (MDLZ, 1,238, 0.20%, 0.00%), (INTC, 3,822, 0.18%, 0.00%), (BMY, 1,589, 0.17%, 0.00%), (UPS, 793, 0.17%, 0.00%), (PYPL, 936, 0.16%, 0.00%), (CL, 689, 0.14%, 0.00%), (FDX, 244, 0.13%, 0.00%), (USB, 1,200, 0.13%, 0.00%), (TGT, 333, 0.08%, 0.00%), (SC28181B, nan, nan%, 0.00%), (SC28183B, nan, nan%, 0.00%), (SP28182B, nan, nan%, 0.00%), (SP28185B, nan, nan%, 0.00%), (SP28184B, nan, nan%, 0.00%), (XP28185B, nan, nan%, 0.00%)</t>
  </si>
  <si>
    <t>(META, 1,598, 2.80%, 0.00%), (BRK/B, 1,859, 1.97%, 0.00%), (GOOGL, 4,284, 1.91%, 0.00%), (CSCO, 11,290, 1.78%, 0.00%), (LIN, 1,597, 1.73%, 0.00%), (AMT, 3,240, 1.60%, 0.00%), (JPM, 2,354, 1.59%, 0.00%), (GOOG, 3,489, 1.56%, 0.00%), (TSLA, 2,139, 1.51%, 0.00%), (XOM, 5,699, 1.44%, 0.00%), (V, 1,753, 1.38%, 0.00%), (LLY, 671, 1.17%, 0.00%), (CB, 1,788, 1.11%, 0.00%), (MA, 831, 1.08%, 0.00%), (WM, 2,003, 1.06%, 0.00%), (GE, 1,667, 1.05%, 0.00%), (ORCL, 1,677, 0.96%, 0.00%), (NFLX, 313, 0.84%, 0.00%), (NEE, 5,146, 0.84%, 0.00%), (JNJ, 2,051, 0.79%, 0.00%), (WMT, 3,414, 0.78%, 0.00%), (PLTR, 2,139, 0.78%, 0.00%), (COST, 348, 0.77%, 0.00%), (CVX, 2,167, 0.76%, 0.00%), (PG, 2,158, 0.75%, 0.00%), (RTX, 2,051, 0.75%, 0.00%), (CAT, 744, 0.74%, 0.00%), (MCD, 1,020, 0.71%, 0.00%), (ABT, 2,353, 0.70%, 0.00%), (UNH, 1,248, 0.69%, 0.00%), (ABBV, 1,505, 0.68%, 0.00%), (HD, 771, 0.67%, 0.00%), (AMD, 1,563, 0.63%, 0.00%), (KO, 3,902, 0.62%, 0.00%), (SO, 2,742, 0.61%, 0.00%), (BAC, 5,582, 0.59%, 0.00%), (PM, 1,565, 0.59%, 0.00%), (BA, 1,152, 0.59%, 0.00%), (BKNG, 47, 0.58%, 0.00%), (CRM, 998, 0.58%, 0.00%), (NKE, 3,333, 0.58%, 0.00%), (IBM, 965, 0.56%, 0.00%), (DUK, 1,933, 0.55%, 0.00%), (ISRG, 483, 0.54%, 0.00%), (ETN, 609, 0.54%, 0.00%), (INTU, 293, 0.53%, 0.00%), (GS, 318, 0.53%, 0.00%), (HON, 1,002, 0.51%, 0.00%), (UBER, 2,481, 0.50%, 0.00%), (WFC, 2,784, 0.50%, 0.00%), (MET, 2,775, 0.48%, 0.00%), (NOW, 215, 0.46%, 0.00%), (DE, 392, 0.46%, 0.00%), (PEP, 1,381, 0.44%, 0.00%), (T, 6,644, 0.43%, 0.00%), (SPGI, 322, 0.41%, 0.00%), (MS, 1,258, 0.41%, 0.00%), (MRK, 2,155, 0.39%, 0.00%), (ACN, 652, 0.39%, 0.00%), (AXP, 565, 0.39%, 0.00%), (VZ, 3,898, 0.38%, 0.00%), (BLK, 148, 0.38%, 0.00%), (QCOM, 1,070, 0.37%, 0.00%), (ADBE, 459, 0.37%, 0.00%), (TXN, 879, 0.37%, 0.00%), (UNP, 714, 0.36%, 0.00%), (DIS, 1,328, 0.36%, 0.00%), (COP, 1,677, 0.36%, 0.00%), (MDT, 1,739, 0.36%, 0.00%), (TMO, 326, 0.34%, 0.00%), (C, 1,582, 0.34%, 0.00%), (SCHW, 1,516, 0.34%, 0.00%), (AMAT, 794, 0.33%, 0.00%), (SBUX, 1,613, 0.33%, 0.00%), (AMGN, 458, 0.31%, 0.00%), (LMT, 325, 0.31%, 0.00%), (EMR, 878, 0.29%, 0.00%), (MMM, 839, 0.28%, 0.00%), (GILD, 1,062, 0.28%, 0.00%), (PFE, 4,827, 0.26%, 0.00%), (TJX, 876, 0.26%, 0.00%), (DHR, 548, 0.25%, 0.00%), (MO, 1,706, 0.25%, 0.00%), (CVS, 1,707, 0.24%, 0.00%), (LOW, 441, 0.23%, 0.00%), (CMCSA, 2,798, 0.21%, 0.00%), (ELV, 315, 0.20%, 0.00%), (MDLZ, 1,346, 0.20%, 0.00%), (INTC, 4,155, 0.19%, 0.00%), (BMY, 1,728, 0.18%, 0.00%), (UPS, 862, 0.17%, 0.00%), (PYPL, 1,017, 0.16%, 0.00%), (CL, 749, 0.14%, 0.00%), (FDX, 265, 0.13%, 0.00%), (USB, 1,305, 0.13%, 0.00%), (TGT, 362, 0.08%, 0.00%), (SC13481B, nan, nan%, 0.00%), (SC13483B, nan, nan%, 0.00%), (SP13482B, nan, nan%, 0.00%), (SP13485B, nan, nan%, 0.00%), (SP13484B, nan, nan%, 0.00%), (XP13485B, nan, nan%, 0.00%)</t>
  </si>
  <si>
    <t>(AVGO, 8,465, 3.17%, 0.00%), (META, 3,007, 2.90%, 0.00%), (BRK/B, 3,498, 2.05%, 0.00%), (GOOGL, 8,060, 1.98%, 0.00%), (CSCO, 21,242, 1.84%, 0.00%), (LIN, 3,005, 1.79%, 0.00%), (AMT, 6,097, 1.66%, 0.00%), (JPM, 4,430, 1.65%, 0.00%), (GOOG, 6,565, 1.62%, 0.00%), (TSLA, 4,024, 1.57%, 0.00%), (XOM, 10,723, 1.50%, 0.00%), (V, 3,298, 1.43%, 0.00%), (LLY, 1,263, 1.21%, 0.00%), (CB, 3,365, 1.15%, 0.00%), (MA, 1,564, 1.12%, 0.00%), (WM, 3,769, 1.10%, 0.00%), (GE, 3,137, 1.09%, 0.00%), (ORCL, 3,156, 1.00%, 0.00%), (NFLX, 590, 0.88%, 0.00%), (NEE, 9,682, 0.87%, 0.00%), (JNJ, 3,859, 0.82%, 0.00%), (WMT, 6,423, 0.81%, 0.00%), (PLTR, 4,025, 0.80%, 0.00%), (COST, 656, 0.80%, 0.00%), (CVX, 4,078, 0.79%, 0.00%), (PG, 4,060, 0.78%, 0.00%), (RTX, 3,858, 0.77%, 0.00%), (CAT, 1,400, 0.77%, 0.00%), (MCD, 1,918, 0.74%, 0.00%), (ABT, 4,426, 0.72%, 0.00%), (UNH, 2,349, 0.71%, 0.00%), (ABBV, 2,832, 0.70%, 0.00%), (HD, 1,452, 0.69%, 0.00%), (AMD, 2,941, 0.65%, 0.00%), (KO, 7,341, 0.64%, 0.00%), (SO, 5,159, 0.63%, 0.00%), (BAC, 10,504, 0.61%, 0.00%), (PM, 2,944, 0.61%, 0.00%), (BKNG, 89, 0.61%, 0.00%), (BA, 2,167, 0.61%, 0.00%), (CRM, 1,877, 0.60%, 0.00%), (NKE, 6,272, 0.60%, 0.00%), (IBM, 1,816, 0.58%, 0.00%), (DUK, 3,637, 0.57%, 0.00%), (ISRG, 909, 0.56%, 0.00%), (ETN, 1,146, 0.56%, 0.00%), (INTU, 550, 0.55%, 0.00%), (GS, 599, 0.55%, 0.00%), (HON, 1,885, 0.52%, 0.00%), (UBER, 4,668, 0.52%, 0.00%), (WFC, 5,239, 0.52%, 0.00%), (MET, 5,221, 0.49%, 0.00%), (DE, 738, 0.47%, 0.00%), (NOW, 405, 0.47%, 0.00%), (PEP, 2,598, 0.46%, 0.00%), (T, 12,501, 0.44%, 0.00%), (SPGI, 606, 0.43%, 0.00%), (MS, 2,368, 0.42%, 0.00%), (MRK, 4,054, 0.41%, 0.00%), (ACN, 1,227, 0.40%, 0.00%), (AXP, 1,062, 0.40%, 0.00%), (VZ, 7,334, 0.40%, 0.00%), (BLK, 278, 0.39%, 0.00%), (QCOM, 2,014, 0.38%, 0.00%), (ADBE, 864, 0.38%, 0.00%), (TXN, 1,653, 0.38%, 0.00%), (UNP, 1,344, 0.38%, 0.00%), (DIS, 2,498, 0.38%, 0.00%), (COP, 3,156, 0.37%, 0.00%), (MDT, 3,273, 0.37%, 0.00%), (TMO, 613, 0.36%, 0.00%), (C, 2,976, 0.35%, 0.00%), (SCHW, 2,853, 0.35%, 0.00%), (AMAT, 1,494, 0.34%, 0.00%), (SBUX, 3,034, 0.34%, 0.00%), (LMT, 612, 0.33%, 0.00%), (AMGN, 861, 0.33%, 0.00%), (EMR, 1,653, 0.30%, 0.00%), (MMM, 1,579, 0.29%, 0.00%), (GILD, 1,997, 0.29%, 0.00%), (PFE, 9,082, 0.27%, 0.00%), (TJX, 1,648, 0.27%, 0.00%), (DHR, 1,030, 0.25%, 0.00%), (MO, 3,209, 0.25%, 0.00%), (CVS, 3,212, 0.25%, 0.00%), (LOW, 829, 0.24%, 0.00%), (CMCSA, 5,265, 0.22%, 0.00%), (ELV, 592, 0.21%, 0.00%), (MDLZ, 2,532, 0.21%, 0.00%), (INTC, 7,817, 0.19%, 0.00%), (BMY, 3,251, 0.18%, 0.00%), (UPS, 1,621, 0.18%, 0.00%), (PYPL, 1,913, 0.17%, 0.00%), (CL, 1,408, 0.15%, 0.00%), (FDX, 498, 0.14%, 0.00%), (USB, 2,455, 0.14%, 0.00%), (TGT, 682, 0.09%, 0.00%), (SC26771B, nan, nan%, 0.00%), (SC26773B, nan, nan%, 0.00%), (SP26772B, nan, nan%, 0.00%), (SP26775B, nan, nan%, 0.00%), (SP26774B, nan, nan%, 0.00%), (XP26775B, nan, nan%, 0.00%)</t>
  </si>
  <si>
    <t>EBAY, META, MSFT, BK, GOOGL, JPM, BLK, RJF, BKNG, MLI, EA, PHM</t>
  </si>
  <si>
    <t>(AMAT, 5,615, 1.83%, 0.00%), (EWBC, 10,131, 1.82%, 0.01%), (HIG, 7,848, 1.81%, 0.00%), (V, 2,931, 1.81%, 0.00%), (TRV, 3,729, 1.80%, 0.00%), (AXP, 3,306, 1.79%, 0.00%), (NVDA, 5,476, 1.77%, 0.00%), (ADP, 3,131, 1.71%, 0.00%), (SNA, 2,922, 1.71%, 0.01%), (UNM, 13,184, 1.68%, 0.01%), (ROST, 6,529, 1.68%, 0.00%), (KLAC, 1,037, 1.67%, 0.00%), (PCAR, 9,268, 1.64%, 0.00%), (CB, 3,307, 1.62%, 0.00%), (SYF, 12,239, 1.55%, 0.00%), (CRM, 3,358, 1.53%, 0.00%), (CTSH, 11,845, 1.52%, 0.00%), (WSM, 4,144, 1.52%, 0.00%), (LEN, 6,919, 1.51%, 0.00%), (PAYC, 3,585, 1.47%, 0.01%), (BKR, 17,432, 1.38%, 0.00%), (DHI, 4,597, 1.31%, 0.00%), (ACN, 2,793, 1.28%, 0.00%), (QCOM, 4,728, 1.27%, 0.00%), (AFL, 6,474, 1.17%, 0.00%), (ELV, 2,245, 1.15%, 0.00%), (AAPL, 3,052, 1.13%, 0.00%), (CSCO, 8,769, 1.09%, 0.00%), (MPWR, 748, 1.08%, 0.00%), (ODFL, 4,016, 1.07%, 0.00%), (LRCX, 6,038, 1.07%, 0.00%), (GE, 2,116, 1.04%, 0.00%), (STT, 4,860, 0.97%, 0.00%), (CF, 5,555, 0.94%, 0.00%), (PNC, 2,603, 0.89%, 0.00%), (MTB, 2,586, 0.88%, 0.00%), (AMP, 947, 0.87%, 0.00%), (COST, 486, 0.84%, 0.00%), (ABT, 3,499, 0.83%, 0.00%), (XOM, 4,069, 0.80%, 0.00%), (EOG, 3,661, 0.78%, 0.00%), (EG, 1,231, 0.74%, 0.00%), (CSL, 1,090, 0.72%, 0.00%), (GEV, 496, 0.59%, 0.00%), (NTRS, 2,256, 0.52%, 0.00%), (CRBG, 7,751, 0.49%, 0.00%), (MA, 471, 0.49%, 0.00%), (ACM, 2,135, 0.47%, 0.00%), (JNJ, 1,511, 0.47%, 0.00%), (MTG, 8,865, 0.43%, 0.00%), (LNC, 6,170, 0.43%, 0.00%), (CINF, 1,569, 0.43%, 0.00%), (DOV, 1,319, 0.42%, 0.00%), (MCK, 326, 0.42%, 0.00%), (ALL, 1,117, 0.42%, 0.00%), (SLM, 7,244, 0.41%, 0.00%), (WTFC, 1,817, 0.41%, 0.00%), (EQH, 4,374, 0.41%, 0.00%), (JXN, 2,547, 0.40%, 0.00%), (ADM, 3,757, 0.39%, 0.00%), (NUE, 1,508, 0.38%, 0.00%), (NKE, 2,750, 0.37%, 0.00%), (PGR, 823, 0.37%,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</si>
  <si>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3,908, 3.31%, 0.00%), (META, 1,388, 3.06%, 0.00%), (BRK/B, 1,615, 2.18%, 0.00%), (GOOGL, 3,721, 2.09%, 0.00%), (CSCO, 9,807, 1.92%, 0.00%), (LIN, 1,388, 1.89%, 0.00%), (AMT, 2,815, 1.72%, 0.00%), (JPM, 2,045, 1.71%, 0.00%), (GOOG, 3,031, 1.71%, 0.00%), (TSLA, 1,858, 1.65%, 0.00%), (XOM, 4,951, 1.55%, 0.00%), (V, 1,523, 1.49%, 0.00%), (LLY, 583, 1.29%, 0.00%), (CB, 1,554, 1.21%, 0.00%), (MA, 722, 1.18%, 0.00%), (WM, 1,740, 1.17%, 0.00%), (GE, 1,449, 1.13%, 0.00%), (ORCL, 1,457, 1.06%, 0.00%), (NEE, 4,470, 0.93%, 0.00%), (NFLX, 272, 0.91%, 0.00%), (PLTR, 1,859, 0.90%, 0.00%), (JNJ, 1,782, 0.88%, 0.00%), (WMT, 2,966, 0.85%, 0.00%), (CVX, 1,883, 0.83%, 0.00%), (COST, 303, 0.83%, 0.00%), (PG, 1,874, 0.82%, 0.00%), (CAT, 646, 0.81%, 0.00%), (RTX, 1,781, 0.81%, 0.00%), (MCD, 886, 0.77%, 0.00%), (ABT, 2,044, 0.77%, 0.00%), (UNH, 1,084, 0.77%, 0.00%), (ABBV, 1,308, 0.75%, 0.00%), (HD, 670, 0.74%, 0.00%), (AMD, 1,358, 0.68%, 0.00%), (KO, 3,389, 0.68%, 0.00%), (SO, 2,382, 0.65%, 0.00%), (BA, 1,001, 0.65%, 0.00%), (PM, 1,359, 0.64%, 0.00%), (BKNG, 41, 0.64%, 0.00%), (BAC, 4,850, 0.64%, 0.00%), (CRM, 867, 0.63%, 0.00%), (NKE, 2,896, 0.62%, 0.00%), (DUK, 1,679, 0.61%, 0.00%), (IBM, 838, 0.61%, 0.00%), (ISRG, 420, 0.58%, 0.00%), (GS, 277, 0.57%, 0.00%), (INTU, 254, 0.57%, 0.00%), (UBER, 2,155, 0.55%, 0.00%), (HON, 870, 0.55%, 0.00%), (ETN, 529, 0.55%, 0.00%), (WFC, 2,419, 0.54%, 0.00%), (MET, 2,410, 0.52%, 0.00%), (DE, 341, 0.50%, 0.00%), (NOW, 187, 0.49%, 0.00%), (PEP, 1,199, 0.48%, 0.00%), (T, 5,771, 0.46%, 0.00%), (SPGI, 280, 0.45%, 0.00%), (MS, 1,093, 0.44%, 0.00%), (MRK, 1,872, 0.43%, 0.00%), (AXP, 490, 0.42%, 0.00%), (VZ, 3,386, 0.42%, 0.00%), (ACN, 567, 0.41%, 0.00%), (BLK, 128, 0.41%, 0.00%), (TXN, 763, 0.41%, 0.00%), (UNP, 620, 0.40%, 0.00%), (QCOM, 930, 0.40%, 0.00%), (ADBE, 399, 0.39%, 0.00%), (DIS, 1,153, 0.39%, 0.00%), (MDT, 1,511, 0.39%, 0.00%), (COP, 1,457, 0.39%, 0.00%), (TMO, 283, 0.38%, 0.00%), (SCHW, 1,317, 0.37%, 0.00%), (SBUX, 1,401, 0.36%, 0.00%), (C, 1,374, 0.36%, 0.00%), (AMAT, 690, 0.36%, 0.00%), (LMT, 282, 0.35%, 0.00%), (AMGN, 398, 0.34%, 0.00%), (MMM, 729, 0.31%, 0.00%), (EMR, 763, 0.31%, 0.00%), (GILD, 922, 0.30%, 0.00%), (PFE, 4,193, 0.29%, 0.00%), (TJX, 761, 0.28%, 0.00%), (DHR, 476, 0.27%, 0.00%), (CVS, 1,483, 0.27%, 0.00%), (MO, 1,482, 0.27%, 0.00%), (LOW, 383, 0.26%, 0.00%), (CMCSA, 2,431, 0.23%, 0.00%), (ELV, 273, 0.22%, 0.00%), (MDLZ, 1,169, 0.21%, 0.00%), (INTC, 3,609, 0.21%, 0.00%), (BMY, 1,501, 0.20%, 0.00%), (UPS, 749, 0.19%, 0.00%), (PYPL, 883, 0.17%, 0.00%), (CL, 650, 0.16%, 0.00%), (FDX, 230, 0.15%, 0.00%), (USB, 1,133, 0.15%, 0.00%), (TGT, 315, 0.09%, 0.00%), (SC31761B, nan, nan%, 0.00%), (SC31763B, nan, nan%, 0.00%), (SP31762B, nan, nan%, 0.00%), (SP31765B, nan, nan%, 0.00%), (SP31764B, nan, nan%, 0.00%), (XP31765B, nan, nan%, 0.00%)</t>
  </si>
  <si>
    <t>(AVGO, 2,571, 3.18%, 0.00%), (META, 913, 2.94%, 0.00%), (BRK/B, 1,063, 2.10%, 0.00%), (GOOGL, 2,448, 2.01%, 0.00%), (CSCO, 6,452, 1.85%, 0.00%), (LIN, 913, 1.82%, 0.00%), (AMT, 1,852, 1.66%, 0.00%), (JPM, 1,346, 1.65%, 0.00%), (GOOG, 1,994, 1.65%, 0.00%), (TSLA, 1,222, 1.58%, 0.00%), (XOM, 3,257, 1.49%, 0.00%), (V, 1,002, 1.43%, 0.00%), (LLY, 384, 1.24%, 0.00%), (CB, 1,022, 1.16%, 0.00%), (MA, 475, 1.14%, 0.00%), (WM, 1,145, 1.12%, 0.00%), (GE, 953, 1.09%, 0.00%), (ORCL, 959, 1.02%, 0.00%), (NEE, 2,941, 0.89%, 0.00%), (NFLX, 179, 0.88%, 0.00%), (PLTR, 1,223, 0.86%, 0.00%), (JNJ, 1,172, 0.84%, 0.00%), (WMT, 1,951, 0.82%, 0.00%), (CVX, 1,239, 0.80%, 0.00%), (COST, 199, 0.80%, 0.00%), (PG, 1,233, 0.79%, 0.00%), (CAT, 425, 0.78%, 0.00%), (RTX, 1,172, 0.78%, 0.00%), (MCD, 583, 0.74%, 0.00%), (ABT, 1,345, 0.74%, 0.00%), (UNH, 713, 0.74%, 0.00%), (ABBV, 860, 0.72%, 0.00%), (HD, 441, 0.72%, 0.00%), (AMD, 893, 0.66%, 0.00%), (KO, 2,230, 0.65%, 0.00%), (SO, 1,567, 0.63%, 0.00%), (BA, 658, 0.62%, 0.00%), (PM, 894, 0.62%, 0.00%), (BKNG, 27, 0.62%, 0.00%), (BAC, 3,191, 0.61%, 0.00%), (CRM, 570, 0.61%, 0.00%), (NKE, 1,905, 0.60%, 0.00%), (DUK, 1,105, 0.59%, 0.00%), (IBM, 552, 0.59%, 0.00%), (ISRG, 276, 0.56%, 0.00%), (GS, 182, 0.56%, 0.00%), (INTU, 167, 0.55%, 0.00%), (HON, 573, 0.53%, 0.00%), (UBER, 1,418, 0.53%, 0.00%), (ETN, 348, 0.53%, 0.00%), (WFC, 1,591, 0.52%, 0.00%), (MET, 1,586, 0.50%, 0.00%), (DE, 224, 0.48%, 0.00%), (NOW, 123, 0.48%, 0.00%), (PEP, 789, 0.47%, 0.00%), (T, 3,797, 0.45%, 0.00%), (SPGI, 184, 0.44%, 0.00%), (MS, 719, 0.43%, 0.00%), (MRK, 1,231, 0.42%, 0.00%), (AXP, 323, 0.41%, 0.00%), (VZ, 2,228, 0.40%, 0.00%), (ACN, 373, 0.40%, 0.00%), (BLK, 84, 0.40%, 0.00%), (TXN, 502, 0.39%, 0.00%), (UNP, 408, 0.38%, 0.00%), (QCOM, 612, 0.38%, 0.00%), (ADBE, 263, 0.38%, 0.00%), (DIS, 759, 0.38%, 0.00%), (MDT, 994, 0.38%, 0.00%), (COP, 959, 0.38%, 0.00%), (TMO, 186, 0.37%, 0.00%), (SCHW, 867, 0.35%, 0.00%), (SBUX, 922, 0.35%, 0.00%), (C, 904, 0.35%, 0.00%), (AMAT, 454, 0.34%, 0.00%), (LMT, 186, 0.34%, 0.00%), (AMGN, 262, 0.33%, 0.00%), (MMM, 480, 0.30%, 0.00%), (EMR, 502, 0.30%, 0.00%), (GILD, 607, 0.29%, 0.00%), (PFE, 2,759, 0.28%, 0.00%), (TJX, 501, 0.27%, 0.00%), (CVS, 976, 0.26%, 0.00%), (DHR, 313, 0.26%, 0.00%), (MO, 975, 0.26%, 0.00%), (LOW, 252, 0.25%, 0.00%), (CMCSA, 1,599, 0.22%, 0.00%), (ELV, 180, 0.21%, 0.00%), (MDLZ, 769, 0.21%, 0.00%), (INTC, 2,374, 0.20%, 0.00%), (BMY, 987, 0.19%, 0.00%), (UPS, 492, 0.18%, 0.00%), (PYPL, 581, 0.17%, 0.00%), (CL, 428, 0.15%, 0.00%), (FDX, 151, 0.14%, 0.00%), (USB, 746, 0.14%, 0.00%), (TGT, 207, 0.09%, 0.00%), (SC9061B, nan, nan%, 0.00%), (SC9063B, nan, nan%, 0.00%), (SP9062B, nan, nan%, 0.00%), (SP9065B, nan, nan%, 0.00%), (SP9064B, nan, nan%, 0.00%), (XP9065B, nan, nan%, 0.00%)</t>
  </si>
  <si>
    <t>(META, 870, 2.71%, 0.00%), (BRK/B, 1,012, 1.93%, 0.00%), (GOOGL, 2,332, 1.86%, 0.00%), (CSCO, 6,146, 1.71%, 0.00%), (LIN, 870, 1.67%, 0.00%), (AMT, 1,764, 1.52%, 0.00%), (JPM, 1,282, 1.52%, 0.00%), (GOOG, 1,899, 1.52%, 0.00%), (TSLA, 1,164, 1.46%, 0.00%), (XOM, 3,103, 1.37%, 0.00%), (V, 954, 1.32%, 0.00%), (LLY, 365, 1.14%, 0.00%), (CB, 974, 1.07%, 0.00%), (MA, 453, 1.05%, 0.00%), (WM, 1,091, 1.03%, 0.00%), (GE, 908, 1.00%, 0.00%), (ORCL, 913, 0.94%, 0.00%), (NEE, 2,801, 0.82%, 0.00%), (NFLX, 171, 0.81%, 0.00%), (PLTR, 1,165, 0.80%, 0.00%), (JNJ, 1,116, 0.78%, 0.00%), (WMT, 1,859, 0.76%, 0.00%), (COST, 190, 0.74%, 0.00%), (CVX, 1,180, 0.73%, 0.00%), (PG, 1,175, 0.73%, 0.00%), (CAT, 405, 0.72%, 0.00%), (RTX, 1,116, 0.71%, 0.00%), (MCD, 555, 0.69%, 0.00%), (UNH, 680, 0.68%, 0.00%), (ABT, 1,281, 0.68%, 0.00%), (ABBV, 819, 0.67%, 0.00%), (HD, 420, 0.66%, 0.00%), (AMD, 851, 0.60%, 0.00%), (KO, 2,124, 0.60%, 0.00%), (SO, 1,493, 0.58%, 0.00%), (BKNG, 26, 0.58%, 0.00%), (BA, 627, 0.58%, 0.00%), (PM, 852, 0.57%, 0.00%), (BAC, 3,039, 0.56%, 0.00%), (CRM, 543, 0.56%, 0.00%), (NKE, 1,815, 0.55%, 0.00%), (DUK, 1,052, 0.54%, 0.00%), (IBM, 525, 0.54%, 0.00%), (ISRG, 263, 0.51%, 0.00%), (GS, 173, 0.51%, 0.00%), (INTU, 159, 0.50%, 0.00%), (UBER, 1,351, 0.49%, 0.00%), (HON, 545, 0.49%, 0.00%), (ETN, 331, 0.49%, 0.00%), (WFC, 1,516, 0.48%, 0.00%), (MET, 1,511, 0.46%, 0.00%), (DE, 213, 0.44%, 0.00%), (NOW, 117, 0.44%, 0.00%), (PEP, 752, 0.43%, 0.00%), (T, 3,617, 0.41%, 0.00%), (SPGI, 175, 0.40%, 0.00%), (MS, 685, 0.39%, 0.00%), (MRK, 1,173, 0.39%, 0.00%), (AXP, 307, 0.37%, 0.00%), (VZ, 2,122, 0.37%, 0.00%), (ACN, 355, 0.37%, 0.00%), (BLK, 80, 0.36%, 0.00%), (TXN, 478, 0.36%, 0.00%), (UNP, 389, 0.35%, 0.00%), (QCOM, 583, 0.35%, 0.00%), (DIS, 723, 0.35%, 0.00%), (ADBE, 250, 0.35%, 0.00%), (MDT, 947, 0.35%, 0.00%), (COP, 913, 0.35%, 0.00%), (TMO, 177, 0.34%, 0.00%), (SCHW, 826, 0.32%, 0.00%), (SBUX, 878, 0.32%, 0.00%), (C, 861, 0.32%, 0.00%), (AMAT, 432, 0.32%, 0.00%), (LMT, 177, 0.31%, 0.00%), (AMGN, 249, 0.30%, 0.00%), (MMM, 457, 0.28%, 0.00%), (EMR, 478, 0.27%, 0.00%), (GILD, 578, 0.27%, 0.00%), (PFE, 2,628, 0.26%, 0.00%), (TJX, 477, 0.25%, 0.00%), (CVS, 929, 0.24%, 0.00%), (DHR, 298, 0.24%, 0.00%), (MO, 929, 0.24%, 0.00%), (LOW, 240, 0.23%, 0.00%), (CMCSA, 1,523, 0.20%, 0.00%), (ELV, 171, 0.20%, 0.00%), (MDLZ, 733, 0.19%, 0.00%), (INTC, 2,262, 0.19%, 0.00%), (BMY, 941, 0.17%, 0.00%), (UPS, 469, 0.17%, 0.00%), (PYPL, 554, 0.15%, 0.00%), (CL, 408, 0.14%, 0.00%), (FDX, 144, 0.13%, 0.00%), (USB, 710, 0.13%, 0.00%), (TGT, 197, 0.08%, 0.00%)</t>
  </si>
  <si>
    <t>(AVGO, 1,631, 3.11%, 0.00%), (META, 579, 2.87%, 0.00%), (BRK/B, 674, 2.04%, 0.00%), (GOOGL, 1,552, 1.97%, 0.00%), (CSCO, 4,092, 1.81%, 0.00%), (LIN, 579, 1.77%, 0.00%), (AMT, 1,174, 1.61%, 0.00%), (JPM, 853, 1.61%, 0.00%), (GOOG, 1,265, 1.61%, 0.00%), (TSLA, 775, 1.54%, 0.00%), (XOM, 2,065, 1.45%, 0.00%), (V, 635, 1.40%, 0.00%), (LLY, 243, 1.20%, 0.00%), (CB, 648, 1.13%, 0.00%), (MA, 301, 1.11%, 0.00%), (WM, 726, 1.09%, 0.00%), (GE, 604, 1.06%, 0.00%), (ORCL, 608, 1.00%, 0.00%), (NEE, 1,865, 0.87%, 0.00%), (NFLX, 114, 0.86%, 0.00%), (PLTR, 775, 0.84%, 0.00%), (JNJ, 743, 0.82%, 0.00%), (WMT, 1,237, 0.80%, 0.00%), (CVX, 785, 0.78%, 0.00%), (COST, 126, 0.78%, 0.00%), (PG, 782, 0.77%, 0.00%), (CAT, 270, 0.76%, 0.00%), (RTX, 743, 0.76%, 0.00%), (MCD, 370, 0.73%, 0.00%), (ABT, 853, 0.72%, 0.00%), (UNH, 452, 0.72%, 0.00%), (ABBV, 546, 0.71%, 0.00%), (HD, 280, 0.70%, 0.00%), (AMD, 567, 0.64%, 0.00%), (KO, 1,414, 0.64%, 0.00%), (SO, 994, 0.61%, 0.00%), (BA, 417, 0.61%, 0.00%), (PM, 567, 0.61%, 0.00%), (BKNG, 17, 0.60%, 0.00%), (BAC, 2,023, 0.60%, 0.00%), (CRM, 362, 0.59%, 0.00%), (NKE, 1,208, 0.59%, 0.00%), (DUK, 701, 0.58%, 0.00%), (IBM, 350, 0.57%, 0.00%), (ISRG, 175, 0.55%, 0.00%), (GS, 115, 0.54%, 0.00%), (INTU, 106, 0.53%, 0.00%), (UBER, 899, 0.52%, 0.00%), (HON, 363, 0.52%, 0.00%), (ETN, 221, 0.52%, 0.00%), (WFC, 1,009, 0.51%, 0.00%), (MET, 1,006, 0.49%, 0.00%), (DE, 142, 0.47%, 0.00%), (NOW, 78, 0.46%, 0.00%), (PEP, 500, 0.45%, 0.00%), (T, 2,408, 0.44%, 0.00%), (SPGI, 117, 0.43%, 0.00%), (MS, 456, 0.42%, 0.00%), (MRK, 781, 0.41%, 0.00%), (AXP, 205, 0.40%, 0.00%), (VZ, 1,413, 0.39%, 0.00%), (BLK, 54, 0.39%, 0.00%), (ACN, 236, 0.39%, 0.00%), (TXN, 318, 0.38%, 0.00%), (UNP, 259, 0.37%, 0.00%), (QCOM, 388, 0.37%, 0.00%), (ADBE, 167, 0.37%, 0.00%), (DIS, 481, 0.37%, 0.00%), (MDT, 630, 0.37%, 0.00%), (COP, 608, 0.37%, 0.00%), (TMO, 118, 0.36%, 0.00%), (SCHW, 550, 0.34%, 0.00%), (SBUX, 585, 0.34%, 0.00%), (C, 573, 0.34%, 0.00%), (AMAT, 288, 0.34%, 0.00%), (LMT, 118, 0.33%, 0.00%), (AMGN, 166, 0.33%, 0.00%), (MMM, 304, 0.29%, 0.00%), (EMR, 318, 0.29%, 0.00%), (GILD, 385, 0.28%, 0.00%), (PFE, 1,749, 0.27%, 0.00%), (TJX, 317, 0.26%, 0.00%), (DHR, 198, 0.26%, 0.00%), (CVS, 619, 0.26%, 0.00%), (MO, 618, 0.25%, 0.00%), (LOW, 160, 0.25%, 0.00%), (CMCSA, 1,014, 0.21%, 0.00%), (ELV, 114, 0.21%, 0.00%), (MDLZ, 488, 0.20%, 0.00%), (INTC, 1,506, 0.20%, 0.00%), (BMY, 626, 0.18%, 0.00%), (UPS, 312, 0.17%, 0.00%), (PYPL, 369, 0.16%, 0.00%), (CL, 271, 0.15%, 0.00%), (FDX, 96, 0.14%, 0.00%), (USB, 473, 0.14%, 0.00%), (TGT, 131, 0.09%, 0.00%), (SC8071B, nan, nan%, 0.00%), (SC8073B, nan, nan%, 0.00%), (SP8072B, nan, nan%, 0.00%), (SP8075B, nan, nan%, 0.00%), (SP8074B, nan, nan%, 0.00%), (XP8075B, nan, nan%, 0.00%)</t>
  </si>
  <si>
    <t>(META, 6,022, 2.76%, 0.00%), (BRK/B, 7,006, 1.97%, 0.00%), (GOOGL, 16,140, 1.89%, 0.00%), (CSCO, 42,538, 1.74%, 0.00%), (LIN, 6,018, 1.71%, 0.00%), (AMT, 12,210, 1.56%, 0.00%), (JPM, 8,871, 1.55%, 0.00%), (GOOG, 13,146, 1.55%, 0.00%), (TSLA, 8,058, 1.49%, 0.00%), (XOM, 21,473, 1.40%, 0.00%), (V, 6,605, 1.35%, 0.00%), (LLY, 2,529, 1.16%, 0.00%), (CB, 6,738, 1.09%, 0.00%), (MA, 3,133, 1.07%, 0.00%), (WM, 7,548, 1.05%, 0.00%), (GE, 6,283, 1.02%, 0.00%), (ORCL, 6,320, 0.96%, 0.00%), (NEE, 19,389, 0.84%, 0.00%), (NFLX, 1,181, 0.82%, 0.00%), (PLTR, 8,061, 0.81%, 0.00%), (JNJ, 7,727, 0.79%, 0.00%), (WMT, 12,863, 0.77%, 0.00%), (CVX, 8,165, 0.75%, 0.00%), (COST, 1,313, 0.75%, 0.00%), (PG, 8,130, 0.74%, 0.00%), (CAT, 2,803, 0.73%, 0.00%), (RTX, 7,727, 0.73%, 0.00%), (MCD, 3,842, 0.70%, 0.00%), (ABT, 8,864, 0.70%, 0.00%), (UNH, 4,703, 0.70%, 0.00%), (ABBV, 5,671, 0.68%, 0.00%), (HD, 2,907, 0.67%, 0.00%), (AMD, 5,890, 0.62%, 0.00%), (KO, 14,701, 0.61%, 0.00%), (SO, 10,331, 0.59%, 0.00%), (BA, 4,340, 0.59%, 0.00%), (PM, 5,896, 0.58%, 0.00%), (BKNG, 177, 0.58%, 0.00%), (BAC, 21,034, 0.58%, 0.00%), (CRM, 3,760, 0.57%, 0.00%), (NKE, 12,559, 0.56%, 0.00%), (DUK, 7,283, 0.56%, 0.00%), (IBM, 3,636, 0.55%, 0.00%), (ISRG, 1,820, 0.53%, 0.00%), (GS, 1,200, 0.52%, 0.00%), (INTU, 1,102, 0.51%, 0.00%), (HON, 3,775, 0.50%, 0.00%), (UBER, 9,347, 0.50%, 0.00%), (ETN, 2,294, 0.50%, 0.00%), (WFC, 10,491, 0.49%, 0.00%), (MET, 10,454, 0.47%, 0.00%), (DE, 1,477, 0.45%, 0.00%), (NOW, 810, 0.44%, 0.00%), (PEP, 5,202, 0.44%, 0.00%), (T, 25,033, 0.42%, 0.00%), (SPGI, 1,213, 0.41%, 0.00%), (MS, 4,741, 0.40%, 0.00%), (MRK, 8,119, 0.39%, 0.00%), (AXP, 2,127, 0.38%, 0.00%), (VZ, 14,686, 0.38%, 0.00%), (ACN, 2,457, 0.37%, 0.00%), (BLK, 556, 0.37%, 0.00%), (TXN, 3,311, 0.37%, 0.00%), (UNP, 2,691, 0.36%, 0.00%), (QCOM, 4,032, 0.36%, 0.00%), (ADBE, 1,731, 0.36%, 0.00%), (DIS, 5,002, 0.36%, 0.00%), (MDT, 6,554, 0.36%, 0.00%), (COP, 6,320, 0.35%, 0.00%), (TMO, 1,228, 0.35%, 0.00%), (SCHW, 5,714, 0.33%, 0.00%), (SBUX, 6,077, 0.33%, 0.00%), (C, 5,959, 0.33%, 0.00%), (AMAT, 2,992, 0.32%, 0.00%), (LMT, 1,225, 0.32%, 0.00%), (AMGN, 1,725, 0.31%, 0.00%), (MMM, 3,161, 0.28%, 0.00%), (EMR, 3,310, 0.28%, 0.00%), (GILD, 4,000, 0.27%, 0.00%), (PFE, 18,188, 0.26%, 0.00%), (TJX, 3,301, 0.26%, 0.00%), (DHR, 2,063, 0.25%, 0.00%), (CVS, 6,431, 0.25%, 0.00%), (MO, 6,426, 0.24%, 0.00%), (LOW, 1,660, 0.24%, 0.00%), (CMCSA, 10,544, 0.21%, 0.00%), (ELV, 1,185, 0.20%, 0.00%), (MDLZ, 5,070, 0.19%, 0.00%), (INTC, 15,654, 0.19%, 0.00%), (BMY, 6,509, 0.18%, 0.00%), (UPS, 3,247, 0.17%, 0.00%), (PYPL, 3,832, 0.16%, 0.00%), (CL, 2,821, 0.14%, 0.00%), (FDX, 998, 0.13%, 0.00%), (USB, 4,916, 0.13%, 0.00%), (TGT, 1,365, 0.08%, 0.00%)</t>
  </si>
  <si>
    <t>(AVGO, 14,734, 3.17%, 0.00%), (META, 5,234, 2.92%, 0.00%), (BRK/B, 6,089, 2.08%, 0.00%), (GOOGL, 14,028, 2.00%, 0.00%), (CSCO, 36,973, 1.84%, 0.00%), (LIN, 5,231, 1.81%, 0.00%), (AMT, 10,612, 1.65%, 0.00%), (JPM, 7,711, 1.64%, 0.00%), (GOOG, 11,426, 1.64%, 0.00%), (TSLA, 7,004, 1.57%, 0.00%), (XOM, 18,664, 1.48%, 0.00%), (V, 5,741, 1.43%, 0.00%), (LLY, 2,198, 1.23%, 0.00%), (CB, 5,857, 1.16%, 0.00%), (MA, 2,723, 1.13%, 0.00%), (WM, 6,560, 1.12%, 0.00%), (GE, 5,461, 1.08%, 0.00%), (ORCL, 5,494, 1.01%, 0.00%), (NEE, 16,853, 0.89%, 0.00%), (NFLX, 1,026, 0.87%, 0.00%), (PLTR, 7,006, 0.86%, 0.00%), (JNJ, 6,716, 0.84%, 0.00%), (WMT, 11,180, 0.81%, 0.00%), (CVX, 7,097, 0.79%, 0.00%), (COST, 1,141, 0.79%, 0.00%), (PG, 7,067, 0.78%, 0.00%), (CAT, 2,436, 0.78%, 0.00%), (RTX, 6,716, 0.77%, 0.00%), (MCD, 3,339, 0.74%, 0.00%), (ABT, 7,705, 0.74%, 0.00%), (UNH, 4,088, 0.74%, 0.00%), (ABBV, 4,930, 0.72%, 0.00%), (HD, 2,527, 0.71%, 0.00%), (AMD, 5,119, 0.65%, 0.00%), (KO, 12,778, 0.65%, 0.00%), (SO, 8,979, 0.62%, 0.00%), (BA, 3,772, 0.62%, 0.00%), (PM, 5,124, 0.62%, 0.00%), (BKNG, 154, 0.61%, 0.00%), (BAC, 18,282, 0.61%, 0.00%), (CRM, 3,268, 0.60%, 0.00%), (NKE, 10,916, 0.60%, 0.00%), (DUK, 6,331, 0.59%, 0.00%), (IBM, 3,161, 0.58%, 0.00%), (ISRG, 1,582, 0.56%, 0.00%), (GS, 1,043, 0.55%, 0.00%), (INTU, 958, 0.54%, 0.00%), (HON, 3,281, 0.53%, 0.00%), (UBER, 8,124, 0.53%, 0.00%), (ETN, 1,994, 0.53%, 0.00%), (WFC, 9,119, 0.52%, 0.00%), (MET, 9,087, 0.50%, 0.00%), (DE, 1,284, 0.48%, 0.00%), (NOW, 704, 0.47%, 0.00%), (PEP, 4,522, 0.46%, 0.00%), (T, 21,758, 0.44%, 0.00%), (SPGI, 1,055, 0.43%, 0.00%), (MS, 4,121, 0.42%, 0.00%), (MRK, 7,057, 0.42%, 0.00%), (AXP, 1,849, 0.40%, 0.00%), (VZ, 12,765, 0.40%, 0.00%), (ACN, 2,136, 0.39%, 0.00%), (BLK, 484, 0.39%, 0.00%), (TXN, 2,878, 0.39%, 0.00%), (UNP, 2,339, 0.38%, 0.00%), (QCOM, 3,505, 0.38%, 0.00%), (ADBE, 1,505, 0.38%, 0.00%), (DIS, 4,348, 0.38%, 0.00%), (MDT, 5,697, 0.38%, 0.00%), (COP, 5,493, 0.37%, 0.00%), (TMO, 1,067, 0.36%, 0.00%), (SCHW, 4,966, 0.35%, 0.00%), (SBUX, 5,282, 0.35%, 0.00%), (C, 5,180, 0.35%, 0.00%), (AMAT, 2,601, 0.34%, 0.00%), (LMT, 1,064, 0.33%, 0.00%), (AMGN, 1,499, 0.33%, 0.00%), (MMM, 2,748, 0.30%, 0.00%), (EMR, 2,877, 0.30%, 0.00%), (GILD, 3,477, 0.29%, 0.00%), (PFE, 15,808, 0.28%, 0.00%), (TJX, 2,869, 0.27%, 0.00%), (DHR, 1,793, 0.26%, 0.00%), (CVS, 5,590, 0.26%, 0.00%), (MO, 5,586, 0.26%, 0.00%), (LOW, 1,443, 0.25%, 0.00%), (CMCSA, 9,164, 0.22%, 0.00%), (ELV, 1,030, 0.21%, 0.00%), (MDLZ, 4,407, 0.20%, 0.00%), (INTC, 13,606, 0.20%, 0.00%), (BMY, 5,658, 0.19%, 0.00%), (UPS, 2,822, 0.18%, 0.00%), (PYPL, 3,331, 0.17%, 0.00%), (CL, 2,452, 0.15%, 0.00%), (FDX, 867, 0.14%, 0.00%), (USB, 4,273, 0.14%, 0.00%), (TGT, 1,187, 0.09%, 0.00%), (SC23471B, nan, nan%, 0.00%), (SC23473B, nan, nan%, 0.00%), (SP23472B, nan, nan%, 0.00%), (SP23475B, nan, nan%, 0.00%), (SP23474B, nan, nan%, 0.00%), (XP23475B, nan, nan%, 0.00%)</t>
  </si>
  <si>
    <t>(AVGO, 10,969, 3.15%, 0.00%), (META, 3,897, 2.91%, 0.00%), (BRK/B, 4,533, 2.07%, 0.00%), (GOOGL, 10,444, 1.99%, 0.00%), (CSCO, 27,526, 1.83%, 0.00%), (LIN, 3,894, 1.80%, 0.00%), (AMT, 7,901, 1.64%, 0.00%), (JPM, 5,740, 1.63%, 0.00%), (GOOG, 8,507, 1.63%, 0.00%), (TSLA, 5,214, 1.57%, 0.00%), (XOM, 13,895, 1.47%, 0.00%), (V, 4,274, 1.42%, 0.00%), (LLY, 1,636, 1.22%, 0.00%), (CB, 4,360, 1.15%, 0.00%), (MA, 2,027, 1.13%, 0.00%), (WM, 4,884, 1.11%, 0.00%), (GE, 4,066, 1.07%, 0.00%), (ORCL, 4,090, 1.01%, 0.00%), (NEE, 12,546, 0.88%, 0.00%), (NFLX, 764, 0.87%, 0.00%), (PLTR, 5,216, 0.86%, 0.00%), (JNJ, 5,000, 0.83%, 0.00%), (WMT, 8,323, 0.81%, 0.00%), (CVX, 5,284, 0.79%, 0.00%), (COST, 850, 0.79%, 0.00%), (PG, 5,261, 0.78%, 0.00%), (CAT, 1,814, 0.77%, 0.00%), (RTX, 5,000, 0.77%, 0.00%), (MCD, 2,486, 0.74%, 0.00%), (ABT, 5,736, 0.73%, 0.00%), (UNH, 3,043, 0.73%, 0.00%), (ABBV, 3,670, 0.72%, 0.00%), (HD, 1,881, 0.71%, 0.00%), (AMD, 3,811, 0.65%, 0.00%), (KO, 9,513, 0.65%, 0.00%), (SO, 6,685, 0.62%, 0.00%), (BA, 2,808, 0.62%, 0.00%), (PM, 3,815, 0.61%, 0.00%), (BKNG, 115, 0.61%, 0.00%), (BAC, 13,611, 0.61%, 0.00%), (CRM, 2,433, 0.60%, 0.00%), (NKE, 8,127, 0.59%, 0.00%), (DUK, 4,713, 0.59%, 0.00%), (IBM, 2,353, 0.58%, 0.00%), (ISRG, 1,178, 0.55%, 0.00%), (GS, 776, 0.55%, 0.00%), (INTU, 713, 0.54%, 0.00%), (UBER, 6,048, 0.53%, 0.00%), (HON, 2,443, 0.53%, 0.00%), (ETN, 1,485, 0.52%, 0.00%), (WFC, 6,789, 0.52%, 0.00%), (MET, 6,765, 0.50%, 0.00%), (DE, 956, 0.48%, 0.00%), (NOW, 524, 0.47%, 0.00%), (PEP, 3,366, 0.46%, 0.00%), (T, 16,199, 0.44%, 0.00%), (SPGI, 785, 0.43%, 0.00%), (MS, 3,068, 0.42%, 0.00%), (MRK, 5,253, 0.41%, 0.00%), (AXP, 1,376, 0.40%, 0.00%), (VZ, 9,503, 0.40%, 0.00%), (ACN, 1,590, 0.39%, 0.00%), (BLK, 360, 0.39%, 0.00%), (TXN, 2,142, 0.39%, 0.00%), (UNP, 1,741, 0.38%, 0.00%), (QCOM, 2,609, 0.38%, 0.00%), (ADBE, 1,120, 0.38%, 0.00%), (DIS, 3,237, 0.37%, 0.00%), (MDT, 4,241, 0.37%, 0.00%), (COP, 4,090, 0.37%, 0.00%), (TMO, 794, 0.36%, 0.00%), (SCHW, 3,697, 0.35%, 0.00%), (SBUX, 3,932, 0.35%, 0.00%), (C, 3,856, 0.34%, 0.00%), (AMAT, 1,936, 0.34%, 0.00%), (LMT, 792, 0.33%, 0.00%), (AMGN, 1,116, 0.33%, 0.00%), (MMM, 2,046, 0.30%, 0.00%), (EMR, 2,142, 0.29%, 0.00%), (GILD, 2,588, 0.29%, 0.00%), (PFE, 11,769, 0.28%, 0.00%), (TJX, 2,136, 0.27%, 0.00%), (DHR, 1,335, 0.26%, 0.00%), (CVS, 4,162, 0.26%, 0.00%), (MO, 4,158, 0.25%, 0.00%), (LOW, 1,074, 0.25%, 0.00%), (CMCSA, 6,823, 0.22%, 0.00%), (ELV, 767, 0.21%, 0.00%), (MDLZ, 3,281, 0.20%, 0.00%), (INTC, 10,129, 0.20%, 0.00%), (BMY, 4,212, 0.19%, 0.00%), (UPS, 2,101, 0.18%, 0.00%), (PYPL, 2,479, 0.17%, 0.00%), (CL, 1,825, 0.15%, 0.00%), (FDX, 646, 0.14%, 0.00%), (USB, 3,181, 0.14%, 0.00%), (TGT, 883, 0.09%, 0.00%), (SC22171B, nan, nan%, 0.00%), (SC22173B, nan, nan%, 0.00%), (SP22172B, nan, nan%, 0.00%), (SP22175B, nan, nan%, 0.00%), (SP22174B, nan, nan%, 0.00%), (XP22175B, nan, nan%, 0.00%)</t>
  </si>
  <si>
    <t>(META, 1,470, 2.78%, 0.00%), (BRK/B, 1,711, 1.98%, 0.00%), (GOOGL, 3,941, 1.90%, 0.00%), (CSCO, 10,387, 1.75%, 0.00%), (LIN, 1,470, 1.71%, 0.00%), (AMT, 2,981, 1.56%, 0.00%), (GOOG, 3,210, 1.56%, 0.00%), (JPM, 2,166, 1.56%, 0.00%), (TSLA, 1,968, 1.50%, 0.00%), (XOM, 5,243, 1.40%, 0.00%), (V, 1,613, 1.35%, 0.00%), (LLY, 617, 1.17%, 0.00%), (CB, 1,645, 1.10%, 0.00%), (MA, 765, 1.08%, 0.00%), (WM, 1,843, 1.06%, 0.00%), (GE, 1,534, 1.02%, 0.00%), (ORCL, 1,543, 0.96%, 0.00%), (NEE, 4,734, 0.84%, 0.00%), (NFLX, 288, 0.82%, 0.00%), (PLTR, 1,968, 0.82%, 0.00%), (JNJ, 1,887, 0.80%, 0.00%), (WMT, 3,141, 0.77%, 0.00%), (CVX, 1,994, 0.75%, 0.00%), (COST, 321, 0.75%, 0.00%), (PG, 1,985, 0.74%, 0.00%), (CAT, 684, 0.74%, 0.00%), (RTX, 1,887, 0.73%, 0.00%), (MCD, 938, 0.70%, 0.00%), (ABT, 2,164, 0.70%, 0.00%), (UNH, 1,148, 0.70%, 0.00%), (ABBV, 1,385, 0.68%, 0.00%), (HD, 710, 0.68%, 0.00%), (AMD, 1,438, 0.62%, 0.00%), (KO, 3,590, 0.62%, 0.00%), (SO, 2,523, 0.59%, 0.00%), (BA, 1,060, 0.59%, 0.00%), (PM, 1,440, 0.59%, 0.00%), (BKNG, 43, 0.58%, 0.00%), (BAC, 5,136, 0.58%, 0.00%), (CRM, 918, 0.57%, 0.00%), (NKE, 3,067, 0.57%, 0.00%), (DUK, 1,778, 0.56%, 0.00%), (IBM, 888, 0.55%, 0.00%), (ISRG, 444, 0.53%, 0.00%), (GS, 293, 0.52%, 0.00%), (INTU, 269, 0.51%, 0.00%), (UBER, 2,282, 0.50%, 0.00%), (HON, 922, 0.50%, 0.00%), (ETN, 560, 0.50%, 0.00%), (WFC, 2,562, 0.49%, 0.00%), (MET, 2,553, 0.47%, 0.00%), (DE, 361, 0.45%, 0.00%), (NOW, 198, 0.45%, 0.00%), (PEP, 1,270, 0.44%, 0.00%), (T, 6,113, 0.42%, 0.00%), (SPGI, 296, 0.41%, 0.00%), (MS, 1,158, 0.40%, 0.00%), (MRK, 1,982, 0.39%, 0.00%), (AXP, 519, 0.38%, 0.00%), (VZ, 3,586, 0.38%, 0.00%), (BLK, 136, 0.37%, 0.00%), (ACN, 600, 0.37%, 0.00%), (TXN, 808, 0.37%, 0.00%), (UNP, 657, 0.36%, 0.00%), (QCOM, 985, 0.36%, 0.00%), (DIS, 1,221, 0.36%, 0.00%), (ADBE, 423, 0.36%, 0.00%), (MDT, 1,600, 0.36%, 0.00%), (COP, 1,543, 0.36%, 0.00%), (TMO, 300, 0.35%, 0.00%), (SCHW, 1,395, 0.33%, 0.00%), (SBUX, 1,484, 0.33%, 0.00%), (C, 1,455, 0.33%, 0.00%), (AMAT, 731, 0.33%, 0.00%), (LMT, 299, 0.32%, 0.00%), (AMGN, 421, 0.31%, 0.00%), (MMM, 772, 0.29%, 0.00%), (EMR, 808, 0.28%, 0.00%), (GILD, 977, 0.27%, 0.00%), (PFE, 4,441, 0.27%, 0.00%), (TJX, 806, 0.26%, 0.00%), (DHR, 504, 0.25%, 0.00%), (CVS, 1,570, 0.25%, 0.00%), (MO, 1,569, 0.24%, 0.00%), (LOW, 405, 0.24%, 0.00%), (CMCSA, 2,575, 0.21%, 0.00%), (ELV, 289, 0.20%, 0.00%), (MDLZ, 1,238, 0.19%, 0.00%), (INTC, 3,822, 0.19%, 0.00%), (BMY, 1,589, 0.18%, 0.00%), (UPS, 793, 0.17%, 0.00%), (PYPL, 936, 0.16%, 0.00%), (CL, 689, 0.14%, 0.00%), (FDX, 244, 0.13%, 0.00%), (USB, 1,200, 0.13%, 0.00%), (TGT, 333, 0.08%, 0.00%), (SC28181B, nan, nan%, 0.00%), (SC28183B, nan, nan%, 0.00%), (SP28182B, nan, nan%, 0.00%), (SP28185B, nan, nan%, 0.00%), (SP28184B, nan, nan%, 0.00%), (XP28185B, nan, nan%, 0.00%)</t>
  </si>
  <si>
    <t>(META, 1,598, 2.82%, 0.00%), (BRK/B, 1,859, 2.00%, 0.00%), (GOOGL, 4,284, 1.93%, 0.00%), (CSCO, 11,290, 1.77%, 0.00%), (LIN, 1,597, 1.74%, 0.00%), (AMT, 3,240, 1.58%, 0.00%), (GOOG, 3,489, 1.58%, 0.00%), (JPM, 2,354, 1.58%, 0.00%), (TSLA, 2,139, 1.52%, 0.00%), (XOM, 5,699, 1.42%, 0.00%), (V, 1,753, 1.37%, 0.00%), (LLY, 671, 1.19%, 0.00%), (CB, 1,788, 1.11%, 0.00%), (MA, 831, 1.09%, 0.00%), (WM, 2,003, 1.07%, 0.00%), (GE, 1,667, 1.04%, 0.00%), (ORCL, 1,677, 0.98%, 0.00%), (NEE, 5,146, 0.85%, 0.00%), (NFLX, 313, 0.84%, 0.00%), (PLTR, 2,139, 0.83%, 0.00%), (JNJ, 2,051, 0.81%, 0.00%), (WMT, 3,414, 0.78%, 0.00%), (CVX, 2,167, 0.76%, 0.00%), (COST, 348, 0.76%, 0.00%), (PG, 2,158, 0.75%, 0.00%), (CAT, 744, 0.75%, 0.00%), (RTX, 2,051, 0.74%, 0.00%), (MCD, 1,020, 0.71%, 0.00%), (UNH, 1,248, 0.71%, 0.00%), (ABT, 2,353, 0.71%, 0.00%), (ABBV, 1,505, 0.69%, 0.00%), (HD, 771, 0.68%, 0.00%), (AMD, 1,563, 0.63%, 0.00%), (KO, 3,902, 0.62%, 0.00%), (SO, 2,742, 0.60%, 0.00%), (BA, 1,152, 0.60%, 0.00%), (PM, 1,565, 0.59%, 0.00%), (BKNG, 47, 0.59%, 0.00%), (BAC, 5,582, 0.59%, 0.00%), (CRM, 998, 0.58%, 0.00%), (NKE, 3,333, 0.57%, 0.00%), (DUK, 1,933, 0.57%, 0.00%), (IBM, 965, 0.56%, 0.00%), (ISRG, 483, 0.53%, 0.00%), (GS, 318, 0.53%, 0.00%), (INTU, 293, 0.52%, 0.00%), (UBER, 2,481, 0.51%, 0.00%), (HON, 1,002, 0.51%, 0.00%), (ETN, 609, 0.51%, 0.00%), (WFC, 2,784, 0.50%, 0.00%), (MET, 2,775, 0.48%, 0.00%), (DE, 392, 0.46%, 0.00%), (NOW, 215, 0.45%, 0.00%), (PEP, 1,381, 0.45%, 0.00%), (T, 6,644, 0.43%, 0.00%), (SPGI, 322, 0.41%, 0.00%), (MS, 1,258, 0.41%, 0.00%), (MRK, 2,155, 0.40%, 0.00%), (AXP, 565, 0.39%, 0.00%), (VZ, 3,898, 0.39%, 0.00%), (BLK, 148, 0.38%, 0.00%), (ACN, 652, 0.38%, 0.00%), (TXN, 879, 0.38%, 0.00%), (UNP, 714, 0.37%, 0.00%), (QCOM, 1,070, 0.36%, 0.00%), (DIS, 1,328, 0.36%, 0.00%), (ADBE, 459, 0.36%, 0.00%), (MDT, 1,739, 0.36%, 0.00%), (COP, 1,677, 0.36%, 0.00%), (TMO, 326, 0.35%, 0.00%), (SCHW, 1,516, 0.34%, 0.00%), (SBUX, 1,613, 0.33%, 0.00%), (C, 1,582, 0.33%, 0.00%), (AMAT, 794, 0.33%, 0.00%), (LMT, 325, 0.32%, 0.00%), (AMGN, 458, 0.32%, 0.00%), (MMM, 839, 0.29%, 0.00%), (EMR, 878, 0.28%, 0.00%), (GILD, 1,062, 0.28%, 0.00%), (PFE, 4,827, 0.27%, 0.00%), (TJX, 876, 0.26%, 0.00%), (DHR, 548, 0.25%, 0.00%), (CVS, 1,707, 0.25%, 0.00%), (MO, 1,706, 0.25%, 0.00%), (LOW, 441, 0.24%, 0.00%), (CMCSA, 2,798, 0.21%, 0.00%), (ELV, 315, 0.20%, 0.00%), (MDLZ, 1,346, 0.20%, 0.00%), (INTC, 4,155, 0.20%, 0.00%), (BMY, 1,728, 0.18%, 0.00%), (UPS, 862, 0.17%, 0.00%), (PYPL, 1,017, 0.16%, 0.00%), (CL, 749, 0.14%, 0.00%), (FDX, 265, 0.13%, 0.00%), (USB, 1,305, 0.13%, 0.00%), (TGT, 362, 0.08%, 0.00%), (SC13481B, nan, nan%, 0.00%), (SC13483B, nan, nan%, 0.00%), (SP13482B, nan, nan%, 0.00%), (SP13485B, nan, nan%, 0.00%), (SP13484B, nan, nan%, 0.00%), (XP13485B, nan, nan%, 0.00%)</t>
  </si>
  <si>
    <t>(AVGO, 8,465, 3.16%, 0.00%), (META, 3,007, 2.92%, 0.00%), (BRK/B, 3,498, 2.07%, 0.00%), (GOOGL, 8,060, 2.00%, 0.00%), (CSCO, 21,242, 1.84%, 0.00%), (LIN, 3,005, 1.80%, 0.00%), (AMT, 6,097, 1.64%, 0.00%), (GOOG, 6,565, 1.63%, 0.00%), (JPM, 4,430, 1.63%, 0.00%), (TSLA, 4,024, 1.57%, 0.00%), (XOM, 10,723, 1.47%, 0.00%), (V, 3,298, 1.42%, 0.00%), (LLY, 1,263, 1.23%, 0.00%), (CB, 3,365, 1.15%, 0.00%), (MA, 1,564, 1.13%, 0.00%), (WM, 3,769, 1.11%, 0.00%), (GE, 3,137, 1.08%, 0.00%), (ORCL, 3,156, 1.01%, 0.00%), (NEE, 9,682, 0.88%, 0.00%), (NFLX, 590, 0.87%, 0.00%), (PLTR, 4,025, 0.86%, 0.00%), (JNJ, 3,859, 0.84%, 0.00%), (WMT, 6,423, 0.81%, 0.00%), (CVX, 4,078, 0.79%, 0.00%), (COST, 656, 0.79%, 0.00%), (PG, 4,060, 0.78%, 0.00%), (CAT, 1,400, 0.77%, 0.00%), (RTX, 3,858, 0.77%, 0.00%), (MCD, 1,918, 0.74%, 0.00%), (ABT, 4,426, 0.74%, 0.00%), (UNH, 2,349, 0.73%, 0.00%), (ABBV, 2,832, 0.72%, 0.00%), (HD, 1,452, 0.71%, 0.00%), (AMD, 2,941, 0.65%, 0.00%), (KO, 7,341, 0.65%, 0.00%), (SO, 5,159, 0.62%, 0.00%), (BA, 2,167, 0.62%, 0.00%), (BKNG, 89, 0.62%, 0.00%), (PM, 2,944, 0.61%, 0.00%), (BAC, 10,504, 0.61%, 0.00%), (CRM, 1,877, 0.60%, 0.00%), (NKE, 6,272, 0.59%, 0.00%), (DUK, 3,637, 0.59%, 0.00%), (IBM, 1,816, 0.58%, 0.00%), (ISRG, 909, 0.55%, 0.00%), (GS, 599, 0.55%, 0.00%), (INTU, 550, 0.54%, 0.00%), (UBER, 4,668, 0.53%, 0.00%), (HON, 1,885, 0.53%, 0.00%), (ETN, 1,146, 0.52%, 0.00%), (WFC, 5,239, 0.52%, 0.00%), (MET, 5,221, 0.50%, 0.00%), (DE, 738, 0.48%, 0.00%), (NOW, 405, 0.47%, 0.00%), (PEP, 2,598, 0.46%, 0.00%), (T, 12,501, 0.44%, 0.00%), (SPGI, 606, 0.43%, 0.00%), (MS, 2,368, 0.42%, 0.00%), (MRK, 4,054, 0.41%, 0.00%), (AXP, 1,062, 0.40%, 0.00%), (VZ, 7,334, 0.40%, 0.00%), (ACN, 1,227, 0.39%, 0.00%), (BLK, 278, 0.39%, 0.00%), (TXN, 1,653, 0.39%, 0.00%), (UNP, 1,344, 0.38%, 0.00%), (QCOM, 2,014, 0.38%, 0.00%), (DIS, 2,498, 0.38%, 0.00%), (ADBE, 864, 0.38%, 0.00%), (MDT, 3,273, 0.37%, 0.00%), (COP, 3,156, 0.37%, 0.00%), (TMO, 613, 0.36%, 0.00%), (SCHW, 2,853, 0.35%, 0.00%), (SBUX, 3,034, 0.35%, 0.00%), (C, 2,976, 0.34%, 0.00%), (AMAT, 1,494, 0.34%, 0.00%), (LMT, 612, 0.33%, 0.00%), (AMGN, 861, 0.33%, 0.00%), (MMM, 1,579, 0.30%, 0.00%), (EMR, 1,653, 0.29%, 0.00%), (GILD, 1,997, 0.29%, 0.00%), (PFE, 9,082, 0.28%, 0.00%), (TJX, 1,648, 0.27%, 0.00%), (DHR, 1,030, 0.26%, 0.00%), (CVS, 3,212, 0.26%, 0.00%), (MO, 3,209, 0.25%, 0.00%), (LOW, 829, 0.25%, 0.00%), (CMCSA, 5,265, 0.22%, 0.00%), (ELV, 592, 0.21%, 0.00%), (MDLZ, 2,532, 0.20%, 0.00%), (INTC, 7,817, 0.20%, 0.00%), (BMY, 3,251, 0.19%, 0.00%), (UPS, 1,621, 0.18%, 0.00%), (PYPL, 1,913, 0.17%, 0.00%), (CL, 1,408, 0.15%, 0.00%), (FDX, 498, 0.14%, 0.00%), (USB, 2,455, 0.14%, 0.00%), (TGT, 682, 0.09%, 0.00%), (SC26771B, nan, nan%, 0.00%), (SC26773B, nan, nan%, 0.00%), (SP26772B, nan, nan%, 0.00%), (SP26775B, nan, nan%, 0.00%), (SP26774B, nan, nan%, 0.00%), (XP26775B, nan, nan%, 0.00%)</t>
  </si>
  <si>
    <t>EBAY, META, BK, MSFT, JPM, GOOGL, BLK, RJF, BKNG, MLI, EA, HIG</t>
  </si>
  <si>
    <t>(AMAT, 5,615, 1.82%, 0.00%), (PHM, 8,316, 1.82%, 0.00%), (TRV, 3,729, 1.82%, 0.00%), (EWBC, 10,131, 1.82%, 0.01%), (V, 2,931, 1.82%, 0.00%), (NVDA, 5,476, 1.79%, 0.00%), (AXP, 3,306, 1.78%, 0.00%), (ROST, 6,529, 1.74%, 0.00%), (ADP, 3,131, 1.72%, 0.00%), (SNA, 2,922, 1.72%, 0.01%), (UNM, 13,184, 1.69%, 0.01%), (KLAC, 1,037, 1.68%, 0.00%), (PCAR, 9,268, 1.65%, 0.00%), (CB, 3,307, 1.63%, 0.00%), (SYF, 12,239, 1.55%, 0.00%), (CTSH, 11,845, 1.53%, 0.00%), (CRM, 3,358, 1.53%, 0.00%), (WSM, 4,144, 1.52%, 0.00%), (LEN, 6,919, 1.51%, 0.00%), (PAYC, 3,585, 1.46%, 0.01%), (BKR, 17,432, 1.38%, 0.00%), (DHI, 4,597, 1.29%, 0.00%), (ACN, 2,793, 1.26%, 0.00%), (QCOM, 4,728, 1.26%, 0.00%), (AFL, 6,474, 1.21%, 0.00%), (AAPL, 3,052, 1.19%, 0.00%), (ELV, 2,245, 1.13%, 0.00%), (CSCO, 8,769, 1.11%, 0.00%), (MPWR, 748, 1.10%, 0.00%), (ODFL, 4,016, 1.10%, 0.00%), (LRCX, 6,038, 1.06%, 0.00%), (GE, 2,116, 1.05%, 0.00%), (STT, 4,860, 0.98%, 0.00%), (CF, 5,555, 0.91%, 0.00%), (PNC, 2,603, 0.89%, 0.00%), (AMP, 947, 0.88%, 0.00%), (MTB, 2,586, 0.87%, 0.00%), (COST, 486, 0.86%, 0.00%), (ABT, 3,499, 0.84%, 0.00%), (XOM, 4,069, 0.79%, 0.00%), (EOG, 3,661, 0.78%, 0.00%), (EG, 1,231, 0.74%, 0.00%), (CSL, 1,090, 0.71%, 0.00%), (GEV, 496, 0.60%, 0.00%), (NTRS, 2,256, 0.52%, 0.00%), (MA, 471, 0.49%, 0.00%), (CRBG, 7,751, 0.48%, 0.00%), (JNJ, 1,511, 0.47%, 0.00%), (ACM, 2,135, 0.46%, 0.00%), (LNC, 6,170, 0.44%, 0.00%), (CINF, 1,569, 0.44%, 0.00%), (MTG, 8,865, 0.44%, 0.00%), (JXN, 2,547, 0.43%, 0.00%), (ALL, 1,117, 0.43%, 0.00%), (SLM, 7,244, 0.42%, 0.00%), (DOV, 1,319, 0.42%, 0.00%), (MCK, 326, 0.42%, 0.00%), (WTFC, 1,817, 0.41%, 0.00%), (EQH, 4,374, 0.41%, 0.00%), (ADM, 3,757, 0.39%, 0.00%), (NUE, 1,508, 0.38%, 0.00%), (NKE, 2,750, 0.38%, 0.00%), (PGR, 823, 0.37%, 0.00%), (FANG, 1,174, 0.31%, 0.00%), (SC13N61B, nan, nan%, 0.00%), (SC13N63B, nan, nan%, 0.00%), (SP13N62B, nan, nan%, 0.00%), (SP13N65B, nan, nan%, 0.00%), (SP13N64B, nan, nan%, 0.00%), (SPX Index, nan, nan%, 0.00%), (XP13N65B, nan, nan%, 0.00%)</t>
  </si>
  <si>
    <t>(AVGO, 3,920, 3.38%, 0.00%), (META, 1,392, 3.08%, 0.00%), (BRK/B, 1,620, 2.19%, 0.00%), (GOOGL, 3,732, 2.09%, 0.00%), (CSCO, 9,836, 1.95%, 0.00%), (LIN, 1,392, 1.89%, 0.00%), (JPM, 2,051, 1.72%, 0.00%), (GOOG, 3,040, 1.71%, 0.00%), (AMT, 2,823, 1.70%, 0.00%), (TSLA, 1,863, 1.70%, 0.00%), (XOM, 4,965, 1.53%, 0.00%), (V, 1,527, 1.49%, 0.00%), (LLY, 585, 1.26%, 0.00%), (CB, 1,558, 1.21%, 0.00%), (MA, 724, 1.18%, 0.00%), (WM, 1,745, 1.17%, 0.00%), (GE, 1,453, 1.14%, 0.00%), (ORCL, 1,462, 1.07%, 0.00%), (PLTR, 1,864, 0.94%, 0.00%), (NFLX, 273, 0.92%, 0.00%), (NEE, 4,483, 0.91%, 0.00%), (WMT, 2,974, 0.88%, 0.00%), (JNJ, 1,787, 0.88%, 0.00%), (COST, 304, 0.84%, 0.00%), (CVX, 1,888, 0.83%, 0.00%), (PG, 1,880, 0.82%, 0.00%), (RTX, 1,787, 0.80%, 0.00%), (CAT, 648, 0.80%, 0.00%), (MCD, 888, 0.78%, 0.00%), (ABT, 2,050, 0.77%, 0.00%), (UNH, 1,088, 0.76%, 0.00%), (ABBV, 1,311, 0.74%, 0.00%), (HD, 672, 0.74%, 0.00%), (KO, 3,399, 0.68%, 0.00%), (BKNG, 41, 0.66%, 0.00%), (PM, 1,363, 0.65%, 0.00%), (SO, 2,389, 0.65%, 0.00%), (BA, 1,004, 0.65%, 0.00%), (AMD, 1,362, 0.64%, 0.00%), (BAC, 4,864, 0.64%, 0.00%), (NKE, 2,904, 0.63%, 0.00%), (CRM, 869, 0.62%, 0.00%), (IBM, 841, 0.61%, 0.00%), (DUK, 1,684, 0.61%, 0.00%), (ISRG, 421, 0.58%, 0.00%), (GS, 277, 0.57%, 0.00%), (INTU, 255, 0.57%, 0.00%), (UBER, 2,161, 0.55%, 0.00%), (HON, 873, 0.55%, 0.00%), (ETN, 530, 0.55%, 0.00%), (WFC, 2,426, 0.54%, 0.00%), (MET, 2,417, 0.53%, 0.00%), (DE, 342, 0.50%, 0.00%), (NOW, 187, 0.49%, 0.00%), (PEP, 1,203, 0.49%, 0.00%), (T, 5,789, 0.46%, 0.00%), (SPGI, 281, 0.45%, 0.00%), (MS, 1,096, 0.44%, 0.00%), (MRK, 1,877, 0.43%, 0.00%), (AXP, 492, 0.42%, 0.00%), (BLK, 129, 0.42%, 0.00%), (VZ, 3,396, 0.41%, 0.00%), (TXN, 766, 0.41%, 0.00%), (ACN, 568, 0.41%, 0.00%), (UNP, 622, 0.40%, 0.00%), (ADBE, 400, 0.40%, 0.00%), (QCOM, 932, 0.39%, 0.00%), (COP, 1,461, 0.39%, 0.00%), (MDT, 1,516, 0.39%, 0.00%), (DIS, 1,157, 0.38%, 0.00%), (SCHW, 1,321, 0.37%, 0.00%), (TMO, 284, 0.37%, 0.00%), (C, 1,378, 0.37%, 0.00%), (SBUX, 1,405, 0.36%, 0.00%), (AMAT, 692, 0.36%, 0.00%), (LMT, 283, 0.35%, 0.00%), (AMGN, 399, 0.33%, 0.00%), (MMM, 731, 0.32%, 0.00%), (EMR, 765, 0.30%, 0.00%), (GILD, 925, 0.29%, 0.00%), (PFE, 4,206, 0.29%, 0.00%), (TJX, 763, 0.29%, 0.00%), (CVS, 1,487, 0.27%, 0.00%), (MO, 1,486, 0.27%, 0.00%), (DHR, 477, 0.27%, 0.00%), (LOW, 384, 0.26%, 0.00%), (CMCSA, 2,438, 0.23%, 0.00%), (ELV, 274, 0.22%, 0.00%), (INTC, 3,620, 0.21%, 0.00%), (MDLZ, 1,172, 0.21%, 0.00%), (BMY, 1,505, 0.19%, 0.00%), (UPS, 751, 0.19%, 0.00%), (PYPL, 886, 0.18%, 0.00%), (CL, 652, 0.16%, 0.00%), (FDX, 231, 0.15%, 0.00%), (USB, 1,137, 0.15%, 0.00%), (TGT, 316, 0.09%, 0.00%), (SC31761B, nan, nan%, 0.00%), (SC31763B, nan, nan%, 0.00%), (SP31762B, nan, nan%, 0.00%), (SP31765B, nan, nan%, 0.00%), (SP31764B, nan, nan%, 0.00%), (XP31765B, nan, nan%, 0.00%)</t>
  </si>
  <si>
    <t>(AVGO, 2,579, 3.25%, 0.00%), (META, 916, 2.96%, 0.00%), (BRK/B, 1,066, 2.11%, 0.00%), (GOOGL, 2,455, 2.02%, 0.00%), (CSCO, 6,471, 1.88%, 0.00%), (LIN, 916, 1.83%, 0.00%), (JPM, 1,350, 1.66%, 0.00%), (GOOG, 2,000, 1.65%, 0.00%), (AMT, 1,857, 1.64%, 0.00%), (TSLA, 1,226, 1.63%, 0.00%), (XOM, 3,267, 1.47%, 0.00%), (V, 1,005, 1.44%, 0.00%), (LLY, 385, 1.21%, 0.00%), (CB, 1,025, 1.17%, 0.00%), (MA, 477, 1.14%, 0.00%), (WM, 1,148, 1.12%, 0.00%), (GE, 956, 1.10%, 0.00%), (ORCL, 962, 1.03%, 0.00%), (PLTR, 1,226, 0.90%, 0.00%), (NFLX, 180, 0.90%, 0.00%), (NEE, 2,950, 0.88%, 0.00%), (WMT, 1,957, 0.84%, 0.00%), (JNJ, 1,176, 0.84%, 0.00%), (COST, 200, 0.81%, 0.00%), (CVX, 1,242, 0.80%, 0.00%), (PG, 1,237, 0.79%, 0.00%), (RTX, 1,175, 0.77%, 0.00%), (CAT, 426, 0.77%, 0.00%), (MCD, 584, 0.76%, 0.00%), (ABT, 1,349, 0.74%, 0.00%), (UNH, 716, 0.74%, 0.00%), (HD, 442, 0.72%, 0.00%), (ABBV, 863, 0.72%, 0.00%), (KO, 2,236, 0.65%, 0.00%), (BKNG, 27, 0.63%, 0.00%), (PM, 897, 0.63%, 0.00%), (SO, 1,572, 0.63%, 0.00%), (BA, 660, 0.62%, 0.00%), (AMD, 896, 0.62%, 0.00%), (BAC, 3,200, 0.61%, 0.00%), (NKE, 1,911, 0.61%, 0.00%), (CRM, 572, 0.60%, 0.00%), (IBM, 553, 0.59%, 0.00%), (DUK, 1,108, 0.59%, 0.00%), (GS, 183, 0.56%, 0.00%), (ISRG, 277, 0.55%, 0.00%), (INTU, 168, 0.55%, 0.00%), (UBER, 1,422, 0.53%, 0.00%), (HON, 574, 0.53%, 0.00%), (ETN, 349, 0.53%, 0.00%), (WFC, 1,596, 0.52%, 0.00%), (MET, 1,590, 0.51%, 0.00%), (DE, 225, 0.48%, 0.00%), (NOW, 123, 0.47%, 0.00%), (PEP, 791, 0.47%, 0.00%), (T, 3,808, 0.44%, 0.00%), (SPGI, 185, 0.44%, 0.00%), (MS, 721, 0.43%, 0.00%), (MRK, 1,235, 0.41%, 0.00%), (AXP, 324, 0.40%, 0.00%), (BLK, 85, 0.40%, 0.00%), (VZ, 2,234, 0.40%, 0.00%), (TXN, 504, 0.39%, 0.00%), (ACN, 374, 0.39%, 0.00%), (UNP, 409, 0.39%, 0.00%), (ADBE, 263, 0.38%, 0.00%), (QCOM, 613, 0.38%, 0.00%), (COP, 961, 0.38%, 0.00%), (MDT, 997, 0.38%, 0.00%), (DIS, 761, 0.37%, 0.00%), (TMO, 187, 0.35%, 0.00%), (SCHW, 869, 0.35%, 0.00%), (C, 907, 0.35%, 0.00%), (SBUX, 924, 0.35%, 0.00%), (AMAT, 455, 0.34%, 0.00%), (LMT, 186, 0.34%, 0.00%), (AMGN, 262, 0.32%, 0.00%), (MMM, 481, 0.30%, 0.00%), (EMR, 504, 0.29%, 0.00%), (GILD, 608, 0.28%, 0.00%), (PFE, 2,767, 0.28%, 0.00%), (TJX, 502, 0.28%, 0.00%), (CVS, 978, 0.26%, 0.00%), (MO, 978, 0.26%, 0.00%), (DHR, 314, 0.26%, 0.00%), (LOW, 253, 0.25%, 0.00%), (CMCSA, 1,604, 0.22%, 0.00%), (ELV, 180, 0.21%, 0.00%), (INTC, 2,381, 0.20%, 0.00%), (MDLZ, 771, 0.20%, 0.00%), (BMY, 990, 0.19%, 0.00%), (UPS, 494, 0.18%, 0.00%), (PYPL, 583, 0.17%, 0.00%), (CL, 429, 0.15%, 0.00%), (FDX, 152, 0.15%, 0.00%), (USB, 748, 0.14%, 0.00%), (TGT, 208, 0.09%, 0.00%), (SC9061B, nan, nan%, 0.00%), (SC9063B, nan, nan%, 0.00%), (SP9062B, nan, nan%, 0.00%), (SP9065B, nan, nan%, 0.00%), (SP9064B, nan, nan%, 0.00%), (XP9065B, nan, nan%, 0.00%)</t>
  </si>
  <si>
    <t>(META, 872, 2.73%, 0.00%), (BRK/B, 1,015, 1.94%, 0.00%), (GOOGL, 2,338, 1.86%, 0.00%), (CSCO, 6,161, 1.73%, 0.00%), (LIN, 872, 1.68%, 0.00%), (JPM, 1,285, 1.53%, 0.00%), (GOOG, 1,904, 1.52%, 0.00%), (TSLA, 1,167, 1.51%, 0.00%), (AMT, 1,768, 1.51%, 0.00%), (XOM, 3,110, 1.35%, 0.00%), (V, 957, 1.33%, 0.00%), (LLY, 366, 1.11%, 0.00%), (CB, 976, 1.07%, 0.00%), (MA, 454, 1.05%, 0.00%), (WM, 1,093, 1.03%, 0.00%), (GE, 910, 1.01%, 0.00%), (ORCL, 915, 0.95%, 0.00%), (PLTR, 1,167, 0.84%, 0.00%), (NFLX, 171, 0.82%, 0.00%), (NEE, 2,808, 0.81%, 0.00%), (WMT, 1,863, 0.78%, 0.00%), (JNJ, 1,119, 0.78%, 0.00%), (COST, 190, 0.75%, 0.00%), (CVX, 1,183, 0.74%, 0.00%), (PG, 1,177, 0.73%, 0.00%), (RTX, 1,119, 0.71%, 0.00%), (CAT, 406, 0.71%, 0.00%), (MCD, 556, 0.70%, 0.00%), (ABT, 1,284, 0.68%, 0.00%), (UNH, 681, 0.68%, 0.00%), (HD, 421, 0.66%, 0.00%), (ABBV, 821, 0.66%, 0.00%), (KO, 2,129, 0.60%, 0.00%), (BKNG, 26, 0.59%, 0.00%), (PM, 854, 0.58%, 0.00%), (SO, 1,496, 0.58%, 0.00%), (BA, 629, 0.58%, 0.00%), (AMD, 853, 0.57%, 0.00%), (BAC, 3,046, 0.56%, 0.00%), (NKE, 1,819, 0.56%, 0.00%), (CRM, 544, 0.55%, 0.00%), (IBM, 527, 0.54%, 0.00%), (DUK, 1,055, 0.54%, 0.00%), (GS, 174, 0.52%, 0.00%), (ISRG, 264, 0.51%, 0.00%), (INTU, 160, 0.51%, 0.00%), (UBER, 1,354, 0.49%, 0.00%), (HON, 547, 0.49%, 0.00%), (ETN, 332, 0.49%, 0.00%), (WFC, 1,519, 0.48%, 0.00%), (MET, 1,514, 0.47%, 0.00%), (DE, 214, 0.45%, 0.00%), (NOW, 117, 0.44%, 0.00%), (PEP, 753, 0.43%, 0.00%), (T, 3,626, 0.41%, 0.00%), (SPGI, 176, 0.40%, 0.00%), (MS, 687, 0.40%, 0.00%), (MRK, 1,176, 0.38%, 0.00%), (BLK, 81, 0.37%, 0.00%), (AXP, 308, 0.37%, 0.00%), (VZ, 2,127, 0.37%, 0.00%), (TXN, 480, 0.36%, 0.00%), (ACN, 356, 0.36%, 0.00%), (UNP, 390, 0.36%, 0.00%), (ADBE, 251, 0.35%, 0.00%), (QCOM, 584, 0.35%, 0.00%), (COP, 915, 0.35%, 0.00%), (MDT, 949, 0.35%, 0.00%), (DIS, 724, 0.34%, 0.00%), (TMO, 178, 0.33%, 0.00%), (SCHW, 828, 0.33%, 0.00%), (C, 863, 0.32%, 0.00%), (SBUX, 880, 0.32%, 0.00%), (AMAT, 433, 0.31%, 0.00%), (LMT, 177, 0.31%, 0.00%), (AMGN, 250, 0.29%, 0.00%), (MMM, 458, 0.28%, 0.00%), (EMR, 479, 0.26%, 0.00%), (GILD, 579, 0.26%, 0.00%), (PFE, 2,634, 0.26%, 0.00%), (TJX, 478, 0.26%, 0.00%), (CVS, 931, 0.24%, 0.00%), (MO, 931, 0.24%, 0.00%), (DHR, 299, 0.24%, 0.00%), (LOW, 240, 0.23%, 0.00%), (CMCSA, 1,527, 0.20%, 0.00%), (ELV, 172, 0.19%, 0.00%), (INTC, 2,267, 0.19%, 0.00%), (MDLZ, 734, 0.19%, 0.00%), (BMY, 943, 0.17%, 0.00%), (UPS, 470, 0.17%, 0.00%), (PYPL, 555, 0.16%, 0.00%), (CL, 408, 0.14%, 0.00%), (FDX, 145, 0.13%, 0.00%), (USB, 712, 0.13%, 0.00%), (TGT, 198, 0.09%, 0.00%)</t>
  </si>
  <si>
    <t>(AVGO, 1,635, 3.18%, 0.00%), (META, 581, 2.89%, 0.00%), (BRK/B, 676, 2.06%, 0.00%), (GOOGL, 1,556, 1.97%, 0.00%), (CSCO, 4,102, 1.83%, 0.00%), (LIN, 580, 1.78%, 0.00%), (JPM, 855, 1.61%, 0.00%), (GOOG, 1,268, 1.61%, 0.00%), (AMT, 1,177, 1.60%, 0.00%), (TSLA, 777, 1.59%, 0.00%), (XOM, 2,071, 1.43%, 0.00%), (V, 637, 1.40%, 0.00%), (LLY, 244, 1.17%, 0.00%), (CB, 650, 1.14%, 0.00%), (MA, 302, 1.11%, 0.00%), (WM, 728, 1.09%, 0.00%), (GE, 606, 1.07%, 0.00%), (ORCL, 609, 1.01%, 0.00%), (PLTR, 777, 0.88%, 0.00%), (NFLX, 114, 0.87%, 0.00%), (NEE, 1,870, 0.85%, 0.00%), (WMT, 1,240, 0.82%, 0.00%), (JNJ, 745, 0.82%, 0.00%), (COST, 127, 0.80%, 0.00%), (CVX, 787, 0.78%, 0.00%), (PG, 784, 0.77%, 0.00%), (RTX, 745, 0.75%, 0.00%), (CAT, 270, 0.75%, 0.00%), (MCD, 370, 0.73%, 0.00%), (ABT, 855, 0.72%, 0.00%), (UNH, 454, 0.72%, 0.00%), (ABBV, 547, 0.70%, 0.00%), (HD, 280, 0.69%, 0.00%), (KO, 1,418, 0.64%, 0.00%), (PM, 569, 0.61%, 0.00%), (SO, 996, 0.61%, 0.00%), (BKNG, 17, 0.61%, 0.00%), (BA, 418, 0.61%, 0.00%), (AMD, 568, 0.60%, 0.00%), (BAC, 2,028, 0.60%, 0.00%), (NKE, 1,211, 0.59%, 0.00%), (CRM, 363, 0.59%, 0.00%), (IBM, 351, 0.57%, 0.00%), (DUK, 702, 0.57%, 0.00%), (GS, 116, 0.55%, 0.00%), (ISRG, 176, 0.54%, 0.00%), (INTU, 106, 0.54%, 0.00%), (UBER, 901, 0.52%, 0.00%), (HON, 364, 0.52%, 0.00%), (ETN, 221, 0.51%, 0.00%), (WFC, 1,012, 0.51%, 0.00%), (MET, 1,008, 0.50%, 0.00%), (DE, 142, 0.47%, 0.00%), (NOW, 78, 0.46%, 0.00%), (PEP, 502, 0.46%, 0.00%), (T, 2,414, 0.43%, 0.00%), (SPGI, 117, 0.43%, 0.00%), (MS, 457, 0.42%, 0.00%), (MRK, 783, 0.40%, 0.00%), (AXP, 205, 0.39%, 0.00%), (BLK, 54, 0.39%, 0.00%), (VZ, 1,416, 0.39%, 0.00%), (TXN, 319, 0.38%, 0.00%), (ACN, 237, 0.38%, 0.00%), (UNP, 260, 0.38%, 0.00%), (ADBE, 167, 0.37%, 0.00%), (QCOM, 389, 0.37%, 0.00%), (COP, 609, 0.37%, 0.00%), (MDT, 632, 0.37%, 0.00%), (DIS, 482, 0.36%, 0.00%), (SCHW, 551, 0.35%, 0.00%), (TMO, 118, 0.34%, 0.00%), (C, 575, 0.34%, 0.00%), (SBUX, 586, 0.34%, 0.00%), (AMAT, 289, 0.33%, 0.00%), (LMT, 118, 0.33%, 0.00%), (AMGN, 166, 0.31%, 0.00%), (MMM, 305, 0.30%, 0.00%), (EMR, 319, 0.28%, 0.00%), (GILD, 386, 0.27%, 0.00%), (PFE, 1,754, 0.27%, 0.00%), (TJX, 318, 0.27%, 0.00%), (CVS, 620, 0.26%, 0.00%), (MO, 620, 0.25%, 0.00%), (DHR, 199, 0.25%, 0.00%), (LOW, 160, 0.25%, 0.00%), (CMCSA, 1,017, 0.21%, 0.00%), (ELV, 114, 0.20%, 0.00%), (INTC, 1,509, 0.20%, 0.00%), (MDLZ, 489, 0.20%,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t>
  </si>
  <si>
    <t>(META, 6,040, 2.78%, 0.00%), (BRK/B, 7,027, 1.98%, 0.00%), (GOOGL, 16,189, 1.90%, 0.00%), (CSCO, 42,669, 1.77%, 0.00%), (LIN, 6,037, 1.71%, 0.00%), (JPM, 8,898, 1.56%, 0.00%), (GOOG, 13,187, 1.55%, 0.00%), (AMT, 12,247, 1.54%, 0.00%), (TSLA, 8,083, 1.54%, 0.00%), (XOM, 21,539, 1.38%, 0.00%), (V, 6,625, 1.35%, 0.00%), (LLY, 2,537, 1.14%, 0.00%), (CB, 6,759, 1.10%, 0.00%), (MA, 3,143, 1.07%, 0.00%), (WM, 7,571, 1.06%, 0.00%), (GE, 6,302, 1.03%, 0.00%), (ORCL, 6,340, 0.97%, 0.00%), (PLTR, 8,086, 0.85%, 0.00%), (NFLX, 1,184, 0.84%, 0.00%), (NEE, 19,448, 0.82%, 0.00%), (WMT, 12,902, 0.79%, 0.00%), (JNJ, 7,751, 0.79%, 0.00%), (COST, 1,317, 0.76%, 0.00%), (CVX, 8,191, 0.75%, 0.00%), (PG, 8,155, 0.75%, 0.00%), (RTX, 7,750, 0.73%, 0.00%), (CAT, 2,811, 0.72%, 0.00%), (MCD, 3,854, 0.71%, 0.00%), (ABT, 8,891, 0.70%, 0.00%), (UNH, 4,718, 0.69%, 0.00%), (HD, 2,916, 0.67%, 0.00%), (ABBV, 5,689, 0.67%, 0.00%), (KO, 14,746, 0.62%, 0.00%), (BKNG, 178, 0.59%, 0.00%), (PM, 5,914, 0.59%, 0.00%), (SO, 10,362, 0.59%, 0.00%), (BA, 4,353, 0.59%, 0.00%), (AMD, 5,908, 0.58%, 0.00%), (BAC, 21,099, 0.58%, 0.00%), (NKE, 12,598, 0.57%, 0.00%), (CRM, 3,771, 0.56%, 0.00%), (IBM, 3,647, 0.55%, 0.00%), (DUK, 7,306, 0.55%, 0.00%), (GS, 1,203, 0.52%, 0.00%), (ISRG, 1,826, 0.52%, 0.00%), (INTU, 1,106, 0.52%, 0.00%), (UBER, 9,376, 0.50%, 0.00%), (HON, 3,786, 0.50%, 0.00%), (ETN, 2,301, 0.50%, 0.00%), (WFC, 10,523, 0.49%, 0.00%), (MET, 10,487, 0.48%, 0.00%), (DE, 1,482, 0.45%, 0.00%), (NOW, 813, 0.45%, 0.00%), (PEP, 5,218, 0.44%, 0.00%), (T, 25,110, 0.42%, 0.00%), (SPGI, 1,217, 0.41%, 0.00%), (MS, 4,756, 0.40%, 0.00%), (MRK, 8,144, 0.39%, 0.00%), (AXP, 2,134, 0.38%, 0.00%), (VZ, 14,732, 0.38%, 0.00%), (BLK, 558, 0.37%, 0.00%), (TXN, 3,321, 0.37%, 0.00%), (ACN, 2,465, 0.37%, 0.00%), (UNP, 2,699, 0.36%, 0.00%), (ADBE, 1,736, 0.36%, 0.00%), (QCOM, 4,045, 0.36%, 0.00%), (COP, 6,339, 0.35%, 0.00%), (MDT, 6,574, 0.35%, 0.00%), (DIS, 5,018, 0.35%, 0.00%), (SCHW, 5,731, 0.33%, 0.00%), (TMO, 1,231, 0.33%, 0.00%), (C, 5,978, 0.33%, 0.00%), (SBUX, 6,095, 0.32%, 0.00%), (AMAT, 3,001, 0.32%, 0.00%), (LMT, 1,228, 0.32%, 0.00%), (AMGN, 1,730, 0.30%, 0.00%), (MMM, 3,171, 0.29%, 0.00%), (EMR, 3,320, 0.27%, 0.00%), (GILD, 4,012, 0.27%, 0.00%), (PFE, 18,244, 0.26%, 0.00%), (TJX, 3,311, 0.26%, 0.00%), (CVS, 6,451, 0.25%, 0.00%), (MO, 6,446, 0.24%, 0.00%), (DHR, 2,069, 0.24%, 0.00%), (LOW, 1,665, 0.24%, 0.00%), (CMCSA, 10,576, 0.20%, 0.00%), (ELV, 1,189, 0.20%, 0.00%), (INTC, 15,702, 0.19%, 0.00%), (MDLZ, 5,086, 0.19%, 0.00%), (BMY, 6,529, 0.18%, 0.00%), (UPS, 3,257, 0.17%, 0.00%), (PYPL, 3,844, 0.16%, 0.00%), (CL, 2,829, 0.14%, 0.00%), (FDX, 1,001, 0.14%, 0.00%), (USB, 4,931, 0.13%, 0.00%), (TGT, 1,369, 0.09%, 0.00%)</t>
  </si>
  <si>
    <t>(AVGO, 14,778, 3.23%, 0.00%), (META, 5,250, 2.94%, 0.00%), (BRK/B, 6,108, 2.10%, 0.00%), (GOOGL, 14,071, 2.00%, 0.00%), (CSCO, 37,085, 1.87%, 0.00%), (LIN, 5,247, 1.81%, 0.00%), (JPM, 7,734, 1.65%, 0.00%), (GOOG, 11,461, 1.64%, 0.00%), (AMT, 10,644, 1.63%, 0.00%), (TSLA, 7,025, 1.62%, 0.00%), (XOM, 18,720, 1.46%, 0.00%), (V, 5,758, 1.43%, 0.00%), (LLY, 2,205, 1.20%, 0.00%), (CB, 5,874, 1.16%, 0.00%), (MA, 2,731, 1.13%, 0.00%), (WM, 6,580, 1.12%, 0.00%), (GE, 5,477, 1.09%, 0.00%), (ORCL, 5,510, 1.03%, 0.00%), (PLTR, 7,028, 0.90%, 0.00%), (NFLX, 1,029, 0.88%, 0.00%), (NEE, 16,903, 0.87%, 0.00%), (WMT, 11,214, 0.84%, 0.00%), (JNJ, 6,736, 0.84%, 0.00%), (COST, 1,145, 0.81%, 0.00%), (CVX, 7,119, 0.80%, 0.00%), (PG, 7,088, 0.79%, 0.00%), (RTX, 6,736, 0.77%, 0.00%), (CAT, 2,443, 0.76%, 0.00%), (MCD, 3,349, 0.75%, 0.00%), (ABT, 7,728, 0.74%, 0.00%), (UNH, 4,100, 0.73%, 0.00%), (HD, 2,534, 0.71%, 0.00%), (ABBV, 4,944, 0.71%, 0.00%), (KO, 12,816, 0.65%, 0.00%), (BKNG, 155, 0.63%, 0.00%), (PM, 5,140, 0.62%, 0.00%), (SO, 9,006, 0.62%, 0.00%), (BA, 3,783, 0.62%, 0.00%), (AMD, 5,135, 0.61%, 0.00%), (BAC, 18,338, 0.61%, 0.00%), (NKE, 10,949, 0.60%, 0.00%), (CRM, 3,278, 0.60%, 0.00%), (IBM, 3,170, 0.58%, 0.00%), (DUK, 6,350, 0.58%, 0.00%), (GS, 1,046, 0.55%, 0.00%), (ISRG, 1,587, 0.55%, 0.00%), (INTU, 961, 0.55%, 0.00%), (UBER, 8,149, 0.53%, 0.00%), (HON, 3,291, 0.53%, 0.00%), (ETN, 2,000, 0.52%, 0.00%), (WFC, 9,146, 0.52%, 0.00%), (MET, 9,114, 0.51%, 0.00%), (DE, 1,288, 0.48%, 0.00%), (NOW, 706, 0.47%, 0.00%), (PEP, 4,535, 0.47%, 0.00%), (T, 21,824, 0.44%, 0.00%), (SPGI, 1,058, 0.43%, 0.00%), (MS, 4,133, 0.43%, 0.00%), (MRK, 7,078, 0.41%, 0.00%), (AXP, 1,854, 0.40%, 0.00%), (VZ, 12,804, 0.40%, 0.00%), (BLK, 485, 0.40%, 0.00%), (TXN, 2,886, 0.39%, 0.00%), (ACN, 2,142, 0.39%, 0.00%), (UNP, 2,346, 0.38%, 0.00%), (ADBE, 1,509, 0.38%, 0.00%), (QCOM, 3,515, 0.38%, 0.00%), (COP, 5,510, 0.37%, 0.00%), (MDT, 5,714, 0.37%, 0.00%), (DIS, 4,361, 0.37%, 0.00%), (SCHW, 4,981, 0.35%, 0.00%), (TMO, 1,070, 0.35%, 0.00%), (C, 5,195, 0.35%, 0.00%), (SBUX, 5,298, 0.34%, 0.00%), (AMAT, 2,609, 0.34%, 0.00%), (LMT, 1,068, 0.34%, 0.00%), (AMGN, 1,504, 0.31%, 0.00%), (MMM, 2,756, 0.30%, 0.00%), (EMR, 2,886, 0.28%, 0.00%), (GILD, 3,487, 0.28%, 0.00%), (PFE, 15,856, 0.28%, 0.00%), (TJX, 2,878, 0.28%, 0.00%), (CVS, 5,607, 0.26%, 0.00%), (MO, 5,602, 0.26%, 0.00%), (DHR, 1,799, 0.26%, 0.00%), (LOW, 1,447, 0.25%, 0.00%), (CMCSA, 9,192, 0.22%, 0.00%), (ELV, 1,033, 0.21%, 0.00%), (INTC, 13,647, 0.20%, 0.00%), (MDLZ, 4,420,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t>
  </si>
  <si>
    <t>(AVGO, 11,002, 3.22%, 0.00%), (META, 3,908, 2.93%, 0.00%), (BRK/B, 4,547, 2.09%, 0.00%), (GOOGL, 10,475, 2.00%, 0.00%), (CSCO, 27,607, 1.86%, 0.00%), (LIN, 3,906, 1.81%, 0.00%), (JPM, 5,757, 1.64%, 0.00%), (GOOG, 8,532, 1.63%, 0.00%), (AMT, 7,924, 1.62%, 0.00%), (TSLA, 5,230, 1.62%, 0.00%), (XOM, 13,936, 1.46%, 0.00%), (V, 4,287, 1.42%, 0.00%), (LLY, 1,641, 1.20%, 0.00%), (CB, 4,373, 1.16%, 0.00%), (MA, 2,033, 1.13%, 0.00%), (WM, 4,899, 1.11%, 0.00%), (GE, 4,078, 1.08%, 0.00%), (ORCL, 4,102, 1.02%, 0.00%), (PLTR, 5,232, 0.89%, 0.00%), (NFLX, 766, 0.88%, 0.00%), (NEE, 12,583, 0.87%, 0.00%), (WMT, 8,348, 0.84%, 0.00%), (JNJ, 5,015, 0.83%, 0.00%), (COST, 852, 0.81%, 0.00%), (CVX, 5,299, 0.79%, 0.00%), (PG, 5,277, 0.79%, 0.00%), (RTX, 5,015, 0.77%, 0.00%), (CAT, 1,819, 0.76%, 0.00%), (MCD, 2,493, 0.75%, 0.00%), (ABT, 5,753, 0.73%, 0.00%), (UNH, 3,052, 0.73%, 0.00%), (ABBV, 3,681, 0.71%, 0.00%), (HD, 1,887, 0.71%, 0.00%), (KO, 9,541, 0.65%, 0.00%), (BKNG, 115, 0.62%, 0.00%), (PM, 3,826, 0.62%, 0.00%), (SO, 6,705, 0.62%, 0.00%), (BA, 2,817, 0.62%, 0.00%), (AMD, 3,823, 0.61%, 0.00%), (BAC, 13,651, 0.61%, 0.00%), (NKE, 8,151, 0.60%, 0.00%), (CRM, 2,440, 0.60%, 0.00%), (IBM, 2,360, 0.58%, 0.00%), (DUK, 4,727, 0.58%, 0.00%), (GS, 779, 0.55%, 0.00%), (ISRG, 1,181, 0.55%, 0.00%), (INTU, 715, 0.55%, 0.00%), (UBER, 6,066, 0.53%, 0.00%), (HON, 2,450, 0.53%, 0.00%), (ETN, 1,489, 0.52%, 0.00%), (WFC, 6,809, 0.52%, 0.00%), (MET, 6,785, 0.51%, 0.00%), (DE, 959, 0.48%, 0.00%), (NOW, 526, 0.47%, 0.00%), (PEP, 3,376, 0.46%, 0.00%), (T, 16,247, 0.44%, 0.00%), (SPGI, 788, 0.43%, 0.00%), (MS, 3,077, 0.42%, 0.00%), (MRK, 5,269, 0.41%, 0.00%), (AXP, 1,380, 0.40%, 0.00%), (VZ, 9,532, 0.40%, 0.00%), (BLK, 361, 0.39%, 0.00%), (TXN, 2,149, 0.39%, 0.00%), (ACN, 1,595, 0.39%, 0.00%), (UNP, 1,747, 0.38%, 0.00%), (ADBE, 1,123, 0.38%, 0.00%), (QCOM, 2,617, 0.37%, 0.00%), (COP, 4,102, 0.37%, 0.00%), (MDT, 4,254, 0.37%, 0.00%), (DIS, 3,247, 0.37%, 0.00%), (SCHW, 3,708, 0.35%, 0.00%), (TMO, 797, 0.35%, 0.00%), (C, 3,868, 0.35%, 0.00%), (SBUX, 3,944, 0.34%, 0.00%), (AMAT, 1,942, 0.34%, 0.00%), (LMT, 795, 0.34%, 0.00%), (AMGN, 1,120, 0.31%, 0.00%), (MMM, 2,052, 0.30%, 0.00%), (EMR, 2,148, 0.28%, 0.00%), (GILD, 2,596, 0.28%, 0.00%), (PFE, 11,804, 0.28%, 0.00%), (TJX, 2,142, 0.27%, 0.00%), (CVS, 4,174, 0.26%, 0.00%), (MO, 4,171, 0.26%, 0.00%), (DHR, 1,339, 0.26%, 0.00%), (LOW, 1,077, 0.25%, 0.00%), (CMCSA, 6,843, 0.22%, 0.00%), (ELV, 769, 0.21%, 0.00%), (INTC, 10,159, 0.20%, 0.00%), (MDLZ, 3,291, 0.20%, 0.00%), (BMY, 4,225, 0.18%,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t>
  </si>
  <si>
    <t>(META, 1,474, 2.80%, 0.00%), (BRK/B, 1,715, 1.99%, 0.00%), (GOOGL, 3,950, 1.90%, 0.00%), (CSCO, 10,411, 1.77%, 0.00%), (LIN, 1,473, 1.72%, 0.00%), (JPM, 2,171, 1.56%, 0.00%), (GOOG, 3,218, 1.56%, 0.00%), (AMT, 2,988, 1.54%, 0.00%), (TSLA, 1,972, 1.54%, 0.00%), (XOM, 5,256, 1.39%, 0.00%), (V, 1,617, 1.36%, 0.00%), (LLY, 619, 1.14%, 0.00%), (CB, 1,649, 1.10%, 0.00%), (MA, 767, 1.08%, 0.00%), (WM, 1,847, 1.06%, 0.00%), (GE, 1,538, 1.03%, 0.00%), (ORCL, 1,547, 0.97%, 0.00%), (PLTR, 1,973, 0.85%, 0.00%), (NFLX, 289, 0.84%, 0.00%), (NEE, 4,745, 0.83%, 0.00%), (WMT, 3,148, 0.80%, 0.00%), (JNJ, 1,891, 0.79%, 0.00%), (COST, 321, 0.76%, 0.00%), (CVX, 1,999, 0.75%, 0.00%), (PG, 1,990, 0.75%, 0.00%), (RTX, 1,891, 0.73%, 0.00%), (CAT, 686, 0.73%, 0.00%), (MCD, 940, 0.71%, 0.00%), (ABT, 2,170, 0.70%, 0.00%), (UNH, 1,151, 0.70%, 0.00%), (HD, 711, 0.68%, 0.00%), (ABBV, 1,388, 0.67%, 0.00%), (KO, 3,598, 0.62%, 0.00%), (PM, 1,443, 0.59%, 0.00%), (SO, 2,528, 0.59%, 0.00%), (BA, 1,062, 0.59%, 0.00%), (BKNG, 43, 0.59%, 0.00%), (AMD, 1,442, 0.58%, 0.00%), (BAC, 5,148, 0.58%, 0.00%), (NKE, 3,074, 0.57%, 0.00%), (CRM, 920, 0.57%, 0.00%), (IBM, 890, 0.55%, 0.00%), (DUK, 1,783, 0.55%, 0.00%), (GS, 294, 0.52%, 0.00%), (ISRG, 446, 0.52%, 0.00%), (INTU, 270, 0.52%, 0.00%), (UBER, 2,288, 0.50%, 0.00%), (HON, 924, 0.50%, 0.00%), (ETN, 562, 0.50%, 0.00%), (WFC, 2,568, 0.49%, 0.00%), (MET, 2,559, 0.48%, 0.00%), (DE, 362, 0.45%, 0.00%), (NOW, 198, 0.45%, 0.00%), (PEP, 1,273, 0.44%, 0.00%), (T, 6,127, 0.42%, 0.00%), (SPGI, 297, 0.41%, 0.00%), (MS, 1,160, 0.40%, 0.00%), (MRK, 1,987, 0.39%, 0.00%), (AXP, 521, 0.38%, 0.00%), (BLK, 136, 0.38%, 0.00%), (VZ, 3,595, 0.38%, 0.00%), (TXN, 810, 0.37%, 0.00%), (ACN, 601, 0.37%, 0.00%), (UNP, 659, 0.37%, 0.00%), (ADBE, 424, 0.36%, 0.00%), (QCOM, 987, 0.36%, 0.00%), (COP, 1,547, 0.36%, 0.00%), (MDT, 1,604, 0.35%, 0.00%), (DIS, 1,224, 0.35%, 0.00%), (SCHW, 1,398, 0.33%, 0.00%), (TMO, 300, 0.33%, 0.00%), (C, 1,459, 0.33%, 0.00%), (SBUX, 1,487, 0.33%, 0.00%), (AMAT, 732, 0.32%, 0.00%), (LMT, 300, 0.32%, 0.00%), (AMGN, 422, 0.30%, 0.00%), (MMM, 774, 0.29%, 0.00%), (EMR, 810, 0.27%, 0.00%), (GILD, 979, 0.27%, 0.00%), (PFE, 4,451, 0.26%, 0.00%), (TJX, 808, 0.26%, 0.00%), (CVS, 1,574, 0.25%, 0.00%), (MO, 1,573, 0.24%, 0.00%), (DHR, 505, 0.24%, 0.00%), (LOW, 406, 0.24%, 0.00%), (CMCSA, 2,581, 0.21%, 0.00%), (ELV, 290, 0.20%, 0.00%), (INTC, 3,831, 0.19%, 0.00%), (MDLZ, 1,241,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t>
  </si>
  <si>
    <t>(AVGO, 4,510, 3.11%, 0.00%), (META, 1,602, 2.83%, 0.00%), (BRK/B, 1,864, 2.02%, 0.00%), (GOOGL, 4,294, 1.93%, 0.00%), (CSCO, 11,317, 1.80%, 0.00%), (LIN, 1,601, 1.74%, 0.00%), (JPM, 2,360, 1.58%, 0.00%), (GOOG, 3,498, 1.58%, 0.00%), (TSLA, 2,144, 1.57%, 0.00%), (AMT, 3,248, 1.57%, 0.00%), (XOM, 5,713, 1.40%, 0.00%), (V, 1,757, 1.37%, 0.00%), (LLY, 673, 1.16%, 0.00%), (CB, 1,793, 1.12%, 0.00%), (MA, 834, 1.09%, 0.00%), (WM, 2,008, 1.07%, 0.00%), (GE, 1,672, 1.05%, 0.00%), (ORCL, 1,682, 0.99%, 0.00%), (PLTR, 2,145, 0.87%, 0.00%), (NFLX, 314, 0.85%, 0.00%), (NEE, 5,158, 0.84%, 0.00%), (WMT, 3,422, 0.81%, 0.00%), (JNJ, 2,056, 0.81%, 0.00%), (COST, 349, 0.77%, 0.00%), (CVX, 2,172, 0.76%, 0.00%), (PG, 2,163, 0.76%, 0.00%), (RTX, 2,056, 0.74%, 0.00%), (CAT, 746, 0.74%, 0.00%), (MCD, 1,022, 0.72%, 0.00%), (ABT, 2,358, 0.71%, 0.00%), (UNH, 1,251, 0.70%, 0.00%), (ABBV, 1,509, 0.68%, 0.00%), (HD, 773, 0.68%, 0.00%), (KO, 3,911, 0.63%, 0.00%), (PM, 1,568, 0.60%, 0.00%), (BKNG, 47, 0.60%, 0.00%), (SO, 2,748, 0.60%, 0.00%), (BA, 1,155, 0.60%, 0.00%), (AMD, 1,567, 0.59%, 0.00%), (BAC, 5,596, 0.59%, 0.00%), (NKE, 3,341, 0.58%, 0.00%), (CRM, 1,000, 0.57%, 0.00%), (IBM, 967, 0.56%, 0.00%), (DUK, 1,938, 0.56%, 0.00%), (GS, 319, 0.53%, 0.00%), (ISRG, 484, 0.53%, 0.00%), (INTU, 293, 0.53%, 0.00%), (UBER, 2,487, 0.51%, 0.00%), (HON, 1,004, 0.51%, 0.00%), (ETN, 610, 0.50%, 0.00%), (WFC, 2,791, 0.50%, 0.00%), (MET, 2,781, 0.49%, 0.00%), (DE, 393, 0.46%, 0.00%), (NOW, 216, 0.45%, 0.00%), (PEP, 1,384, 0.45%, 0.00%), (T, 6,660, 0.42%, 0.00%), (SPGI, 323, 0.42%, 0.00%), (MS, 1,261, 0.41%, 0.00%), (MRK, 2,160, 0.39%, 0.00%), (AXP, 566, 0.38%, 0.00%), (BLK, 148, 0.38%, 0.00%), (VZ, 3,907, 0.38%, 0.00%), (TXN, 881, 0.37%, 0.00%), (ACN, 654, 0.37%, 0.00%), (UNP, 716, 0.37%, 0.00%), (ADBE, 461, 0.37%, 0.00%), (QCOM, 1,073, 0.36%, 0.00%), (COP, 1,681, 0.36%, 0.00%), (MDT, 1,744, 0.36%, 0.00%), (DIS, 1,331, 0.35%, 0.00%), (TMO, 327, 0.34%, 0.00%), (SCHW, 1,520, 0.34%, 0.00%), (C, 1,585, 0.34%, 0.00%), (SBUX, 1,617, 0.33%, 0.00%), (AMAT, 796, 0.33%, 0.00%), (LMT, 326, 0.32%, 0.00%), (AMGN, 459, 0.30%, 0.00%), (MMM, 841, 0.29%, 0.00%), (EMR, 881, 0.27%, 0.00%), (GILD, 1,064, 0.27%, 0.00%), (PFE, 4,839, 0.27%, 0.00%), (TJX, 878, 0.26%, 0.00%), (CVS, 1,711, 0.25%, 0.00%), (MO, 1,710, 0.25%, 0.00%), (DHR, 549, 0.25%, 0.00%), (LOW, 442, 0.24%, 0.00%), (CMCSA, 2,805, 0.21%, 0.00%), (ELV, 315, 0.20%, 0.00%), (INTC, 4,165, 0.19%, 0.00%), (MDLZ, 1,349,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t>
  </si>
  <si>
    <t>(AVGO, 8,486, 3.23%, 0.00%), (META, 3,014, 2.93%, 0.00%), (BRK/B, 3,507, 2.09%, 0.00%), (GOOGL, 8,079, 2.00%, 0.00%), (CSCO, 21,294, 1.86%, 0.00%), (LIN, 3,013, 1.80%, 0.00%), (JPM, 4,441, 1.64%, 0.00%), (GOOG, 6,581, 1.63%, 0.00%), (AMT, 6,112, 1.62%, 0.00%), (TSLA, 4,034, 1.62%, 0.00%), (XOM, 10,749, 1.45%, 0.00%), (V, 3,306, 1.42%, 0.00%), (LLY, 1,266, 1.20%, 0.00%), (CB, 3,373, 1.16%, 0.00%), (MA, 1,568, 1.13%, 0.00%), (WM, 3,778, 1.11%, 0.00%), (GE, 3,145, 1.08%, 0.00%), (ORCL, 3,164, 1.02%, 0.00%), (PLTR, 4,035, 0.90%, 0.00%), (NFLX, 591, 0.88%, 0.00%), (NEE, 9,706, 0.87%, 0.00%), (WMT, 6,439, 0.84%, 0.00%), (JNJ, 3,868, 0.83%, 0.00%), (COST, 657, 0.81%, 0.00%), (CVX, 4,087, 0.79%, 0.00%), (PG, 4,070, 0.79%, 0.00%), (RTX, 3,868, 0.76%, 0.00%), (CAT, 1,403, 0.76%, 0.00%), (MCD, 1,923, 0.75%, 0.00%), (ABT, 4,437, 0.73%, 0.00%), (UNH, 2,354, 0.73%, 0.00%), (HD, 1,455, 0.71%, 0.00%), (ABBV, 2,839, 0.71%, 0.00%), (KO, 7,359, 0.65%, 0.00%), (BKNG, 89, 0.63%, 0.00%), (PM, 2,951, 0.62%, 0.00%), (SO, 5,171, 0.62%, 0.00%), (BA, 2,172, 0.62%, 0.00%), (AMD, 2,948, 0.61%, 0.00%), (BAC, 10,529, 0.61%, 0.00%), (NKE, 6,287, 0.60%, 0.00%), (CRM, 1,882, 0.59%, 0.00%), (IBM, 1,820, 0.58%, 0.00%), (DUK, 3,646, 0.58%, 0.00%), (GS, 601, 0.55%, 0.00%), (ISRG, 911, 0.55%, 0.00%), (INTU, 552, 0.55%, 0.00%), (UBER, 4,679, 0.53%, 0.00%), (HON, 1,890, 0.53%, 0.00%), (ETN, 1,148, 0.52%, 0.00%), (WFC, 5,252, 0.52%, 0.00%), (MET, 5,233, 0.50%, 0.00%), (DE, 739, 0.48%, 0.00%), (NOW, 406, 0.47%, 0.00%), (PEP, 2,604, 0.46%, 0.00%), (T, 12,531, 0.44%, 0.00%), (SPGI, 607, 0.43%, 0.00%), (MS, 2,373, 0.42%, 0.00%), (MRK, 4,064, 0.41%, 0.00%), (AXP, 1,065, 0.40%, 0.00%), (VZ, 7,352, 0.40%, 0.00%), (BLK, 279, 0.39%, 0.00%), (TXN, 1,657, 0.39%, 0.00%), (ACN, 1,230, 0.39%, 0.00%), (UNP, 1,347, 0.38%, 0.00%), (ADBE, 867, 0.38%, 0.00%), (QCOM, 2,018, 0.37%, 0.00%), (COP, 3,164, 0.37%, 0.00%), (MDT, 3,281, 0.37%, 0.00%), (DIS, 2,504, 0.37%, 0.00%), (TMO, 615, 0.35%, 0.00%), (SCHW, 2,860, 0.35%, 0.00%), (C, 2,983, 0.35%, 0.00%), (SBUX, 3,042, 0.34%, 0.00%), (AMAT, 1,498, 0.34%, 0.00%), (LMT, 613, 0.34%, 0.00%), (AMGN, 864, 0.31%, 0.00%), (MMM, 1,582, 0.30%, 0.00%), (EMR, 1,657, 0.28%, 0.00%), (GILD, 2,002, 0.28%, 0.00%), (PFE, 9,104, 0.28%, 0.00%), (TJX, 1,652, 0.28%, 0.00%), (CVS, 3,219, 0.26%, 0.00%), (MO, 3,217, 0.26%, 0.00%), (DHR, 1,033, 0.26%, 0.00%), (LOW, 831, 0.25%, 0.00%), (CMCSA, 5,278, 0.22%, 0.00%), (ELV, 593, 0.21%, 0.00%), (INTC, 7,836, 0.20%, 0.00%), (MDLZ, 2,538, 0.20%, 0.00%), (BMY, 3,258, 0.18%,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t>
  </si>
  <si>
    <t>EBAY, META, BK, MSFT, GOOGL, JPM, BLK, MLI, BKNG, RJF, EA, AMAT</t>
  </si>
  <si>
    <t>(PHM, 8,316, 1.84%, 0.00%), (HIG, 7,848, 1.83%, 0.00%), (NVDA, 5,476, 1.81%, 0.00%), (TRV, 3,729, 1.81%, 0.00%), (EWBC, 10,131, 1.81%, 0.01%), (AXP, 3,306, 1.78%, 0.00%), (V, 2,931, 1.78%, 0.00%), (ADP, 3,131, 1.74%, 0.00%), (ROST, 6,529, 1.74%, 0.00%), (KLAC, 1,037, 1.73%, 0.00%), (SNA, 2,922, 1.72%, 0.01%), (UNM, 13,184, 1.65%, 0.01%), (PCAR, 9,268, 1.64%, 0.00%), (CB, 3,307, 1.63%, 0.00%), (SYF, 12,239, 1.53%, 0.00%), (PAYC, 3,585, 1.53%, 0.01%), (WSM, 4,144, 1.51%, 0.00%), (LEN, 6,919, 1.51%, 0.00%), (CTSH, 11,845, 1.50%, 0.00%), (CRM, 3,358, 1.48%, 0.00%), (BKR, 17,432, 1.37%, 0.00%), (DHI, 4,597, 1.30%, 0.00%), (QCOM, 4,728, 1.26%, 0.00%), (ACN, 2,793, 1.24%, 0.00%), (AAPL, 3,052, 1.23%, 0.00%), (AFL, 6,474, 1.21%, 0.00%), (ELV, 2,245, 1.17%, 0.00%), (CSCO, 8,769, 1.12%, 0.00%), (LRCX, 6,038, 1.10%, 0.00%), (MPWR, 748, 1.09%, 0.00%), (ODFL, 4,016, 1.07%, 0.00%), (GE, 2,116, 1.05%, 0.00%), (STT, 4,860, 0.98%, 0.00%), (PNC, 2,603, 0.89%, 0.00%), (MTB, 2,586, 0.87%, 0.00%), (COST, 486, 0.87%, 0.00%), (AMP, 947, 0.86%, 0.00%), (ABT, 3,499, 0.85%, 0.00%), (CF, 5,555, 0.84%, 0.00%), (XOM, 4,069, 0.79%, 0.00%), (EOG, 3,661, 0.78%, 0.00%), (EG, 1,231, 0.74%, 0.00%), (CSL, 1,090, 0.71%, 0.00%), (GEV, 496, 0.59%, 0.00%), (NTRS, 2,256, 0.52%, 0.00%), (MA, 471, 0.48%, 0.00%), (JNJ, 1,511, 0.47%, 0.00%), (CRBG, 7,751, 0.47%, 0.00%), (ACM, 2,135, 0.47%, 0.00%), (CINF, 1,569, 0.44%, 0.00%), (LNC, 6,170, 0.43%, 0.00%), (MTG, 8,865, 0.43%, 0.00%), (DOV, 1,319, 0.42%, 0.00%), (ALL, 1,117, 0.42%, 0.00%), (SLM, 7,244, 0.42%, 0.00%), (JXN, 2,547, 0.41%, 0.00%), (WTFC, 1,817, 0.41%, 0.00%), (EQH, 4,374, 0.40%, 0.00%), (ADM, 3,757, 0.40%, 0.00%), (MCK, 326, 0.40%, 0.00%), (NUE, 1,508, 0.38%, 0.00%), (NKE, 2,750, 0.37%, 0.00%), (PGR, 823, 0.37%, 0.00%), (FANG, 1,174, 0.30%, 0.00%), (SC13N61B, nan, nan%, 0.00%), (SC13N63B, nan, nan%, 0.00%), (SP13N62B, nan, nan%, 0.00%), (SP13N65B, nan, nan%, 0.00%), (SP13N64B, nan, nan%, 0.00%), (SPX Index, nan, nan%, 0.00%), (XP13N65B, nan, nan%, 0.00%)</t>
  </si>
  <si>
    <t>(AVGO, 3,920, 3.39%, 0.00%), (META, 1,392, 3.04%, 0.00%), (BRK/B, 1,620, 2.16%, 0.00%), (GOOGL, 3,732, 2.10%, 0.00%), (CSCO, 9,836, 1.97%, 0.00%), (LIN, 1,392, 1.89%, 0.00%), (GOOG, 3,040, 1.72%, 0.00%), (TSLA, 1,863, 1.71%, 0.00%), (AMT, 2,823, 1.71%, 0.00%), (JPM, 2,051, 1.70%, 0.00%), (XOM, 4,965, 1.52%, 0.00%), (V, 1,527, 1.46%, 0.00%), (CB, 1,558, 1.21%, 0.00%), (WM, 1,745, 1.18%, 0.00%), (MA, 724, 1.17%, 0.00%), (GE, 1,453, 1.14%, 0.00%), (LLY, 585, 1.08%, 0.00%), (ORCL, 1,462, 1.04%, 0.00%), (PLTR, 1,864, 0.95%, 0.00%), (NEE, 4,483, 0.94%, 0.00%), (NFLX, 273, 0.92%, 0.00%), (JNJ, 1,787, 0.88%, 0.00%), (WMT, 2,974, 0.88%, 0.00%), (COST, 304, 0.85%, 0.00%), (CVX, 1,888, 0.83%, 0.00%), (PG, 1,880, 0.83%, 0.00%), (RTX, 1,787, 0.80%, 0.00%), (MCD, 888, 0.79%, 0.00%), (CAT, 648, 0.78%, 0.00%), (ABT, 2,050, 0.78%, 0.00%), (UNH, 1,088, 0.76%, 0.00%), (ABBV, 1,311, 0.75%, 0.00%), (HD, 672, 0.74%, 0.00%), (KO, 3,399, 0.69%, 0.00%), (AMD, 1,362, 0.68%, 0.00%), (PM, 1,363, 0.66%, 0.00%), (SO, 2,389, 0.66%, 0.00%), (BA, 1,004, 0.66%, 0.00%), (BKNG, 41, 0.64%, 0.00%), (BAC, 4,864, 0.63%, 0.00%), (NKE, 2,904, 0.62%, 0.00%), (DUK, 1,684, 0.61%, 0.00%), (IBM, 841, 0.61%, 0.00%), (CRM, 869, 0.60%, 0.00%), (UBER, 2,161, 0.57%, 0.00%), (ISRG, 421, 0.57%, 0.00%), (GS, 277, 0.57%, 0.00%), (INTU, 255, 0.56%, 0.00%), (ETN, 530, 0.55%, 0.00%), (HON, 873, 0.55%, 0.00%), (WFC, 2,426, 0.54%, 0.00%), (MET, 2,417, 0.52%, 0.00%), (DE, 342, 0.50%, 0.00%), (PEP, 1,203, 0.50%, 0.00%), (NOW, 187, 0.47%, 0.00%), (T, 5,789, 0.47%, 0.00%), (SPGI, 281, 0.45%, 0.00%), (MS, 1,096, 0.44%, 0.00%), (MRK, 1,877, 0.44%, 0.00%), (VZ, 3,396, 0.42%, 0.00%), (AXP, 492, 0.42%, 0.00%), (BLK, 129, 0.41%, 0.00%), (TXN, 766, 0.41%, 0.00%), (UNP, 622, 0.40%, 0.00%), (MDT, 1,516, 0.40%, 0.00%), (ACN, 568, 0.40%, 0.00%), (QCOM, 932, 0.39%, 0.00%), (ADBE, 400, 0.39%, 0.00%), (COP, 1,461, 0.39%, 0.00%), (DIS, 1,157, 0.38%, 0.00%), (TMO, 284, 0.37%, 0.00%), (SBUX, 1,405, 0.37%, 0.00%), (SCHW, 1,321, 0.37%, 0.00%), (AMAT, 692, 0.36%, 0.00%), (C, 1,378, 0.36%, 0.00%), (LMT, 283, 0.35%, 0.00%), (AMGN, 399, 0.33%, 0.00%), (MMM, 731, 0.32%, 0.00%), (GILD, 925, 0.29%, 0.00%), (EMR, 765, 0.29%, 0.00%), (PFE, 4,206, 0.29%, 0.00%), (TJX, 763, 0.29%, 0.00%), (CVS, 1,487, 0.27%, 0.00%), (DHR, 477, 0.27%, 0.00%), (MO, 1,486, 0.27%, 0.00%), (LOW, 384, 0.26%, 0.00%), (ELV, 274, 0.22%, 0.00%), (CMCSA, 2,438, 0.22%, 0.00%), (MDLZ, 1,172, 0.21%, 0.00%), (INTC, 3,620, 0.21%, 0.00%), (BMY, 1,505, 0.20%, 0.00%), (UPS, 751, 0.19%, 0.00%), (PYPL, 886, 0.17%, 0.00%), (CL, 652, 0.16%, 0.00%), (FDX, 231, 0.15%, 0.00%), (USB, 1,137, 0.14%, 0.00%), (TGT, 316, 0.09%, 0.00%), (SC31761B, nan, nan%, 0.00%), (SC31763B, nan, nan%, 0.00%), (SP31762B, nan, nan%, 0.00%), (SP31765B, nan, nan%, 0.00%), (SP31764B, nan, nan%, 0.00%), (XP31765B, nan, nan%, 0.00%)</t>
  </si>
  <si>
    <t>(AVGO, 2,579, 3.26%, 0.00%), (META, 916, 2.93%, 0.00%), (BRK/B, 1,066, 2.08%, 0.00%), (GOOGL, 2,455, 2.02%, 0.00%), (CSCO, 6,471, 1.89%, 0.00%), (LIN, 916, 1.82%, 0.00%), (GOOG, 2,000, 1.65%, 0.00%), (AMT, 1,857, 1.65%, 0.00%), (TSLA, 1,226, 1.65%, 0.00%), (JPM, 1,350, 1.64%, 0.00%), (XOM, 3,267, 1.46%, 0.00%), (V, 1,005, 1.41%, 0.00%), (CB, 1,025, 1.17%, 0.00%), (WM, 1,148, 1.13%, 0.00%), (MA, 477, 1.13%, 0.00%), (GE, 956, 1.10%, 0.00%), (LLY, 385, 1.04%, 0.00%), (ORCL, 962, 1.01%, 0.00%), (PLTR, 1,226, 0.91%, 0.00%), (NEE, 2,950, 0.90%, 0.00%), (NFLX, 180, 0.90%, 0.00%), (JNJ, 1,176, 0.85%, 0.00%), (WMT, 1,957, 0.84%, 0.00%), (COST, 200, 0.81%, 0.00%), (CVX, 1,242, 0.80%, 0.00%), (PG, 1,237, 0.80%, 0.00%), (RTX, 1,175, 0.77%, 0.00%), (MCD, 584, 0.76%, 0.00%), (CAT, 426, 0.75%, 0.00%), (ABT, 1,349, 0.75%, 0.00%), (UNH, 716, 0.74%, 0.00%), (ABBV, 863, 0.73%, 0.00%), (HD, 442, 0.72%, 0.00%), (KO, 2,236, 0.66%, 0.00%), (AMD, 896, 0.65%, 0.00%), (PM, 897, 0.63%, 0.00%), (SO, 1,572, 0.63%, 0.00%), (BA, 660, 0.63%, 0.00%), (BKNG, 27, 0.62%, 0.00%), (BAC, 3,200, 0.61%, 0.00%), (NKE, 1,911, 0.60%, 0.00%), (DUK, 1,108, 0.59%, 0.00%), (IBM, 553, 0.58%, 0.00%), (CRM, 572, 0.58%, 0.00%), (GS, 183, 0.56%, 0.00%), (UBER, 1,422, 0.55%, 0.00%), (ISRG, 277, 0.55%, 0.00%), (INTU, 168, 0.54%, 0.00%), (ETN, 349, 0.53%, 0.00%), (HON, 574, 0.53%, 0.00%), (WFC, 1,596, 0.52%, 0.00%), (MET, 1,590, 0.50%, 0.00%), (DE, 225, 0.48%, 0.00%), (PEP, 791, 0.48%, 0.00%), (NOW, 123, 0.45%, 0.00%), (T, 3,808, 0.45%, 0.00%), (SPGI, 185, 0.44%, 0.00%), (MS, 721, 0.43%, 0.00%), (MRK, 1,235, 0.42%, 0.00%), (VZ, 2,234, 0.41%, 0.00%), (AXP, 324, 0.40%, 0.00%), (BLK, 85, 0.40%, 0.00%), (TXN, 504, 0.39%, 0.00%), (UNP, 409, 0.38%, 0.00%), (ACN, 374, 0.38%, 0.00%), (MDT, 997, 0.38%, 0.00%), (QCOM, 613, 0.38%, 0.00%), (COP, 961, 0.38%, 0.00%), (ADBE, 263, 0.38%, 0.00%), (DIS, 761, 0.36%, 0.00%), (TMO, 187, 0.36%, 0.00%), (SBUX, 924, 0.35%, 0.00%), (SCHW, 869, 0.35%, 0.00%), (AMAT, 455, 0.35%, 0.00%), (C, 907, 0.35%, 0.00%), (LMT, 186, 0.34%, 0.00%), (AMGN, 262, 0.32%, 0.00%), (MMM, 481, 0.31%, 0.00%), (EMR, 504, 0.28%, 0.00%), (PFE, 2,767, 0.28%, 0.00%), (GILD, 608, 0.28%, 0.00%), (TJX, 502, 0.28%, 0.00%), (CVS, 978, 0.26%, 0.00%), (MO, 978, 0.26%, 0.00%), (DHR, 314, 0.26%, 0.00%), (LOW, 253, 0.25%, 0.00%), (ELV, 180, 0.22%, 0.00%), (CMCSA, 1,604, 0.21%, 0.00%), (MDLZ, 771, 0.20%, 0.00%), (INTC, 2,381, 0.20%, 0.00%), (BMY, 990, 0.19%, 0.00%), (UPS, 494, 0.18%, 0.00%), (PYPL, 583, 0.17%, 0.00%), (CL, 429, 0.15%, 0.00%), (FDX, 152, 0.14%, 0.00%), (USB, 748, 0.14%, 0.00%), (TGT, 208, 0.09%, 0.00%), (SC9061B, nan, nan%, 0.00%), (SC9063B, nan, nan%, 0.00%), (SP9062B, nan, nan%, 0.00%), (SP9065B, nan, nan%, 0.00%), (SP9064B, nan, nan%, 0.00%), (XP9065B, nan, nan%, 0.00%)</t>
  </si>
  <si>
    <t>(META, 872, 2.69%, 0.00%), (BRK/B, 1,015, 1.91%, 0.00%), (GOOGL, 2,338, 1.86%, 0.00%), (CSCO, 6,161, 1.75%, 0.00%), (LIN, 872, 1.67%, 0.00%), (GOOG, 1,904, 1.52%, 0.00%), (TSLA, 1,167, 1.52%, 0.00%), (AMT, 1,768, 1.52%, 0.00%), (JPM, 1,285, 1.50%, 0.00%), (XOM, 3,110, 1.35%, 0.00%), (V, 957, 1.30%, 0.00%), (CB, 976, 1.07%, 0.00%), (WM, 1,093, 1.04%, 0.00%), (MA, 454, 1.04%, 0.00%), (GE, 910, 1.01%, 0.00%), (LLY, 366, 0.96%, 0.00%), (ORCL, 915, 0.92%, 0.00%), (PLTR, 1,167, 0.85%, 0.00%), (NEE, 2,808, 0.83%, 0.00%), (NFLX, 171, 0.83%, 0.00%), (JNJ, 1,119, 0.78%, 0.00%), (WMT, 1,863, 0.78%, 0.00%), (COST, 190, 0.76%, 0.00%), (CVX, 1,183, 0.74%, 0.00%), (PG, 1,177, 0.74%, 0.00%), (RTX, 1,119, 0.71%, 0.00%), (MCD, 556, 0.70%, 0.00%), (CAT, 406, 0.69%, 0.00%), (ABT, 1,284, 0.69%, 0.00%), (UNH, 681, 0.68%, 0.00%), (ABBV, 821, 0.67%, 0.00%), (HD, 421, 0.66%, 0.00%), (KO, 2,129, 0.61%, 0.00%), (AMD, 853, 0.60%, 0.00%), (PM, 854, 0.58%, 0.00%), (SO, 1,496, 0.58%, 0.00%), (BA, 629, 0.58%, 0.00%), (BKNG, 26, 0.58%, 0.00%), (BAC, 3,046, 0.56%, 0.00%), (NKE, 1,819, 0.55%, 0.00%), (DUK, 1,055, 0.54%, 0.00%), (IBM, 527, 0.54%, 0.00%), (CRM, 544, 0.54%, 0.00%), (GS, 174, 0.51%, 0.00%), (UBER, 1,354, 0.51%, 0.00%), (ISRG, 264, 0.51%, 0.00%), (INTU, 160, 0.50%, 0.00%), (ETN, 332, 0.49%, 0.00%), (HON, 547, 0.48%, 0.00%), (WFC, 1,519, 0.48%, 0.00%), (MET, 1,514, 0.46%, 0.00%), (DE, 214, 0.44%, 0.00%), (PEP, 753, 0.44%, 0.00%), (NOW, 117, 0.42%, 0.00%), (T, 3,626, 0.42%, 0.00%), (SPGI, 176, 0.40%, 0.00%), (MS, 687, 0.39%, 0.00%), (MRK, 1,176, 0.39%, 0.00%), (VZ, 2,127, 0.37%, 0.00%), (AXP, 308, 0.37%, 0.00%), (BLK, 81, 0.37%, 0.00%), (TXN, 480, 0.36%, 0.00%), (UNP, 390, 0.35%, 0.00%), (MDT, 949, 0.35%, 0.00%), (ACN, 356, 0.35%, 0.00%), (QCOM, 584, 0.35%, 0.00%), (ADBE, 251, 0.35%, 0.00%), (COP, 915, 0.35%, 0.00%), (DIS, 724, 0.33%, 0.00%), (TMO, 178, 0.33%, 0.00%), (SBUX, 880, 0.32%, 0.00%), (SCHW, 828, 0.32%, 0.00%), (AMAT, 433, 0.32%, 0.00%), (C, 863, 0.32%, 0.00%), (LMT, 177, 0.31%, 0.00%), (AMGN, 250, 0.29%, 0.00%), (MMM, 458, 0.28%, 0.00%), (GILD, 579, 0.26%, 0.00%), (PFE, 2,634, 0.26%, 0.00%), (EMR, 479, 0.26%, 0.00%), (TJX, 478, 0.26%, 0.00%), (CVS, 931, 0.24%, 0.00%), (DHR, 299, 0.24%, 0.00%), (MO, 931, 0.24%, 0.00%), (LOW, 240, 0.23%, 0.00%), (ELV, 172, 0.20%, 0.00%), (CMCSA, 1,527, 0.20%, 0.00%), (MDLZ, 734, 0.19%, 0.00%), (INTC, 2,267, 0.18%, 0.00%), (BMY, 943, 0.17%, 0.00%), (UPS, 470, 0.17%, 0.00%), (PYPL, 555, 0.15%, 0.00%), (CL, 408, 0.14%, 0.00%), (FDX, 145, 0.13%, 0.00%), (USB, 712, 0.13%, 0.00%), (TGT, 198, 0.09%, 0.00%), (SC28781H, nan, nan%, 0.00%), (SC28783H, nan, nan%, 0.00%), (SP28782H, nan, nan%, 0.00%), (SP28785B, nan, nan%, 0.00%), (SP28784H, nan, nan%, 0.00%), (XP28785B, nan, nan%, 0.00%)</t>
  </si>
  <si>
    <t>(AVGO, 1,635, 3.19%, 0.00%), (META, 581, 2.86%, 0.00%), (BRK/B, 676, 2.03%, 0.00%), (GOOGL, 1,556, 1.97%, 0.00%), (CSCO, 4,102, 1.85%, 0.00%), (LIN, 580, 1.77%, 0.00%), (GOOG, 1,268, 1.61%, 0.00%), (AMT, 1,177, 1.61%, 0.00%), (TSLA, 777, 1.60%, 0.00%), (JPM, 855, 1.59%, 0.00%), (XOM, 2,071, 1.43%, 0.00%), (V, 637, 1.37%, 0.00%), (CB, 650, 1.14%, 0.00%), (WM, 728, 1.10%, 0.00%), (MA, 302, 1.09%, 0.00%), (GE, 606, 1.07%, 0.00%), (LLY, 244, 1.02%, 0.00%), (ORCL, 609, 0.98%, 0.00%), (PLTR, 777, 0.88%, 0.00%), (NEE, 1,870, 0.88%, 0.00%), (NFLX, 114, 0.87%, 0.00%), (JNJ, 745, 0.83%, 0.00%), (WMT, 1,240, 0.82%, 0.00%), (COST, 127, 0.81%, 0.00%), (CVX, 787, 0.78%, 0.00%), (PG, 784, 0.78%, 0.00%), (RTX, 745, 0.75%, 0.00%), (MCD, 370, 0.74%, 0.00%), (CAT, 270, 0.73%, 0.00%), (ABT, 855, 0.73%, 0.00%), (UNH, 454, 0.72%, 0.00%), (ABBV, 547, 0.71%, 0.00%), (HD, 280, 0.69%, 0.00%), (KO, 1,418, 0.65%, 0.00%), (AMD, 568, 0.63%, 0.00%), (PM, 569, 0.62%, 0.00%), (SO, 996, 0.62%, 0.00%), (BA, 418, 0.61%, 0.00%), (BKNG, 17, 0.60%, 0.00%), (BAC, 2,028, 0.59%, 0.00%), (NKE, 1,211, 0.58%, 0.00%), (DUK, 702, 0.57%, 0.00%), (IBM, 351, 0.57%, 0.00%), (CRM, 363, 0.57%, 0.00%), (GS, 116, 0.54%, 0.00%), (UBER, 901, 0.54%, 0.00%), (ISRG, 176, 0.54%, 0.00%), (INTU, 106, 0.52%, 0.00%), (ETN, 221, 0.52%, 0.00%), (HON, 364, 0.51%, 0.00%), (WFC, 1,012, 0.51%, 0.00%), (MET, 1,008, 0.48%, 0.00%), (PEP, 502, 0.47%, 0.00%), (DE, 142, 0.47%, 0.00%), (NOW, 78, 0.44%, 0.00%), (T, 2,414, 0.44%, 0.00%), (SPGI, 117, 0.43%, 0.00%), (MS, 457, 0.42%, 0.00%), (MRK, 783, 0.41%, 0.00%), (VZ, 1,416, 0.40%, 0.00%), (AXP, 205, 0.39%, 0.00%), (BLK, 54, 0.39%, 0.00%), (TXN, 319, 0.38%, 0.00%), (MDT, 632, 0.37%, 0.00%), (UNP, 260, 0.37%, 0.00%), (ACN, 237, 0.37%, 0.00%), (QCOM, 389, 0.37%, 0.00%), (ADBE, 167, 0.37%, 0.00%), (COP, 609, 0.37%, 0.00%), (DIS, 482, 0.35%, 0.00%), (TMO, 118, 0.35%, 0.00%), (SBUX, 586, 0.34%, 0.00%), (SCHW, 551, 0.34%, 0.00%), (AMAT, 289, 0.34%, 0.00%), (C, 575, 0.34%, 0.00%), (LMT, 118, 0.33%, 0.00%), (AMGN, 166, 0.31%, 0.00%), (MMM, 305, 0.30%, 0.00%), (GILD, 386, 0.28%, 0.00%), (EMR, 319, 0.27%, 0.00%), (PFE, 1,754, 0.27%, 0.00%), (TJX, 318, 0.27%, 0.00%), (DHR, 199, 0.26%, 0.00%), (CVS, 620, 0.26%, 0.00%), (MO, 620, 0.26%, 0.00%), (LOW, 160, 0.25%, 0.00%), (ELV, 114, 0.21%, 0.00%), (CMCSA, 1,017, 0.21%, 0.00%), (MDLZ, 489, 0.20%, 0.00%), (INTC, 1,509, 0.19%,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t>
  </si>
  <si>
    <t>(META, 6,040, 2.75%, 0.00%), (BRK/B, 7,027, 1.95%, 0.00%), (GOOGL, 16,189, 1.90%, 0.00%), (CSCO, 42,669, 1.78%, 0.00%), (LIN, 6,037, 1.71%, 0.00%), (GOOG, 13,187, 1.55%, 0.00%), (AMT, 12,247, 1.55%, 0.00%), (TSLA, 8,083, 1.55%, 0.00%), (JPM, 8,898, 1.54%, 0.00%), (XOM, 21,539, 1.38%, 0.00%), (V, 6,625, 1.32%, 0.00%), (CB, 6,759, 1.10%, 0.00%), (WM, 7,571, 1.06%, 0.00%), (MA, 3,143, 1.06%, 0.00%), (GE, 6,302, 1.03%, 0.00%), (LLY, 2,537, 0.98%, 0.00%), (ORCL, 6,340, 0.94%, 0.00%), (PLTR, 8,086, 0.85%, 0.00%), (NEE, 19,448, 0.85%, 0.00%), (NFLX, 1,184, 0.84%, 0.00%), (JNJ, 7,751, 0.80%, 0.00%), (WMT, 12,902, 0.79%, 0.00%), (COST, 1,317, 0.77%, 0.00%), (CVX, 8,191, 0.75%, 0.00%), (PG, 8,155, 0.75%, 0.00%), (RTX, 7,750, 0.73%, 0.00%), (MCD, 3,854, 0.71%, 0.00%), (CAT, 2,811, 0.71%, 0.00%), (ABT, 8,891, 0.70%, 0.00%), (UNH, 4,718, 0.69%, 0.00%), (ABBV, 5,689, 0.68%, 0.00%), (HD, 2,916, 0.67%, 0.00%), (KO, 14,746, 0.62%, 0.00%), (AMD, 5,908, 0.61%, 0.00%), (PM, 5,914, 0.60%, 0.00%), (SO, 10,362, 0.59%, 0.00%), (BA, 4,353, 0.59%, 0.00%), (BKNG, 178, 0.58%, 0.00%), (BAC, 21,099, 0.57%, 0.00%), (NKE, 12,598, 0.56%, 0.00%), (DUK, 7,306, 0.55%, 0.00%), (IBM, 3,647, 0.55%, 0.00%), (CRM, 3,771, 0.55%, 0.00%), (UBER, 9,376, 0.52%, 0.00%), (GS, 1,203, 0.52%, 0.00%), (ISRG, 1,826, 0.52%, 0.00%), (INTU, 1,106, 0.51%, 0.00%), (ETN, 2,301, 0.50%, 0.00%), (HON, 3,786, 0.49%, 0.00%), (WFC, 10,523, 0.49%, 0.00%), (MET, 10,487, 0.47%, 0.00%), (DE, 1,482, 0.45%, 0.00%), (PEP, 5,218, 0.45%, 0.00%), (NOW, 813, 0.43%, 0.00%), (T, 25,110, 0.42%, 0.00%), (SPGI, 1,217, 0.41%, 0.00%), (MS, 4,756, 0.40%, 0.00%), (MRK, 8,144, 0.39%, 0.00%), (VZ, 14,732, 0.38%, 0.00%), (AXP, 2,134, 0.38%, 0.00%), (BLK, 558, 0.37%, 0.00%), (TXN, 3,321, 0.37%, 0.00%), (UNP, 2,699, 0.36%, 0.00%), (MDT, 6,574, 0.36%, 0.00%), (ACN, 2,465, 0.36%, 0.00%), (QCOM, 4,045, 0.36%, 0.00%), (ADBE, 1,736, 0.35%, 0.00%), (COP, 6,339, 0.35%, 0.00%), (DIS, 5,018, 0.34%, 0.00%), (TMO, 1,231, 0.34%, 0.00%), (SBUX, 6,095, 0.33%, 0.00%), (SCHW, 5,731, 0.33%, 0.00%), (AMAT, 3,001, 0.33%, 0.00%), (C, 5,978, 0.33%, 0.00%), (LMT, 1,228, 0.32%, 0.00%), (AMGN, 1,730, 0.30%, 0.00%), (MMM, 3,171, 0.29%, 0.00%), (EMR, 3,320, 0.27%, 0.00%), (GILD, 4,012, 0.27%, 0.00%), (PFE, 18,244, 0.27%, 0.00%), (TJX, 3,311, 0.26%, 0.00%), (CVS, 6,451, 0.25%, 0.00%), (DHR, 2,069, 0.25%, 0.00%), (MO, 6,446, 0.25%, 0.00%), (LOW, 1,665, 0.24%, 0.00%), (ELV, 1,189, 0.20%, 0.00%), (CMCSA, 10,576, 0.20%, 0.00%), (MDLZ, 5,086, 0.19%, 0.00%), (INTC, 15,702, 0.19%, 0.00%), (BMY, 6,529, 0.18%, 0.00%), (UPS, 3,257, 0.17%, 0.00%), (PYPL, 3,844, 0.16%, 0.00%), (CL, 2,829, 0.14%, 0.00%), (FDX, 1,001, 0.13%, 0.00%), (USB, 4,931, 0.13%, 0.00%), (TGT, 1,369, 0.09%, 0.00%), (SC26771B, nan, nan%, 0.00%), (SC26773B, nan, nan%, 0.00%), (SP26772B, nan, nan%, 0.00%), (SP26774B, nan, nan%, 0.00%), (SP26775T, nan, nan%, 0.00%), (XP26775T, nan, nan%, 0.00%)</t>
  </si>
  <si>
    <t>(AVGO, 14,778, 3.24%, 0.00%), (META, 5,250, 2.90%, 0.00%), (BRK/B, 6,108, 2.07%, 0.00%), (GOOGL, 14,071, 2.01%, 0.00%), (CSCO, 37,085, 1.88%, 0.00%), (LIN, 5,247, 1.81%, 0.00%), (GOOG, 11,461, 1.64%, 0.00%), (AMT, 10,644, 1.64%, 0.00%), (TSLA, 7,025, 1.64%, 0.00%), (JPM, 7,734, 1.62%, 0.00%), (XOM, 18,720, 1.45%, 0.00%), (V, 5,758, 1.40%, 0.00%), (CB, 5,874, 1.16%, 0.00%), (WM, 6,580, 1.12%, 0.00%), (MA, 2,731, 1.12%, 0.00%), (GE, 5,477, 1.09%, 0.00%), (LLY, 2,205, 1.04%, 0.00%), (ORCL, 5,510, 1.00%, 0.00%), (PLTR, 7,028, 0.90%, 0.00%), (NEE, 16,903, 0.90%, 0.00%), (NFLX, 1,029, 0.89%, 0.00%), (JNJ, 6,736, 0.84%, 0.00%), (WMT, 11,214, 0.84%, 0.00%), (COST, 1,145, 0.81%, 0.00%), (CVX, 7,119, 0.80%, 0.00%), (PG, 7,088, 0.79%, 0.00%), (RTX, 6,736, 0.77%, 0.00%), (MCD, 3,349, 0.75%, 0.00%), (CAT, 2,443, 0.75%, 0.00%), (ABT, 7,728, 0.74%, 0.00%), (UNH, 4,100, 0.73%, 0.00%), (ABBV, 4,944, 0.72%, 0.00%), (HD, 2,534, 0.71%, 0.00%), (KO, 12,816, 0.66%, 0.00%), (AMD, 5,135, 0.65%, 0.00%), (PM, 5,140, 0.63%, 0.00%), (SO, 9,006, 0.63%, 0.00%), (BA, 3,783, 0.63%, 0.00%), (BKNG, 155, 0.62%, 0.00%), (BAC, 18,338, 0.60%, 0.00%), (NKE, 10,949, 0.59%, 0.00%), (DUK, 6,350, 0.59%, 0.00%), (IBM, 3,170, 0.58%, 0.00%), (CRM, 3,278, 0.58%, 0.00%), (UBER, 8,149, 0.55%, 0.00%), (GS, 1,046, 0.55%, 0.00%), (ISRG, 1,587, 0.55%, 0.00%), (INTU, 961, 0.54%, 0.00%), (ETN, 2,000, 0.53%, 0.00%), (HON, 3,291, 0.52%, 0.00%), (WFC, 9,146, 0.52%, 0.00%), (MET, 9,114, 0.49%, 0.00%), (DE, 1,288, 0.48%, 0.00%), (PEP, 4,535, 0.48%, 0.00%), (NOW, 706, 0.45%, 0.00%), (T, 21,824, 0.45%, 0.00%), (SPGI, 1,058, 0.43%, 0.00%), (MS, 4,133, 0.43%, 0.00%), (MRK, 7,078, 0.42%, 0.00%), (VZ, 12,804, 0.40%, 0.00%), (AXP, 1,854, 0.40%, 0.00%), (BLK, 485, 0.39%, 0.00%), (TXN, 2,886, 0.39%, 0.00%), (UNP, 2,346, 0.38%, 0.00%), (MDT, 5,714, 0.38%, 0.00%), (ACN, 2,142, 0.38%, 0.00%), (QCOM, 3,515, 0.38%, 0.00%), (ADBE, 1,509, 0.37%, 0.00%), (COP, 5,510, 0.37%, 0.00%), (DIS, 4,361, 0.36%, 0.00%), (TMO, 1,070, 0.36%, 0.00%), (SBUX, 5,298, 0.35%, 0.00%), (SCHW, 4,981, 0.35%, 0.00%), (AMAT, 2,609, 0.35%, 0.00%), (C, 5,195, 0.35%, 0.00%), (LMT, 1,068, 0.33%, 0.00%), (AMGN, 1,504, 0.31%, 0.00%), (MMM, 2,756, 0.30%, 0.00%), (EMR, 2,886, 0.28%, 0.00%), (GILD, 3,487, 0.28%, 0.00%), (PFE, 15,856, 0.28%, 0.00%), (TJX, 2,878, 0.28%, 0.00%), (CVS, 5,607, 0.26%, 0.00%), (DHR, 1,799, 0.26%, 0.00%), (MO, 5,602, 0.26%, 0.00%), (LOW, 1,447, 0.25%, 0.00%), (ELV, 1,033, 0.21%, 0.00%), (CMCSA, 9,192, 0.21%, 0.00%), (MDLZ, 4,420, 0.20%, 0.00%), (INTC, 13,647,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t>
  </si>
  <si>
    <t>(AVGO, 11,002, 3.23%, 0.00%), (META, 3,908, 2.90%, 0.00%), (BRK/B, 4,547, 2.06%, 0.00%), (GOOGL, 10,475, 2.00%, 0.00%), (CSCO, 27,607, 1.88%, 0.00%), (LIN, 3,906, 1.80%, 0.00%), (GOOG, 8,532, 1.64%, 0.00%), (TSLA, 5,230, 1.63%, 0.00%), (AMT, 7,924, 1.63%, 0.00%), (JPM, 5,757, 1.62%, 0.00%), (XOM, 13,936, 1.45%, 0.00%), (V, 4,287, 1.39%, 0.00%), (CB, 4,373, 1.16%, 0.00%), (WM, 4,899, 1.12%, 0.00%), (MA, 2,033, 1.11%, 0.00%), (GE, 4,078, 1.09%, 0.00%), (LLY, 1,641, 1.03%, 0.00%), (ORCL, 4,102, 0.99%, 0.00%), (PLTR, 5,232, 0.90%, 0.00%), (NEE, 12,583, 0.89%, 0.00%), (NFLX, 766, 0.88%, 0.00%), (JNJ, 5,015, 0.84%, 0.00%), (WMT, 8,348, 0.84%, 0.00%), (COST, 852, 0.81%, 0.00%), (CVX, 5,299, 0.79%, 0.00%), (PG, 5,277, 0.79%, 0.00%), (RTX, 5,015, 0.77%, 0.00%), (MCD, 2,493, 0.75%, 0.00%), (CAT, 1,819, 0.74%, 0.00%), (ABT, 5,753, 0.74%, 0.00%), (UNH, 3,052, 0.73%, 0.00%), (ABBV, 3,681, 0.72%, 0.00%), (HD, 1,887, 0.71%, 0.00%), (KO, 9,541, 0.66%, 0.00%), (AMD, 3,823, 0.64%, 0.00%), (PM, 3,826, 0.63%, 0.00%), (SO, 6,705, 0.63%, 0.00%), (BA, 2,817, 0.62%, 0.00%), (BKNG, 115, 0.61%, 0.00%), (BAC, 13,651, 0.60%, 0.00%), (NKE, 8,151, 0.59%, 0.00%), (DUK, 4,727, 0.58%, 0.00%), (IBM, 2,360, 0.58%, 0.00%), (CRM, 2,440, 0.58%, 0.00%), (UBER, 6,066, 0.55%, 0.00%), (GS, 779, 0.55%, 0.00%), (ISRG, 1,181, 0.54%, 0.00%), (INTU, 715, 0.53%, 0.00%), (ETN, 1,489, 0.53%, 0.00%), (HON, 2,450, 0.52%, 0.00%), (WFC, 6,809, 0.51%, 0.00%), (MET, 6,785, 0.49%, 0.00%), (DE, 959, 0.48%, 0.00%), (PEP, 3,376, 0.47%, 0.00%), (NOW, 526, 0.45%, 0.00%), (T, 16,247, 0.45%, 0.00%), (SPGI, 788, 0.43%, 0.00%), (MS, 3,077, 0.42%, 0.00%), (MRK, 5,269, 0.41%, 0.00%), (VZ, 9,532, 0.40%, 0.00%), (AXP, 1,380, 0.40%, 0.00%), (BLK, 361, 0.39%, 0.00%), (TXN, 2,149, 0.39%, 0.00%), (UNP, 1,747, 0.38%, 0.00%), (MDT, 4,254, 0.38%, 0.00%), (ACN, 1,595, 0.38%, 0.00%), (QCOM, 2,617, 0.37%, 0.00%), (ADBE, 1,123, 0.37%, 0.00%), (COP, 4,102, 0.37%, 0.00%), (DIS, 3,247, 0.36%, 0.00%), (TMO, 797, 0.36%, 0.00%), (SBUX, 3,944, 0.35%, 0.00%), (SCHW, 3,708, 0.35%, 0.00%), (AMAT, 1,942, 0.35%, 0.00%), (C, 3,868, 0.35%, 0.00%), (LMT, 795, 0.33%, 0.00%), (AMGN, 1,120, 0.31%, 0.00%), (MMM, 2,052, 0.30%, 0.00%), (GILD, 2,596, 0.28%, 0.00%), (EMR, 2,148, 0.28%, 0.00%), (PFE, 11,804, 0.28%, 0.00%), (TJX, 2,142, 0.27%, 0.00%), (CVS, 4,174, 0.26%, 0.00%), (DHR, 1,339, 0.26%, 0.00%), (MO, 4,171, 0.26%, 0.00%), (LOW, 1,077, 0.25%, 0.00%), (ELV, 769, 0.21%, 0.00%), (CMCSA, 6,843, 0.21%, 0.00%), (MDLZ, 3,291, 0.20%, 0.00%), (INTC, 10,159, 0.20%, 0.00%), (BMY, 4,225, 0.19%,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t>
  </si>
  <si>
    <t>(AVGO, 4,149, 3.08%, 0.00%), (META, 1,474, 2.76%, 0.00%), (BRK/B, 1,715, 1.96%, 0.00%), (GOOGL, 3,950, 1.91%, 0.00%), (CSCO, 10,411, 1.79%, 0.00%), (LIN, 1,473, 1.71%, 0.00%), (GOOG, 3,218, 1.56%, 0.00%), (TSLA, 1,972, 1.56%, 0.00%), (AMT, 2,988, 1.55%, 0.00%), (JPM, 2,171, 1.54%, 0.00%), (XOM, 5,256, 1.38%, 0.00%), (V, 1,617, 1.33%, 0.00%), (CB, 1,649, 1.10%, 0.00%), (WM, 1,847, 1.07%, 0.00%), (MA, 767, 1.06%, 0.00%), (GE, 1,538, 1.03%, 0.00%), (LLY, 619, 0.98%, 0.00%), (ORCL, 1,547, 0.95%, 0.00%), (PLTR, 1,973, 0.86%, 0.00%), (NEE, 4,745, 0.85%, 0.00%), (NFLX, 289, 0.84%, 0.00%), (JNJ, 1,891, 0.80%, 0.00%), (WMT, 3,148, 0.80%, 0.00%), (COST, 321, 0.77%, 0.00%), (CVX, 1,999, 0.76%, 0.00%), (PG, 1,990, 0.75%, 0.00%), (RTX, 1,891, 0.73%, 0.00%), (MCD, 940, 0.71%, 0.00%), (CAT, 686, 0.71%, 0.00%), (ABT, 2,170, 0.71%, 0.00%), (UNH, 1,151, 0.69%, 0.00%), (ABBV, 1,388, 0.68%, 0.00%), (HD, 711, 0.68%, 0.00%), (KO, 3,598, 0.63%, 0.00%), (AMD, 1,442, 0.61%, 0.00%), (PM, 1,443, 0.60%, 0.00%), (SO, 2,528, 0.60%, 0.00%), (BA, 1,062, 0.60%, 0.00%), (BKNG, 43, 0.58%, 0.00%), (BAC, 5,148, 0.57%, 0.00%), (NKE, 3,074, 0.56%, 0.00%), (DUK, 1,783, 0.56%, 0.00%), (IBM, 890, 0.55%, 0.00%), (CRM, 920, 0.55%, 0.00%), (UBER, 2,288, 0.52%, 0.00%), (ISRG, 446, 0.52%, 0.00%), (GS, 294, 0.52%, 0.00%), (INTU, 270, 0.51%, 0.00%), (ETN, 562, 0.50%, 0.00%), (HON, 924, 0.49%, 0.00%), (WFC, 2,568, 0.49%, 0.00%), (MET, 2,559, 0.47%, 0.00%), (DE, 362, 0.45%, 0.00%), (PEP, 1,273, 0.45%, 0.00%), (NOW, 198, 0.43%, 0.00%), (T, 6,127, 0.43%, 0.00%), (SPGI, 297, 0.41%, 0.00%), (MS, 1,160, 0.40%, 0.00%), (MRK, 1,987, 0.40%, 0.00%), (VZ, 3,595, 0.38%, 0.00%), (AXP, 521, 0.38%, 0.00%), (BLK, 136, 0.37%, 0.00%), (TXN, 810, 0.37%, 0.00%), (UNP, 659, 0.36%, 0.00%), (MDT, 1,604, 0.36%, 0.00%), (ACN, 601, 0.36%, 0.00%), (QCOM, 987, 0.36%, 0.00%), (ADBE, 424, 0.35%, 0.00%), (COP, 1,547, 0.35%, 0.00%), (DIS, 1,224, 0.34%, 0.00%), (TMO, 300, 0.34%, 0.00%), (SBUX, 1,487, 0.33%, 0.00%), (SCHW, 1,398, 0.33%, 0.00%), (AMAT, 732, 0.33%, 0.00%), (C, 1,459, 0.33%, 0.00%), (LMT, 300, 0.32%, 0.00%), (AMGN, 422, 0.30%, 0.00%), (MMM, 774, 0.29%, 0.00%), (GILD, 979, 0.27%, 0.00%), (EMR, 810, 0.27%, 0.00%), (PFE, 4,451, 0.27%, 0.00%), (TJX, 808, 0.26%, 0.00%), (CVS, 1,574, 0.25%, 0.00%), (DHR, 505, 0.25%, 0.00%), (MO, 1,573, 0.25%, 0.00%), (LOW, 406, 0.24%, 0.00%), (ELV, 290, 0.20%, 0.00%), (CMCSA, 2,581, 0.20%, 0.00%), (MDLZ, 1,241, 0.19%, 0.00%), (INTC, 3,831,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t>
  </si>
  <si>
    <t>(AVGO, 4,510, 3.12%, 0.00%), (META, 1,602, 2.80%, 0.00%), (BRK/B, 1,864, 1.99%, 0.00%), (GOOGL, 4,294, 1.94%, 0.00%), (CSCO, 11,317, 1.81%, 0.00%), (LIN, 1,601, 1.74%, 0.00%), (GOOG, 3,498, 1.58%, 0.00%), (TSLA, 2,144, 1.58%, 0.00%), (AMT, 3,248, 1.57%, 0.00%), (JPM, 2,360, 1.56%, 0.00%), (XOM, 5,713, 1.40%, 0.00%), (V, 1,757, 1.35%, 0.00%), (CB, 1,793, 1.11%, 0.00%), (WM, 2,008, 1.08%, 0.00%), (MA, 834, 1.07%, 0.00%), (GE, 1,672, 1.05%, 0.00%), (LLY, 673, 1.00%, 0.00%), (ORCL, 1,682, 0.96%, 0.00%), (PLTR, 2,145, 0.88%, 0.00%), (NEE, 5,158, 0.86%, 0.00%), (NFLX, 314, 0.85%, 0.00%), (JNJ, 2,056, 0.81%, 0.00%), (WMT, 3,422, 0.81%, 0.00%), (COST, 349, 0.78%, 0.00%), (CVX, 2,172, 0.77%, 0.00%), (PG, 2,163, 0.76%, 0.00%), (RTX, 2,056, 0.74%, 0.00%), (MCD, 1,022, 0.72%, 0.00%), (CAT, 746, 0.72%, 0.00%), (ABT, 2,358, 0.71%, 0.00%), (UNH, 1,251, 0.70%, 0.00%), (ABBV, 1,509, 0.69%, 0.00%), (HD, 773, 0.68%, 0.00%), (KO, 3,911, 0.63%, 0.00%), (AMD, 1,567, 0.62%, 0.00%), (PM, 1,568, 0.61%, 0.00%), (SO, 2,748, 0.60%, 0.00%), (BA, 1,155, 0.60%, 0.00%), (BKNG, 47, 0.59%, 0.00%), (BAC, 5,596, 0.58%, 0.00%), (NKE, 3,341, 0.57%, 0.00%), (DUK, 1,938, 0.56%, 0.00%), (IBM, 967, 0.56%, 0.00%), (CRM, 1,000, 0.56%, 0.00%), (UBER, 2,487, 0.53%, 0.00%), (GS, 319, 0.52%, 0.00%), (ISRG, 484, 0.52%, 0.00%), (INTU, 293, 0.51%, 0.00%), (ETN, 610, 0.51%, 0.00%), (HON, 1,004, 0.50%, 0.00%), (WFC, 2,791, 0.50%, 0.00%), (MET, 2,781, 0.47%, 0.00%), (DE, 393, 0.46%, 0.00%), (PEP, 1,384, 0.46%, 0.00%), (NOW, 216, 0.44%, 0.00%), (T, 6,660, 0.43%, 0.00%), (SPGI, 323, 0.41%, 0.00%), (MS, 1,261, 0.41%, 0.00%), (MRK, 2,160, 0.40%, 0.00%), (VZ, 3,907, 0.39%, 0.00%), (AXP, 566, 0.38%, 0.00%), (BLK, 148, 0.38%, 0.00%), (TXN, 881, 0.37%, 0.00%), (UNP, 716, 0.37%, 0.00%), (MDT, 1,744, 0.37%, 0.00%), (ACN, 654, 0.36%, 0.00%), (QCOM, 1,073, 0.36%, 0.00%), (ADBE, 461, 0.36%, 0.00%), (COP, 1,681, 0.36%, 0.00%), (DIS, 1,331, 0.35%, 0.00%), (TMO, 327, 0.34%, 0.00%), (SBUX, 1,617, 0.34%, 0.00%), (SCHW, 1,520, 0.34%, 0.00%), (AMAT, 796, 0.33%, 0.00%), (C, 1,585, 0.33%, 0.00%), (LMT, 326, 0.32%, 0.00%), (AMGN, 459, 0.30%, 0.00%), (MMM, 841, 0.29%, 0.00%), (GILD, 1,064, 0.27%, 0.00%), (EMR, 881, 0.27%, 0.00%), (PFE, 4,839, 0.27%, 0.00%), (TJX, 878, 0.26%, 0.00%), (CVS, 1,711, 0.25%, 0.00%), (DHR, 549, 0.25%, 0.00%), (MO, 1,710, 0.25%, 0.00%), (LOW, 442, 0.24%, 0.00%), (ELV, 315, 0.21%, 0.00%), (CMCSA, 2,805, 0.21%, 0.00%), (MDLZ, 1,349, 0.19%, 0.00%), (INTC, 4,165,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t>
  </si>
  <si>
    <t>(AVGO, 8,486, 3.24%, 0.00%), (META, 3,014, 2.90%, 0.00%), (BRK/B, 3,507, 2.06%, 0.00%), (GOOGL, 8,079, 2.01%, 0.00%), (CSCO, 21,294, 1.88%, 0.00%), (LIN, 3,013, 1.80%, 0.00%), (GOOG, 6,581, 1.64%, 0.00%), (TSLA, 4,034, 1.64%, 0.00%), (AMT, 6,112, 1.63%, 0.00%), (JPM, 4,441, 1.62%, 0.00%), (XOM, 10,749, 1.45%, 0.00%), (V, 3,306, 1.39%, 0.00%), (CB, 3,373, 1.15%, 0.00%), (WM, 3,778, 1.12%, 0.00%), (MA, 1,568, 1.11%, 0.00%), (GE, 3,145, 1.09%, 0.00%), (LLY, 1,266, 1.03%, 0.00%), (ORCL, 3,164, 1.00%, 0.00%), (PLTR, 4,035, 0.91%, 0.00%), (NEE, 9,706, 0.89%, 0.00%), (NFLX, 591, 0.88%, 0.00%), (JNJ, 3,868, 0.84%, 0.00%), (WMT, 6,439, 0.84%, 0.00%), (COST, 657, 0.81%, 0.00%), (CVX, 4,087, 0.79%, 0.00%), (PG, 4,070, 0.79%, 0.00%), (RTX, 3,868, 0.77%, 0.00%), (MCD, 1,923, 0.75%, 0.00%), (CAT, 1,403, 0.74%, 0.00%), (ABT, 4,437, 0.74%, 0.00%), (UNH, 2,354, 0.73%, 0.00%), (ABBV, 2,839, 0.72%, 0.00%), (HD, 1,455, 0.71%, 0.00%), (KO, 7,359, 0.66%, 0.00%), (AMD, 2,948, 0.64%, 0.00%), (PM, 2,951, 0.63%, 0.00%), (SO, 5,171, 0.63%, 0.00%), (BA, 2,172, 0.63%, 0.00%), (BKNG, 89, 0.61%, 0.00%), (BAC, 10,529, 0.60%, 0.00%), (NKE, 6,287, 0.59%, 0.00%), (DUK, 3,646, 0.58%, 0.00%), (IBM, 1,820, 0.58%, 0.00%), (CRM, 1,882, 0.58%, 0.00%), (UBER, 4,679, 0.55%, 0.00%), (GS, 601, 0.55%, 0.00%), (ISRG, 911, 0.54%, 0.00%), (INTU, 552, 0.53%, 0.00%), (ETN, 1,148, 0.53%, 0.00%), (HON, 1,890, 0.52%, 0.00%), (WFC, 5,252, 0.51%, 0.00%), (MET, 5,233, 0.49%, 0.00%), (DE, 739, 0.48%, 0.00%), (PEP, 2,604, 0.47%, 0.00%), (NOW, 406, 0.45%, 0.00%), (T, 12,531, 0.45%, 0.00%), (SPGI, 607, 0.43%, 0.00%), (MS, 2,373, 0.42%, 0.00%), (MRK, 4,064, 0.41%, 0.00%), (VZ, 7,352, 0.40%, 0.00%), (AXP, 1,065, 0.40%, 0.00%), (BLK, 279, 0.39%, 0.00%), (TXN, 1,657, 0.39%, 0.00%), (UNP, 1,347, 0.38%, 0.00%), (MDT, 3,281, 0.38%, 0.00%), (ACN, 1,230, 0.38%, 0.00%), (QCOM, 2,018, 0.37%, 0.00%), (ADBE, 867, 0.37%, 0.00%), (COP, 3,164, 0.37%, 0.00%), (DIS, 2,504, 0.36%, 0.00%), (TMO, 615, 0.36%, 0.00%), (SBUX, 3,042, 0.35%, 0.00%), (SCHW, 2,860, 0.35%, 0.00%), (AMAT, 1,498, 0.35%, 0.00%), (C, 2,983, 0.35%, 0.00%), (LMT, 613, 0.33%, 0.00%), (AMGN, 864, 0.31%, 0.00%), (MMM, 1,582, 0.30%, 0.00%), (GILD, 2,002, 0.28%, 0.00%), (EMR, 1,657, 0.28%, 0.00%), (PFE, 9,104, 0.28%, 0.00%), (TJX, 1,652, 0.27%, 0.00%), (CVS, 3,219, 0.26%, 0.00%), (DHR, 1,033, 0.26%, 0.00%), (MO, 3,217, 0.26%, 0.00%), (LOW, 831, 0.25%, 0.00%), (ELV, 593, 0.21%, 0.00%), (CMCSA, 5,278, 0.21%, 0.00%), (MDLZ, 2,538, 0.20%, 0.00%), (INTC, 7,836, 0.20%, 0.00%), (BMY, 3,258, 0.19%,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t>
  </si>
  <si>
    <t>EBAY, META, BK, MSFT, GOOGL, EA, JPM, BLK, MLI, RJF, BKNG</t>
  </si>
  <si>
    <t>(AMAT, 5,573, 1.93%, 0.00%), (HIG, 7,789, 1.83%, 0.00%), (EWBC, 10,055, 1.83%, 0.01%), (PHM, 8,254, 1.82%, 0.00%), (NVDA, 5,435, 1.81%, 0.00%), (TRV, 3,701, 1.79%, 0.00%), (V, 2,909, 1.79%, 0.00%), (AXP, 3,281, 1.78%, 0.00%), (KLAC, 1,029, 1.75%, 0.00%), (ADP, 3,108, 1.74%, 0.00%), (ROST, 6,480, 1.72%, 0.00%), (SNA, 2,900, 1.70%, 0.01%), (UNM, 13,085, 1.67%, 0.01%), (PCAR, 9,199, 1.64%, 0.00%), (CB, 3,282, 1.63%, 0.00%), (SYF, 12,147, 1.54%, 0.00%), (LEN, 6,867, 1.52%, 0.00%), (CTSH, 11,756, 1.51%, 0.00%), (WSM, 4,113, 1.50%, 0.00%), (PAYC, 3,559, 1.49%, 0.01%), (CRM, 3,332, 1.47%, 0.00%), (BKR, 17,301, 1.36%, 0.00%), (DHI, 4,563, 1.29%, 0.00%), (QCOM, 4,692, 1.29%, 0.00%), (AAPL, 3,029, 1.25%, 0.00%), (AFL, 6,426, 1.22%, 0.00%), (ACN, 2,772, 1.22%, 0.00%), (ELV, 2,228, 1.21%, 0.00%), (CSCO, 8,704, 1.14%, 0.00%), (LRCX, 5,993, 1.13%, 0.00%), (MPWR, 742, 1.10%, 0.00%), (ODFL, 3,986, 1.06%, 0.00%), (GE, 2,100, 1.05%, 0.00%), (STT, 4,824, 0.98%, 0.00%), (PNC, 2,583, 0.90%, 0.00%), (MTB, 2,567, 0.88%, 0.00%), (AMP, 940, 0.87%, 0.00%), (COST, 483, 0.87%, 0.00%), (ABT, 3,473, 0.85%, 0.00%), (CF, 5,513, 0.84%, 0.00%), (XOM, 4,038, 0.79%, 0.00%), (EOG, 3,633, 0.78%, 0.00%), (EG, 1,222, 0.74%, 0.00%), (CSL, 1,082, 0.72%, 0.00%), (GEV, 492, 0.58%, 0.00%), (NTRS, 2,239, 0.51%, 0.00%), (MA, 467, 0.49%, 0.00%), (JNJ, 1,499, 0.48%, 0.00%), (CRBG, 7,693, 0.47%, 0.00%), (ACM, 2,118, 0.46%, 0.00%), (MTG, 8,798, 0.44%, 0.00%), (CINF, 1,557, 0.43%, 0.00%), (LNC, 6,124, 0.43%, 0.00%), (JXN, 2,528, 0.42%, 0.00%), (SLM, 7,189, 0.42%, 0.00%), (ALL, 1,109, 0.42%, 0.00%), (EQH, 4,341, 0.42%, 0.00%), (DOV, 1,309, 0.42%, 0.00%), (WTFC, 1,804, 0.41%, 0.00%), (MCK, 323, 0.40%, 0.00%), (ADM, 3,729, 0.40%, 0.00%), (NUE, 1,497, 0.38%, 0.00%), (NKE, 2,729, 0.37%, 0.00%), (PGR, 817, 0.37%, 0.00%), (FANG, 1,166, 0.30%, 0.00%), (SC13N61B, nan, nan%, 0.00%), (SC13N63B, nan, nan%, 0.00%), (SP13N62B, nan, nan%, 0.00%), (SP13N65B, nan, nan%, 0.00%), (SP13N64B, nan, nan%, 0.00%), (SPX Index, nan, nan%, 0.00%), (XP13N65B, nan, nan%, 0.00%)</t>
  </si>
  <si>
    <t>(AVGO, 3,881, 3.41%, 0.00%), (META, 1,379, 3.06%, 0.00%), (BRK/B, 1,604, 2.16%, 0.00%), (GOOGL, 3,695, 2.13%, 0.00%), (CSCO, 9,739, 1.99%, 0.00%), (LIN, 1,378, 1.87%, 0.00%), (TSLA, 1,845, 1.79%, 0.00%), (GOOG, 3,010, 1.74%, 0.00%), (JPM, 2,031, 1.69%, 0.00%), (AMT, 2,795, 1.66%, 0.00%), (XOM, 4,916, 1.51%, 0.00%), (V, 1,512, 1.46%, 0.00%), (CB, 1,543, 1.21%, 0.00%), (MA, 717, 1.19%, 0.00%), (WM, 1,728, 1.17%, 0.00%), (GE, 1,438, 1.14%, 0.00%), (LLY, 579, 1.05%, 0.00%), (ORCL, 1,447, 1.05%, 0.00%), (PLTR, 1,846, 0.98%, 0.00%), (NFLX, 270, 0.94%, 0.00%), (NEE, 4,439, 0.92%, 0.00%), (JNJ, 1,769, 0.89%, 0.00%), (WMT, 2,945, 0.88%, 0.00%), (COST, 301, 0.85%, 0.00%), (CVX, 1,870, 0.83%, 0.00%), (PG, 1,861, 0.82%, 0.00%), (UNH, 1,077, 0.79%, 0.00%), (RTX, 1,769, 0.79%, 0.00%), (ABT, 2,029, 0.78%, 0.00%), (MCD, 880, 0.77%, 0.00%), (CAT, 642, 0.77%, 0.00%), (HD, 666, 0.75%, 0.00%), (ABBV, 1,299, 0.74%, 0.00%), (KO, 3,366, 0.68%, 0.00%), (AMD, 1,349, 0.67%, 0.00%), (PM, 1,350, 0.66%, 0.00%), (BA, 994, 0.65%, 0.00%), (SO, 2,365, 0.64%, 0.00%), (BAC, 4,816, 0.64%, 0.00%), (BKNG, 41, 0.64%, 0.00%), (NKE, 2,875, 0.61%, 0.00%), (DUK, 1,668, 0.60%, 0.00%), (CRM, 861, 0.60%, 0.00%), (IBM, 833, 0.58%, 0.00%), (GS, 275, 0.57%, 0.00%), (ISRG, 417, 0.56%, 0.00%), (UBER, 2,140, 0.55%, 0.00%), (ETN, 525, 0.55%, 0.00%), (INTU, 252, 0.54%, 0.00%), (HON, 864, 0.54%, 0.00%), (WFC, 2,402, 0.54%, 0.00%), (MET, 2,394, 0.53%, 0.00%), (PEP, 1,191, 0.50%, 0.00%), (DE, 338, 0.50%, 0.00%), (T, 5,731, 0.46%, 0.00%), (NOW, 185, 0.46%, 0.00%), (MS, 1,086, 0.45%, 0.00%), (SPGI, 278, 0.45%, 0.00%), (MRK, 1,859, 0.43%, 0.00%), (VZ, 3,363, 0.42%, 0.00%), (AXP, 487, 0.42%, 0.00%), (BLK, 127, 0.41%, 0.00%), (TXN, 758, 0.41%, 0.00%), (MDT, 1,501, 0.40%, 0.00%), (QCOM, 923, 0.40%, 0.00%), (COP, 1,447, 0.39%, 0.00%), (UNP, 616, 0.39%, 0.00%), (ACN, 563, 0.39%, 0.00%), (ADBE, 396, 0.39%, 0.00%), (TMO, 281, 0.38%, 0.00%), (DIS, 1,145, 0.37%, 0.00%), (AMAT, 685, 0.37%, 0.00%), (SBUX, 1,391, 0.37%, 0.00%), (C, 1,364, 0.37%, 0.00%), (SCHW, 1,308, 0.36%, 0.00%), (LMT, 280, 0.34%, 0.00%), (AMGN, 395, 0.33%, 0.00%), (MMM, 724, 0.32%, 0.00%), (GILD, 916, 0.31%, 0.00%), (PFE, 4,164, 0.30%, 0.00%), (EMR, 758, 0.29%, 0.00%), (TJX, 756, 0.29%, 0.00%), (CVS, 1,472, 0.28%, 0.00%), (MO, 1,471, 0.27%, 0.00%), (DHR, 472, 0.27%, 0.00%), (LOW, 380, 0.26%, 0.00%), (ELV, 271, 0.23%, 0.00%), (CMCSA, 2,414, 0.22%, 0.00%), (INTC, 3,584, 0.21%, 0.00%), (MDLZ, 1,161, 0.20%, 0.00%), (BMY, 1,490, 0.20%, 0.00%), (UPS, 743, 0.19%, 0.00%), (PYPL, 877, 0.17%, 0.00%), (CL, 646, 0.16%, 0.00%), (FDX, 228, 0.15%, 0.00%), (USB, 1,125, 0.15%, 0.00%), (TGT, 313, 0.10%, 0.00%), (SC31761B, nan, nan%, 0.00%), (SC31763B, nan, nan%, 0.00%), (SP31762B, nan, nan%, 0.00%), (SP31765B, nan, nan%, 0.00%), (SP31764B, nan, nan%, 0.00%), (XP31765B, nan, nan%, 0.00%)</t>
  </si>
  <si>
    <t>(AVGO, 2,553, 3.29%, 0.00%), (META, 907, 2.95%, 0.00%), (BRK/B, 1,055, 2.08%, 0.00%), (GOOGL, 2,431, 2.05%, 0.00%), (CSCO, 6,406, 1.92%, 0.00%), (LIN, 906, 1.80%, 0.00%), (TSLA, 1,213, 1.72%, 0.00%), (GOOG, 1,980, 1.67%, 0.00%), (JPM, 1,336, 1.63%, 0.00%), (AMT, 1,839, 1.60%, 0.00%), (XOM, 3,234, 1.46%, 0.00%), (V, 995, 1.41%, 0.00%), (CB, 1,015, 1.16%, 0.00%), (MA, 472, 1.15%, 0.00%), (WM, 1,137, 1.13%, 0.00%), (GE, 946, 1.09%, 0.00%), (LLY, 381, 1.02%, 0.00%), (ORCL, 952, 1.01%, 0.00%), (PLTR, 1,214, 0.95%, 0.00%), (NFLX, 178, 0.90%, 0.00%), (NEE, 2,920, 0.89%, 0.00%), (JNJ, 1,164, 0.85%, 0.00%), (WMT, 1,937, 0.85%, 0.00%), (COST, 198, 0.82%, 0.00%), (CVX, 1,230, 0.80%, 0.00%), (PG, 1,224, 0.79%, 0.00%), (UNH, 708, 0.76%, 0.00%), (RTX, 1,164, 0.76%, 0.00%), (ABT, 1,335, 0.75%, 0.00%), (MCD, 579, 0.74%, 0.00%), (CAT, 422, 0.74%, 0.00%), (HD, 438, 0.72%, 0.00%), (ABBV, 854, 0.72%, 0.00%), (KO, 2,214, 0.66%, 0.00%), (AMD, 887, 0.64%, 0.00%), (PM, 888, 0.64%, 0.00%), (BA, 654, 0.63%, 0.00%), (SO, 1,556, 0.62%, 0.00%), (BAC, 3,168, 0.62%, 0.00%), (BKNG, 27, 0.62%, 0.00%), (NKE, 1,891, 0.59%, 0.00%), (DUK, 1,097, 0.58%, 0.00%), (CRM, 566, 0.57%, 0.00%), (IBM, 548, 0.56%, 0.00%), (GS, 181, 0.55%, 0.00%), (ISRG, 274, 0.54%, 0.00%), (UBER, 1,408, 0.53%, 0.00%), (ETN, 345, 0.53%, 0.00%), (INTU, 166, 0.52%, 0.00%), (HON, 568, 0.52%, 0.00%), (WFC, 1,580, 0.52%, 0.00%), (MET, 1,574, 0.51%, 0.00%), (PEP, 783, 0.48%, 0.00%), (DE, 222, 0.48%, 0.00%), (NOW, 122, 0.45%, 0.00%), (T, 3,770, 0.45%, 0.00%), (MS, 714, 0.43%, 0.00%), (SPGI, 183, 0.43%, 0.00%), (MRK, 1,223, 0.42%, 0.00%), (VZ, 2,212, 0.40%, 0.00%), (AXP, 320, 0.40%, 0.00%), (BLK, 84, 0.40%, 0.00%), (TXN, 499, 0.40%, 0.00%), (MDT, 987, 0.39%, 0.00%), (QCOM, 607, 0.38%, 0.00%), (UNP, 405, 0.38%, 0.00%), (COP, 952, 0.38%, 0.00%), (ACN, 370, 0.37%, 0.00%), (ADBE, 261, 0.37%, 0.00%), (TMO, 185, 0.36%, 0.00%), (DIS, 753, 0.36%, 0.00%), (AMAT, 451, 0.36%, 0.00%), (SBUX, 915, 0.35%, 0.00%), (SCHW, 860, 0.35%, 0.00%), (C, 897, 0.35%, 0.00%), (LMT, 184, 0.33%, 0.00%), (AMGN, 260, 0.32%, 0.00%), (MMM, 476, 0.31%, 0.00%), (GILD, 602, 0.30%, 0.00%), (PFE, 2,739, 0.29%, 0.00%), (EMR, 498, 0.28%, 0.00%), (TJX, 497, 0.28%, 0.00%), (CVS, 969, 0.27%, 0.00%), (MO, 968, 0.26%, 0.00%), (DHR, 311, 0.26%, 0.00%), (LOW, 250, 0.25%, 0.00%), (ELV, 178, 0.22%, 0.00%), (CMCSA, 1,588, 0.21%, 0.00%), (INTC, 2,357, 0.21%, 0.00%), (MDLZ, 764, 0.20%, 0.00%), (BMY, 980, 0.19%,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</si>
  <si>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2.72%, 0.00%), (BRK/B, 1,008, 1.92%, 0.00%), (GOOGL, 2,322, 1.89%, 0.00%), (CSCO, 6,119, 1.77%, 0.00%), (LIN, 866, 1.66%, 0.00%), (TSLA, 1,159, 1.59%, 0.00%), (GOOG, 1,891, 1.54%, 0.00%), (JPM, 1,276, 1.50%, 0.00%), (AMT, 1,756, 1.48%, 0.00%), (XOM, 3,089, 1.34%, 0.00%), (V, 950, 1.30%, 0.00%), (CB, 969, 1.07%, 0.00%), (MA, 451, 1.06%, 0.00%), (WM, 1,086, 1.04%, 0.00%), (GE, 904, 1.01%, 0.00%), (LLY, 364, 0.94%, 0.00%), (ORCL, 909, 0.93%, 0.00%), (PLTR, 1,160, 0.87%, 0.00%), (NFLX, 170, 0.84%, 0.00%), (NEE, 2,789, 0.82%, 0.00%), (JNJ, 1,112, 0.79%, 0.00%), (WMT, 1,850, 0.78%, 0.00%), (COST, 189, 0.76%, 0.00%), (CVX, 1,175, 0.74%, 0.00%), (PG, 1,170, 0.73%, 0.00%), (UNH, 677, 0.70%, 0.00%), (RTX, 1,112, 0.70%, 0.00%), (ABT, 1,275, 0.70%, 0.00%), (MCD, 553, 0.69%, 0.00%), (CAT, 403, 0.68%, 0.00%), (HD, 418, 0.66%, 0.00%), (ABBV, 816, 0.66%, 0.00%), (KO, 2,115, 0.60%, 0.00%), (AMD, 847, 0.59%, 0.00%), (PM, 848, 0.59%, 0.00%), (BA, 624, 0.58%, 0.00%), (SO, 1,486, 0.57%, 0.00%), (BKNG, 26, 0.57%, 0.00%), (BAC, 3,026, 0.57%, 0.00%), (NKE, 1,807, 0.54%, 0.00%), (DUK, 1,048, 0.53%, 0.00%), (CRM, 541, 0.53%, 0.00%), (IBM, 523, 0.51%, 0.00%), (GS, 173, 0.51%, 0.00%), (ISRG, 262, 0.50%, 0.00%), (UBER, 1,345, 0.49%, 0.00%), (ETN, 330, 0.49%, 0.00%), (INTU, 159, 0.48%, 0.00%), (HON, 543, 0.48%, 0.00%), (WFC, 1,509, 0.48%, 0.00%), (MET, 1,504, 0.47%, 0.00%), (PEP, 748, 0.44%, 0.00%), (DE, 212, 0.44%, 0.00%), (NOW, 117, 0.42%, 0.00%), (T, 3,601, 0.41%, 0.00%), (SPGI, 175, 0.40%, 0.00%), (MS, 682, 0.40%, 0.00%), (MRK, 1,168, 0.38%, 0.00%), (VZ, 2,113, 0.37%, 0.00%), (AXP, 306, 0.37%, 0.00%), (BLK, 80, 0.37%, 0.00%), (TXN, 476, 0.36%, 0.00%), (MDT, 943, 0.36%, 0.00%), (QCOM, 580, 0.35%, 0.00%), (COP, 909, 0.35%, 0.00%), (UNP, 387, 0.35%, 0.00%), (ACN, 353, 0.34%, 0.00%), (ADBE, 249, 0.34%, 0.00%), (TMO, 177, 0.34%, 0.00%), (DIS, 720, 0.33%, 0.00%), (AMAT, 430, 0.33%, 0.00%), (SBUX, 874, 0.32%, 0.00%), (SCHW, 822, 0.32%, 0.00%), (C, 857, 0.32%, 0.00%), (LMT, 176, 0.31%, 0.00%), (AMGN, 248, 0.29%, 0.00%), (MMM, 455, 0.28%, 0.00%), (GILD, 575, 0.28%, 0.00%), (PFE, 2,616, 0.26%, 0.00%), (EMR, 476, 0.26%, 0.00%), (TJX, 475, 0.25%, 0.00%), (CVS, 925, 0.25%, 0.00%), (MO, 924, 0.24%, 0.00%), (DHR, 297, 0.24%, 0.00%), (LOW, 239, 0.23%, 0.00%), (ELV, 171, 0.21%, 0.00%), (CMCSA, 1,517, 0.20%, 0.00%), (INTC, 2,252, 0.19%, 0.00%), (MDLZ, 729, 0.18%, 0.00%), (BMY, 936, 0.18%, 0.00%), (UPS, 467, 0.17%, 0.00%), (PYPL, 551, 0.15%, 0.00%), (CL, 406, 0.14%, 0.00%), (FDX, 144, 0.14%,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</si>
  <si>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3.21%, 0.00%), (META, 576, 2.88%, 0.00%), (BRK/B, 670, 2.03%, 0.00%), (GOOGL, 1,543, 2.00%, 0.00%), (CSCO, 4,066, 1.88%, 0.00%), (LIN, 575, 1.75%, 0.00%), (TSLA, 770, 1.68%, 0.00%), (GOOG, 1,257, 1.63%, 0.00%), (JPM, 848, 1.59%, 0.00%), (AMT, 1,167, 1.56%, 0.00%), (XOM, 2,053, 1.42%, 0.00%), (V, 631, 1.37%, 0.00%), (CB, 644, 1.13%, 0.00%), (MA, 299, 1.11%, 0.00%), (WM, 721, 1.10%, 0.00%), (GE, 601, 1.07%, 0.00%), (LLY, 242, 0.99%, 0.00%), (ORCL, 604, 0.99%, 0.00%), (PLTR, 771, 0.92%, 0.00%), (NFLX, 113, 0.89%, 0.00%), (NEE, 1,853, 0.86%, 0.00%), (JNJ, 739, 0.83%, 0.00%), (WMT, 1,230, 0.83%, 0.00%), (COST, 126, 0.80%, 0.00%), (CVX, 781, 0.78%, 0.00%), (PG, 777, 0.77%, 0.00%), (UNH, 450, 0.75%, 0.00%), (RTX, 739, 0.74%, 0.00%), (ABT, 847, 0.74%, 0.00%), (MCD, 367, 0.73%, 0.00%), (CAT, 268, 0.72%, 0.00%), (HD, 278, 0.70%, 0.00%), (ABBV, 542, 0.70%, 0.00%), (KO, 1,405, 0.64%, 0.00%), (AMD, 563, 0.63%, 0.00%), (PM, 564, 0.62%, 0.00%), (BA, 415, 0.61%, 0.00%), (SO, 987, 0.60%, 0.00%), (BAC, 2,011, 0.60%, 0.00%), (BKNG, 17, 0.59%, 0.00%), (NKE, 1,200, 0.57%, 0.00%), (DUK, 696, 0.56%, 0.00%), (CRM, 359, 0.56%, 0.00%), (IBM, 348, 0.54%, 0.00%), (GS, 115, 0.54%, 0.00%), (ISRG, 174, 0.53%, 0.00%), (UBER, 893, 0.52%, 0.00%), (ETN, 219, 0.51%, 0.00%), (INTU, 105, 0.51%, 0.00%), (HON, 361, 0.51%, 0.00%), (WFC, 1,003, 0.50%, 0.00%), (MET, 999, 0.50%, 0.00%), (DE, 141, 0.47%, 0.00%), (PEP, 497, 0.47%, 0.00%), (NOW, 77, 0.44%, 0.00%), (T, 2,393, 0.44%, 0.00%), (SPGI, 116, 0.42%, 0.00%), (MS, 453, 0.42%, 0.00%), (MRK, 776, 0.41%, 0.00%), (VZ, 1,404, 0.39%, 0.00%), (AXP, 203, 0.39%, 0.00%), (BLK, 53, 0.39%, 0.00%), (TXN, 316, 0.38%, 0.00%), (MDT, 627, 0.38%, 0.00%), (QCOM, 385, 0.37%, 0.00%), (COP, 604, 0.37%, 0.00%), (UNP, 257, 0.37%, 0.00%), (ACN, 235, 0.36%, 0.00%), (ADBE, 165, 0.36%, 0.00%), (TMO, 117, 0.35%, 0.00%), (DIS, 478, 0.35%, 0.00%), (AMAT, 286, 0.35%, 0.00%), (SBUX, 581, 0.34%, 0.00%), (C, 570, 0.34%, 0.00%), (SCHW, 546, 0.34%, 0.00%), (LMT, 117, 0.32%, 0.00%), (AMGN, 165, 0.31%, 0.00%), (MMM, 302, 0.30%, 0.00%), (GILD, 382, 0.29%, 0.00%), (PFE, 1,739, 0.28%, 0.00%), (EMR, 316, 0.27%, 0.00%), (TJX, 316, 0.27%, 0.00%), (CVS, 615, 0.26%, 0.00%), (MO, 614, 0.26%, 0.00%), (DHR, 197, 0.26%, 0.00%), (LOW, 159, 0.25%, 0.00%), (ELV, 113, 0.22%, 0.00%), (CMCSA, 1,008, 0.21%, 0.00%), (INTC, 1,496, 0.20%, 0.00%), (MDLZ, 485, 0.19%, 0.00%), (BMY, 622, 0.18%,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</si>
  <si>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2.77%, 0.00%), (BRK/B, 6,969, 1.95%, 0.00%), (GOOGL, 16,055, 1.93%, 0.00%), (CSCO, 42,316, 1.81%, 0.00%), (LIN, 5,987, 1.69%, 0.00%), (TSLA, 8,016, 1.62%, 0.00%), (GOOG, 13,078, 1.57%, 0.00%), (JPM, 8,825, 1.53%, 0.00%), (AMT, 12,146, 1.51%, 0.00%), (XOM, 21,361, 1.37%, 0.00%), (V, 6,570, 1.33%, 0.00%), (CB, 6,703, 1.09%, 0.00%), (MA, 3,117, 1.08%, 0.00%), (WM, 7,508, 1.06%, 0.00%), (GE, 6,250, 1.03%, 0.00%), (LLY, 2,516, 0.95%, 0.00%), (ORCL, 6,287, 0.95%, 0.00%), (PLTR, 8,019, 0.89%, 0.00%), (NFLX, 1,175, 0.85%, 0.00%), (NEE, 19,288, 0.83%, 0.00%), (JNJ, 7,687, 0.80%, 0.00%), (WMT, 12,795, 0.80%, 0.00%), (COST, 1,306, 0.77%, 0.00%), (CVX, 8,123, 0.76%, 0.00%), (PG, 8,088, 0.75%, 0.00%), (UNH, 4,679, 0.72%, 0.00%), (RTX, 7,686, 0.72%, 0.00%), (ABT, 8,818, 0.71%, 0.00%), (MCD, 3,822, 0.70%, 0.00%), (CAT, 2,788, 0.69%, 0.00%), (HD, 2,892, 0.68%, 0.00%), (ABBV, 5,642, 0.67%, 0.00%), (KO, 14,624, 0.62%, 0.00%), (AMD, 5,859, 0.60%, 0.00%), (PM, 5,865, 0.60%, 0.00%), (BA, 4,317, 0.59%, 0.00%), (SO, 10,277, 0.58%, 0.00%), (BAC, 20,924, 0.58%, 0.00%), (BKNG, 177, 0.57%, 0.00%), (NKE, 12,793, 0.57%, 0.00%), (DUK, 7,245, 0.54%, 0.00%), (CRM, 3,740, 0.54%, 0.00%), (IBM, 3,617, 0.52%, 0.00%), (GS, 1,194, 0.52%, 0.00%), (ISRG, 1,811, 0.51%, 0.00%), (UBER, 9,298, 0.50%, 0.00%), (ETN, 2,282, 0.50%, 0.00%), (INTU, 1,097, 0.49%, 0.00%), (HON, 3,755, 0.49%, 0.00%), (WFC, 10,436, 0.48%, 0.00%), (MET, 10,400, 0.48%, 0.00%), (DE, 1,469, 0.45%, 0.00%), (PEP, 5,175, 0.45%, 0.00%), (NOW, 806, 0.42%, 0.00%), (T, 24,902, 0.42%, 0.00%), (MS, 4,716, 0.40%, 0.00%), (SPGI, 1,207, 0.40%, 0.00%), (MRK, 8,076, 0.39%, 0.00%), (VZ, 14,610, 0.38%, 0.00%), (AXP, 2,116, 0.38%, 0.00%), (BLK, 554, 0.37%, 0.00%), (TXN, 3,294, 0.37%, 0.00%), (MDT, 6,520, 0.36%, 0.00%), (QCOM, 4,011, 0.36%, 0.00%), (UNP, 2,677, 0.36%, 0.00%), (COP, 6,287, 0.36%, 0.00%), (ACN, 2,444, 0.35%, 0.00%), (ADBE, 1,722, 0.35%, 0.00%), (TMO, 1,221, 0.34%, 0.00%), (DIS, 4,976, 0.34%, 0.00%), (AMAT, 2,976, 0.33%, 0.00%), (SBUX, 6,045, 0.33%, 0.00%), (SCHW, 5,684, 0.33%, 0.00%), (C, 5,928, 0.33%, 0.00%), (LMT, 1,218, 0.31%, 0.00%), (AMGN, 1,716, 0.30%, 0.00%), (MMM, 3,145, 0.29%, 0.00%), (GILD, 3,979, 0.28%, 0.00%), (PFE, 18,093, 0.27%, 0.00%), (EMR, 3,293, 0.26%, 0.00%), (TJX, 3,283, 0.26%, 0.00%), (CVS, 6,398, 0.25%, 0.00%), (MO, 6,393, 0.25%, 0.00%), (DHR, 2,052, 0.25%, 0.00%), (LOW, 1,652, 0.24%, 0.00%), (ELV, 1,179, 0.21%, 0.00%), (CMCSA, 10,489, 0.20%, 0.00%), (INTC, 15,572, 0.19%, 0.00%), (MDLZ, 5,044, 0.19%, 0.00%), (BMY, 6,475, 0.18%, 0.00%), (UPS, 3,230, 0.17%, 0.00%), (PYPL, 3,812, 0.16%, 0.00%), (CL, 2,806, 0.14%, 0.00%), (FDX, 993, 0.14%, 0.00%), (USB, 4,890, 0.13%, 0.00%), (TGT, 1,358, 0.09%, 0.00%), (SC26771B, nan, nan%, 0.00%), (SC26773B, nan, nan%, 0.00%), (SP26772B, nan, nan%, 0.00%), (SP26774B, nan, nan%, 0.00%), (SP26775T, nan, nan%, 0.00%), (XP26775T, nan, nan%, 0.00%)</t>
  </si>
  <si>
    <t>(AVGO, 14,633, 3.26%, 0.00%), (META, 5,198, 2.93%, 0.00%), (BRK/B, 6,047, 2.06%, 0.00%), (GOOGL, 13,932, 2.03%, 0.00%), (CSCO, 36,719, 1.91%, 0.00%), (LIN, 5,195, 1.79%, 0.00%), (TSLA, 6,956, 1.71%, 0.00%), (GOOG, 11,348, 1.66%, 0.00%), (JPM, 7,658, 1.62%, 0.00%), (AMT, 10,540, 1.59%, 0.00%), (XOM, 18,536, 1.45%, 0.00%), (V, 5,701, 1.40%, 0.00%), (CB, 5,817, 1.15%, 0.00%), (MA, 2,704, 1.14%, 0.00%), (WM, 6,515, 1.12%, 0.00%), (GE, 5,423, 1.09%, 0.00%), (LLY, 2,183, 1.01%, 0.00%), (ORCL, 5,456, 1.00%, 0.00%), (PLTR, 6,958, 0.94%, 0.00%), (NFLX, 1,019, 0.90%, 0.00%), (NEE, 16,737, 0.88%, 0.00%), (JNJ, 6,670, 0.85%, 0.00%), (WMT, 11,103, 0.84%, 0.00%), (COST, 1,133, 0.81%, 0.00%), (CVX, 7,049, 0.80%, 0.00%), (PG, 7,018, 0.79%, 0.00%), (UNH, 4,060, 0.76%, 0.00%), (RTX, 6,670, 0.76%, 0.00%), (ABT, 7,652, 0.75%, 0.00%), (MCD, 3,316, 0.74%, 0.00%), (CAT, 2,419, 0.73%, 0.00%), (HD, 2,509, 0.71%, 0.00%), (ABBV, 4,896, 0.71%, 0.00%), (KO, 12,690, 0.65%, 0.00%), (AMD, 5,084, 0.64%, 0.00%), (PM, 5,089, 0.63%, 0.00%), (BA, 3,746, 0.62%, 0.00%), (SO, 8,918, 0.62%, 0.00%), (BAC, 18,157, 0.61%, 0.00%), (BKNG, 153, 0.60%, 0.00%), (NKE, 10,841, 0.59%, 0.00%), (DUK, 6,287, 0.57%, 0.00%), (CRM, 3,245, 0.57%, 0.00%), (IBM, 3,139, 0.55%, 0.00%), (GS, 1,036, 0.55%, 0.00%), (ISRG, 1,571, 0.54%, 0.00%), (UBER, 8,069, 0.53%, 0.00%), (ETN, 1,980, 0.52%, 0.00%), (INTU, 951, 0.52%, 0.00%), (HON, 3,258, 0.51%, 0.00%), (WFC, 9,056, 0.51%, 0.00%), (MET, 9,025, 0.51%, 0.00%), (PEP, 4,491, 0.47%, 0.00%), (DE, 1,275, 0.47%, 0.00%), (NOW, 699, 0.45%, 0.00%), (T, 21,609, 0.44%, 0.00%), (SPGI, 1,048, 0.43%, 0.00%), (MS, 4,093, 0.43%, 0.00%), (MRK, 7,008, 0.41%, 0.00%), (VZ, 12,678, 0.40%, 0.00%), (AXP, 1,836, 0.40%, 0.00%), (BLK, 480, 0.39%, 0.00%), (TXN, 2,858, 0.39%, 0.00%), (MDT, 5,658, 0.38%, 0.00%), (QCOM, 3,481, 0.38%, 0.00%), (UNP, 2,323, 0.38%, 0.00%), (COP, 5,455, 0.38%, 0.00%), (ACN, 2,121, 0.37%, 0.00%), (ADBE, 1,494, 0.37%, 0.00%), (TMO, 1,060, 0.36%, 0.00%), (DIS, 4,318, 0.36%, 0.00%), (AMAT, 2,583, 0.35%, 0.00%), (SBUX, 5,245, 0.35%, 0.00%), (SCHW, 4,932, 0.35%, 0.00%), (C, 5,144, 0.35%, 0.00%), (LMT, 1,057, 0.33%, 0.00%), (AMGN, 1,489, 0.32%, 0.00%), (MMM, 2,729, 0.31%, 0.00%), (GILD, 3,453, 0.30%, 0.00%), (PFE, 15,700, 0.28%, 0.00%), (EMR, 2,857, 0.28%, 0.00%), (TJX, 2,849, 0.27%, 0.00%), (CVS, 5,552, 0.27%, 0.00%), (MO, 5,547, 0.26%, 0.00%), (DHR, 1,781, 0.26%, 0.00%), (LOW, 1,433, 0.25%, 0.00%), (ELV, 1,023, 0.22%, 0.00%), (CMCSA, 9,102, 0.21%, 0.00%), (INTC, 13,513, 0.20%, 0.00%), (MDLZ, 4,377, 0.20%, 0.00%), (BMY, 5,619, 0.19%, 0.00%), (UPS, 2,802, 0.18%, 0.00%), (PYPL, 3,308, 0.16%,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</si>
  <si>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3.25%, 0.00%), (META, 3,870, 2.92%, 0.00%), (BRK/B, 4,502, 2.06%, 0.00%), (GOOGL, 10,372, 2.03%, 0.00%), (CSCO, 27,338, 1.90%, 0.00%), (LIN, 3,868, 1.78%, 0.00%), (TSLA, 5,178, 1.70%, 0.00%), (GOOG, 8,449, 1.66%, 0.00%), (JPM, 5,701, 1.62%, 0.00%), (AMT, 7,847, 1.59%, 0.00%), (XOM, 13,800, 1.44%, 0.00%), (V, 4,245, 1.40%, 0.00%), (CB, 4,330, 1.15%, 0.00%), (MA, 2,013, 1.13%, 0.00%), (WM, 4,851, 1.12%, 0.00%), (GE, 4,038, 1.08%, 0.00%), (LLY, 1,625, 1.00%, 0.00%), (ORCL, 4,062, 1.00%, 0.00%), (PLTR, 5,181, 0.94%, 0.00%), (NFLX, 759, 0.90%, 0.00%), (NEE, 12,461, 0.88%, 0.00%), (JNJ, 4,966, 0.84%, 0.00%), (WMT, 8,266, 0.84%, 0.00%), (COST, 844, 0.81%, 0.00%), (CVX, 5,248, 0.80%, 0.00%), (PG, 5,225, 0.79%, 0.00%), (UNH, 3,023, 0.75%, 0.00%), (RTX, 4,966, 0.75%, 0.00%), (ABT, 5,697, 0.75%, 0.00%), (MCD, 2,469, 0.74%, 0.00%), (CAT, 1,801, 0.73%, 0.00%), (HD, 1,868, 0.71%, 0.00%), (ABBV, 3,645, 0.71%, 0.00%), (KO, 9,448, 0.65%, 0.00%), (AMD, 3,785, 0.64%, 0.00%), (PM, 3,789, 0.63%, 0.00%), (BA, 2,789, 0.62%, 0.00%), (SO, 6,639, 0.61%, 0.00%), (BAC, 13,518, 0.61%, 0.00%), (BKNG, 114, 0.60%, 0.00%), (NKE, 8,071, 0.58%, 0.00%), (DUK, 4,681, 0.57%, 0.00%), (CRM, 2,416, 0.57%, 0.00%), (IBM, 2,337, 0.55%, 0.00%), (GS, 771, 0.54%, 0.00%), (ISRG, 1,170, 0.54%, 0.00%), (UBER, 6,007, 0.53%, 0.00%), (ETN, 1,474, 0.52%, 0.00%), (INTU, 708, 0.52%, 0.00%), (HON, 2,426, 0.51%, 0.00%), (WFC, 6,742, 0.51%, 0.00%), (MET, 6,719, 0.50%, 0.00%), (PEP, 3,343, 0.47%, 0.00%), (DE, 949, 0.47%, 0.00%), (NOW, 521, 0.45%, 0.00%), (T, 16,088, 0.44%, 0.00%), (SPGI, 780, 0.43%, 0.00%), (MS, 3,047, 0.43%, 0.00%), (MRK, 5,218, 0.41%, 0.00%), (VZ, 9,438, 0.40%, 0.00%), (AXP, 1,367, 0.40%, 0.00%), (BLK, 358, 0.39%, 0.00%), (TXN, 2,128, 0.39%, 0.00%), (MDT, 4,212, 0.38%, 0.00%), (QCOM, 2,591, 0.38%, 0.00%), (UNP, 1,730, 0.38%, 0.00%), (COP, 4,062, 0.38%, 0.00%), (ACN, 1,579, 0.37%, 0.00%), (ADBE, 1,113, 0.37%, 0.00%), (TMO, 789, 0.36%, 0.00%), (DIS, 3,215, 0.35%, 0.00%), (AMAT, 1,923, 0.35%, 0.00%), (SBUX, 3,905, 0.35%, 0.00%), (SCHW, 3,672, 0.35%, 0.00%), (C, 3,830, 0.35%, 0.00%), (LMT, 787, 0.33%, 0.00%), (AMGN, 1,109, 0.31%, 0.00%), (MMM, 2,032, 0.31%, 0.00%), (GILD, 2,570, 0.30%, 0.00%), (PFE, 11,689, 0.28%, 0.00%), (EMR, 2,127, 0.28%, 0.00%), (TJX, 2,121, 0.27%, 0.00%), (CVS, 4,133, 0.27%, 0.00%), (MO, 4,130, 0.26%, 0.00%), (DHR, 1,326, 0.26%, 0.00%), (LOW, 1,067, 0.25%, 0.00%), (ELV, 762, 0.22%, 0.00%), (CMCSA, 6,776, 0.21%, 0.00%), (INTC, 10,060, 0.20%, 0.00%), (MDLZ, 3,259, 0.20%, 0.00%), (BMY, 4,183, 0.19%, 0.00%), (UPS, 2,086, 0.18%, 0.00%), (PYPL, 2,463, 0.16%,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</si>
  <si>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3.10%, 0.00%), (META, 1,461, 2.78%, 0.00%), (BRK/B, 1,700, 1.96%, 0.00%), (GOOGL, 3,917, 1.93%, 0.00%), (CSCO, 10,323, 1.82%, 0.00%), (LIN, 1,461, 1.70%, 0.00%), (TSLA, 1,956, 1.63%, 0.00%), (GOOG, 3,190, 1.58%, 0.00%), (JPM, 2,153, 1.54%, 0.00%), (AMT, 2,963, 1.51%, 0.00%), (XOM, 5,211, 1.37%, 0.00%), (V, 1,603, 1.33%, 0.00%), (CB, 1,635, 1.10%, 0.00%), (MA, 760, 1.08%, 0.00%), (WM, 1,832, 1.07%, 0.00%), (GE, 1,525, 1.03%, 0.00%), (LLY, 614, 0.96%, 0.00%), (ORCL, 1,534, 0.95%, 0.00%), (PLTR, 1,956, 0.89%, 0.00%), (NFLX, 287, 0.85%, 0.00%), (NEE, 4,705, 0.84%, 0.00%), (JNJ, 1,875, 0.81%, 0.00%), (WMT, 3,122, 0.80%, 0.00%), (COST, 319, 0.77%, 0.00%), (CVX, 1,982, 0.76%, 0.00%), (PG, 1,973, 0.75%, 0.00%), (UNH, 1,141, 0.72%, 0.00%), (RTX, 1,875, 0.72%, 0.00%), (ABT, 2,151, 0.71%, 0.00%), (MCD, 932, 0.70%, 0.00%), (CAT, 680, 0.70%, 0.00%), (HD, 705, 0.68%, 0.00%), (ABBV, 1,376, 0.68%, 0.00%), (KO, 3,568, 0.62%, 0.00%), (AMD, 1,429, 0.61%, 0.00%), (PM, 1,431, 0.60%, 0.00%), (BA, 1,053, 0.59%, 0.00%), (SO, 2,507, 0.59%, 0.00%), (BAC, 5,105, 0.58%, 0.00%), (BKNG, 43, 0.57%, 0.00%), (NKE, 3,048, 0.56%, 0.00%), (DUK, 1,768, 0.55%, 0.00%), (CRM, 912, 0.54%, 0.00%), (IBM, 882, 0.53%, 0.00%), (GS, 291, 0.52%, 0.00%), (ISRG, 442, 0.51%, 0.00%), (UBER, 2,268, 0.50%, 0.00%), (ETN, 557, 0.50%, 0.00%), (INTU, 268, 0.49%, 0.00%), (HON, 916, 0.49%, 0.00%), (WFC, 2,546, 0.49%, 0.00%), (MET, 2,537, 0.48%, 0.00%), (PEP, 1,263, 0.45%, 0.00%), (DE, 358, 0.45%, 0.00%), (NOW, 197, 0.43%, 0.00%), (T, 6,075, 0.42%, 0.00%), (MS, 1,151, 0.41%, 0.00%), (SPGI, 294, 0.41%, 0.00%), (MRK, 1,970, 0.39%, 0.00%), (VZ, 3,564, 0.38%, 0.00%), (AXP, 516, 0.38%, 0.00%), (BLK, 135, 0.38%, 0.00%), (TXN, 803, 0.37%, 0.00%), (MDT, 1,591, 0.36%, 0.00%), (QCOM, 979, 0.36%, 0.00%), (UNP, 653, 0.36%, 0.00%), (COP, 1,534, 0.36%, 0.00%), (ACN, 596, 0.35%, 0.00%), (ADBE, 420, 0.35%, 0.00%), (TMO, 298, 0.34%, 0.00%), (DIS, 1,214, 0.34%, 0.00%), (AMAT, 726, 0.34%, 0.00%), (SBUX, 1,475, 0.33%, 0.00%), (SCHW, 1,387, 0.33%, 0.00%), (C, 1,446, 0.33%, 0.00%), (LMT, 297, 0.31%, 0.00%), (AMGN, 419, 0.30%, 0.00%), (MMM, 767, 0.29%, 0.00%), (GILD, 971, 0.28%, 0.00%), (PFE, 4,414, 0.27%, 0.00%), (EMR, 803, 0.26%, 0.00%), (TJX, 801, 0.26%, 0.00%), (CVS, 1,561, 0.25%, 0.00%), (MO, 1,560, 0.25%, 0.00%), (DHR, 501, 0.25%, 0.00%), (LOW, 403, 0.24%, 0.00%), (ELV, 288, 0.21%, 0.00%), (CMCSA, 2,559, 0.20%, 0.00%), (INTC, 3,799, 0.19%, 0.00%), (MDLZ, 1,230, 0.19%, 0.00%), (BMY, 1,580, 0.18%, 0.00%), (UPS, 788, 0.17%, 0.00%), (PYPL, 930, 0.16%, 0.00%), (CL, 684, 0.14%, 0.00%), (FDX, 242, 0.14%, 0.00%), (USB, 1,193, 0.13%, 0.00%), (TGT, 331, 0.09%, 0.00%), (SC28181B, nan, nan%, 0.00%), (SC28183B, nan, nan%, 0.00%), (SP28182B, nan, nan%, 0.00%), (SP28185B, nan, nan%, 0.00%), (SP28184B, nan, nan%, 0.00%), (XP28185B, nan, nan%, 0.00%)</t>
  </si>
  <si>
    <t>(AVGO, 4,472, 3.14%, 0.00%), (META, 1,589, 2.82%, 0.00%), (BRK/B, 1,848, 1.99%, 0.00%), (GOOGL, 4,258, 1.96%, 0.00%), (CSCO, 11,221, 1.84%, 0.00%), (LIN, 1,588, 1.72%, 0.00%), (TSLA, 2,126, 1.65%, 0.00%), (GOOG, 3,468, 1.60%, 0.00%), (JPM, 2,340, 1.56%, 0.00%), (AMT, 3,221, 1.53%, 0.00%), (XOM, 5,664, 1.39%, 0.00%), (V, 1,742, 1.35%, 0.00%), (CB, 1,778, 1.11%, 0.00%), (MA, 826, 1.09%, 0.00%), (WM, 1,991, 1.08%, 0.00%), (GE, 1,657, 1.05%, 0.00%), (LLY, 667, 0.97%, 0.00%), (ORCL, 1,667, 0.96%, 0.00%), (PLTR, 2,126, 0.90%, 0.00%), (NFLX, 311, 0.86%, 0.00%), (NEE, 5,115, 0.85%, 0.00%), (JNJ, 2,038, 0.82%, 0.00%), (WMT, 3,393, 0.81%, 0.00%), (COST, 346, 0.78%, 0.00%), (CVX, 2,154, 0.77%, 0.00%), (PG, 2,145, 0.76%, 0.00%), (UNH, 1,241, 0.73%, 0.00%), (RTX, 2,038, 0.73%, 0.00%), (ABT, 2,338, 0.72%, 0.00%), (MCD, 1,013, 0.71%, 0.00%), (CAT, 739, 0.71%, 0.00%), (HD, 767, 0.69%, 0.00%), (ABBV, 1,496, 0.69%, 0.00%), (KO, 3,878, 0.63%, 0.00%), (AMD, 1,554, 0.61%, 0.00%), (PM, 1,555, 0.61%, 0.00%), (BA, 1,145, 0.60%, 0.00%), (SO, 2,725, 0.59%, 0.00%), (BAC, 5,549, 0.59%, 0.00%), (BKNG, 47, 0.58%, 0.00%), (NKE, 3,313, 0.56%, 0.00%), (DUK, 1,921, 0.55%, 0.00%), (CRM, 992, 0.55%, 0.00%), (IBM, 959, 0.53%, 0.00%), (GS, 316, 0.52%, 0.00%), (ISRG, 480, 0.52%, 0.00%), (UBER, 2,466, 0.51%, 0.00%), (ETN, 605, 0.50%, 0.00%), (INTU, 291, 0.50%, 0.00%), (HON, 996, 0.50%, 0.00%), (WFC, 2,768, 0.49%, 0.00%), (MET, 2,758, 0.49%, 0.00%), (DE, 390, 0.46%, 0.00%), (PEP, 1,372, 0.46%, 0.00%), (NOW, 214, 0.43%, 0.00%), (T, 6,604, 0.43%, 0.00%), (MS, 1,251, 0.41%, 0.00%), (SPGI, 320, 0.41%, 0.00%), (MRK, 2,142, 0.40%, 0.00%), (VZ, 3,874, 0.38%, 0.00%), (AXP, 561, 0.38%, 0.00%), (BLK, 147, 0.38%, 0.00%), (TXN, 873, 0.38%, 0.00%), (MDT, 1,729, 0.37%, 0.00%), (QCOM, 1,064, 0.37%, 0.00%), (COP, 1,667, 0.36%, 0.00%), (UNP, 710, 0.36%, 0.00%), (ACN, 648, 0.36%, 0.00%), (ADBE, 457, 0.36%, 0.00%), (TMO, 324, 0.35%, 0.00%), (DIS, 1,320, 0.34%, 0.00%), (AMAT, 789, 0.34%, 0.00%), (SBUX, 1,603, 0.34%, 0.00%), (SCHW, 1,507, 0.34%, 0.00%), (C, 1,572, 0.34%, 0.00%), (LMT, 323, 0.32%, 0.00%), (AMGN, 455, 0.30%, 0.00%), (MMM, 834, 0.29%, 0.00%), (GILD, 1,055, 0.29%, 0.00%), (PFE, 4,798, 0.27%, 0.00%), (EMR, 873, 0.27%, 0.00%), (TJX, 871, 0.26%, 0.00%), (CVS, 1,697, 0.26%, 0.00%), (MO, 1,695, 0.25%, 0.00%), (DHR, 544, 0.25%, 0.00%), (LOW, 438, 0.24%, 0.00%), (ELV, 313, 0.21%, 0.00%), (CMCSA, 2,781, 0.20%, 0.00%), (INTC, 4,129, 0.20%, 0.00%), (MDLZ, 1,338, 0.19%, 0.00%), (BMY, 1,717, 0.18%, 0.00%), (UPS, 856, 0.17%, 0.00%), (PYPL, 1,011, 0.16%, 0.00%), (CL, 744, 0.15%, 0.00%), (FDX, 263, 0.14%, 0.00%), (USB, 1,297, 0.13%, 0.00%), (TGT, 360, 0.09%, 0.00%), (SC13481B, nan, nan%, 0.00%), (SC13483B, nan, nan%, 0.00%), (SP13482B, nan, nan%, 0.00%), (SP13485B, nan, nan%, 0.00%), (SP13484B, nan, nan%, 0.00%), (XP13485B, nan, nan%, 0.00%)</t>
  </si>
  <si>
    <t>(AVGO, 8,415, 3.26%, 0.00%), (META, 2,989, 2.92%, 0.00%), (BRK/B, 3,478, 2.06%, 0.00%), (GOOGL, 8,012, 2.03%, 0.00%), (CSCO, 21,115, 1.91%, 0.00%), (LIN, 2,987, 1.78%, 0.00%), (TSLA, 4,000, 1.71%, 0.00%), (GOOG, 6,526, 1.66%, 0.00%), (JPM, 4,403, 1.62%, 0.00%), (AMT, 6,061, 1.59%, 0.00%), (XOM, 10,659, 1.44%, 0.00%), (V, 3,279, 1.40%, 0.00%), (CB, 3,345, 1.15%, 0.00%), (MA, 1,555, 1.13%, 0.00%), (WM, 3,747, 1.12%, 0.00%), (GE, 3,119, 1.09%, 0.00%), (LLY, 1,255, 1.01%, 0.00%), (ORCL, 3,137, 1.00%, 0.00%), (PLTR, 4,001, 0.94%, 0.00%), (NFLX, 586, 0.90%, 0.00%), (NEE, 9,624, 0.88%, 0.00%), (JNJ, 3,836, 0.85%, 0.00%), (WMT, 6,385, 0.84%, 0.00%), (COST, 652, 0.81%, 0.00%), (CVX, 4,053, 0.80%, 0.00%), (PG, 4,036, 0.79%, 0.00%), (UNH, 2,335, 0.76%, 0.00%), (RTX, 3,835, 0.75%, 0.00%), (ABT, 4,400, 0.75%, 0.00%), (MCD, 1,907, 0.74%, 0.00%), (CAT, 1,391, 0.73%, 0.00%), (HD, 1,443, 0.71%, 0.00%), (ABBV, 2,815, 0.71%, 0.00%), (KO, 7,297, 0.65%, 0.00%), (AMD, 2,924, 0.64%, 0.00%), (PM, 2,926, 0.63%, 0.00%), (BA, 2,154, 0.62%, 0.00%), (BAC, 10,441, 0.61%, 0.00%), (BKNG, 88, 0.60%, 0.00%), (NKE, 6,234, 0.58%, 0.00%), (DUK, 3,615, 0.57%, 0.00%), (CRM, 1,866, 0.57%, 0.00%), (SO, 4,728, 0.57%, 0.00%), (IBM, 1,805, 0.55%, 0.00%), (GS, 596, 0.54%, 0.00%), (ISRG, 904, 0.54%, 0.00%), (UBER, 4,640, 0.53%, 0.00%), (ETN, 1,139, 0.52%, 0.00%), (INTU, 547, 0.52%, 0.00%), (HON, 1,874, 0.51%, 0.00%), (WFC, 5,208, 0.51%, 0.00%), (MET, 5,189, 0.50%, 0.00%), (DE, 733, 0.47%, 0.00%), (PEP, 2,582, 0.47%, 0.00%), (NOW, 402, 0.45%, 0.00%), (T, 12,426, 0.44%, 0.00%), (MS, 2,353, 0.43%, 0.00%), (SPGI, 602, 0.43%, 0.00%), (MRK, 4,030, 0.41%, 0.00%), (VZ, 7,290, 0.40%, 0.00%), (AXP, 1,056, 0.40%, 0.00%), (BLK, 276, 0.39%, 0.00%), (TXN, 1,643, 0.39%, 0.00%), (MDT, 3,253, 0.38%, 0.00%), (QCOM, 2,002, 0.38%, 0.00%), (UNP, 1,336, 0.38%, 0.00%), (COP, 3,137, 0.38%, 0.00%), (ACN, 1,220, 0.37%, 0.00%), (ADBE, 859, 0.37%, 0.00%), (TMO, 609, 0.36%, 0.00%), (DIS, 2,483, 0.36%, 0.00%), (AMAT, 1,485, 0.35%, 0.00%), (SBUX, 3,016, 0.35%, 0.00%), (C, 2,958, 0.35%, 0.00%), (SCHW, 2,836, 0.35%, 0.00%), (LMT, 608, 0.33%, 0.00%), (AMGN, 856, 0.31%, 0.00%), (MMM, 1,569, 0.31%, 0.00%), (GILD, 1,985, 0.30%, 0.00%), (PFE, 9,028, 0.28%, 0.00%), (EMR, 1,643, 0.28%, 0.00%), (TJX, 1,638, 0.27%, 0.00%), (CVS, 3,192, 0.27%, 0.00%), (MO, 3,190, 0.26%, 0.00%), (DHR, 1,024, 0.26%, 0.00%), (LOW, 824, 0.25%, 0.00%), (ELV, 588, 0.22%, 0.00%), (CMCSA, 5,234, 0.21%, 0.00%), (INTC, 7,770, 0.20%, 0.00%), (MDLZ, 2,517, 0.20%, 0.00%), (BMY, 3,231, 0.19%, 0.00%), (UPS, 1,612, 0.18%, 0.00%), (PYPL, 1,902, 0.16%,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</si>
  <si>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EA, GOOGL, BLK, MLI, JPM, RJF, BKNG</t>
  </si>
  <si>
    <t>(AMAT, 5,573, 1.90%, 0.00%), (EWBC, 10,055, 1.85%, 0.01%), (PHM, 8,254, 1.82%, 0.00%), (HIG, 7,789, 1.82%, 0.00%), (AXP, 3,281, 1.81%, 0.00%), (NVDA, 5,435, 1.80%, 0.00%), (TRV, 3,701, 1.77%, 0.00%), (V, 2,909, 1.77%, 0.00%), (KLAC, 1,029, 1.74%, 0.00%), (ROST, 6,480, 1.74%, 0.00%), (SNA, 2,900, 1.71%, 0.01%), (ADP, 3,108, 1.70%, 0.00%), (UNM, 13,085, 1.67%, 0.01%), (PCAR, 9,199, 1.64%, 0.00%), (CB, 3,282, 1.61%, 0.00%), (SYF, 12,147, 1.59%, 0.00%), (LEN, 6,867, 1.55%, 0.00%), (WSM, 4,113, 1.54%, 0.00%), (CTSH, 11,756, 1.45%, 0.00%), (CRM, 3,332, 1.40%, 0.00%), (PAYC, 3,559, 1.39%, 0.01%), (BKR, 17,301, 1.34%, 0.00%), (DHI, 4,563, 1.31%, 0.00%), (QCOM, 4,692, 1.30%, 0.00%), (AAPL, 3,029, 1.26%, 0.00%), (AFL, 6,426, 1.21%, 0.00%), (ACN, 2,772, 1.20%, 0.00%), (ELV, 2,228, 1.18%, 0.00%), (LRCX, 5,993, 1.14%, 0.00%), (CSCO, 8,704, 1.13%, 0.00%), (MPWR, 742, 1.13%, 0.00%), (ODFL, 3,986, 1.08%, 0.00%), (GE, 2,100, 1.07%, 0.00%), (STT, 4,824, 0.98%, 0.00%), (PNC, 2,583, 0.90%, 0.00%), (MTB, 2,567, 0.88%, 0.00%), (AMP, 940, 0.88%, 0.00%), (COST, 483, 0.87%, 0.00%), (CF, 5,513, 0.83%, 0.00%), (ABT, 3,473, 0.82%, 0.00%), (EOG, 3,633, 0.78%, 0.00%), (XOM, 4,038, 0.78%, 0.00%), (CSL, 1,082, 0.75%, 0.00%), (EG, 1,222, 0.73%, 0.00%), (GEV, 492, 0.58%, 0.00%), (NTRS, 2,239, 0.52%, 0.00%), (MA, 467, 0.48%, 0.00%), (CRBG, 7,693, 0.48%, 0.00%), (JNJ, 1,499, 0.47%, 0.00%), (ACM, 2,118, 0.46%, 0.00%), (LNC, 6,124, 0.44%, 0.00%), (MTG, 8,798, 0.44%, 0.00%), (JXN, 2,528, 0.43%, 0.00%), (EQH, 4,341, 0.43%, 0.00%), (CINF, 1,557, 0.43%, 0.00%), (SLM, 7,189, 0.42%, 0.00%), (DOV, 1,309, 0.42%, 0.00%), (ALL, 1,109, 0.42%, 0.00%), (WTFC, 1,804, 0.41%, 0.00%), (ADM, 3,729, 0.40%, 0.00%), (MCK, 323, 0.39%, 0.00%), (NUE, 1,497, 0.38%, 0.00%), (NKE, 2,729, 0.37%, 0.00%), (PGR, 817, 0.36%, 0.00%), (FANG, 1,166, 0.29%, 0.00%), (SC13N61B, nan, nan%, 0.00%), (SC13N63B, nan, nan%, 0.00%), (SP13N62B, nan, nan%, 0.00%), (SP13N65B, nan, nan%, 0.00%), (SP13N64B, nan, nan%, 0.00%), (SPX Index, nan, nan%, 0.00%), (XP13N65B, nan, nan%, 0.00%)</t>
  </si>
  <si>
    <t>(AVGO, 3,881, 3.44%, 0.00%), (META, 1,379, 3.10%, 0.00%), (BRK/B, 1,604, 2.16%, 0.00%), (GOOGL, 3,695, 2.15%, 0.00%), (CSCO, 9,739, 1.98%, 0.00%), (LIN, 1,378, 1.87%, 0.00%), (TSLA, 1,845, 1.77%, 0.00%), (GOOG, 3,010, 1.76%, 0.00%), (JPM, 2,031, 1.70%, 0.00%), (AMT, 2,795, 1.65%, 0.00%), (XOM, 4,916, 1.50%, 0.00%), (V, 1,512, 1.45%, 0.00%), (CB, 1,543, 1.19%, 0.00%), (MA, 717, 1.17%, 0.00%), (WM, 1,728, 1.16%, 0.00%), (GE, 1,438, 1.15%, 0.00%), (LLY, 579, 1.05%, 0.00%), (ORCL, 1,447, 1.05%, 0.00%), (PLTR, 1,846, 0.99%, 0.00%), (NFLX, 270, 0.94%, 0.00%), (NEE, 4,439, 0.91%, 0.00%), (WMT, 2,945, 0.87%, 0.00%), (JNJ, 1,769, 0.87%, 0.00%), (COST, 301, 0.85%, 0.00%), (CVX, 1,870, 0.83%, 0.00%), (PG, 1,861, 0.82%, 0.00%), (UNH, 1,077, 0.79%, 0.00%), (RTX, 1,769, 0.78%, 0.00%), (CAT, 642, 0.76%, 0.00%), (MCD, 880, 0.76%, 0.00%), (ABT, 2,029, 0.76%, 0.00%), (HD, 666, 0.75%, 0.00%), (ABBV, 1,299, 0.74%, 0.00%), (KO, 3,366, 0.68%, 0.00%), (AMD, 1,349, 0.67%, 0.00%), (BA, 994, 0.65%, 0.00%), (PM, 1,350, 0.65%, 0.00%), (BAC, 4,816, 0.65%, 0.00%), (BKNG, 41, 0.64%, 0.00%), (SO, 2,365, 0.63%, 0.00%), (NKE, 2,875, 0.61%, 0.00%), (DUK, 1,668, 0.59%, 0.00%), (GS, 275, 0.58%, 0.00%), (CRM, 861, 0.57%, 0.00%), (ISRG, 417, 0.57%, 0.00%), (UBER, 2,140, 0.56%, 0.00%), (IBM, 833, 0.56%, 0.00%), (WFC, 2,402, 0.54%, 0.00%), (ETN, 525, 0.54%, 0.00%), (HON, 864, 0.54%, 0.00%), (MET, 2,394, 0.52%, 0.00%), (INTU, 252, 0.51%, 0.00%), (PEP, 1,191, 0.50%, 0.00%), (DE, 338, 0.49%, 0.00%), (T, 5,731, 0.47%, 0.00%), (MS, 1,086, 0.46%, 0.00%), (NOW, 185, 0.45%, 0.00%), (SPGI, 278, 0.44%, 0.00%), (MRK, 1,859, 0.43%, 0.00%), (AXP, 487, 0.42%, 0.00%), (BLK, 127, 0.42%, 0.00%), (VZ, 3,363, 0.42%, 0.00%), (TXN, 758, 0.41%, 0.00%), (QCOM, 923, 0.40%, 0.00%), (MDT, 1,501, 0.39%, 0.00%), (COP, 1,447, 0.39%, 0.00%), (UNP, 616, 0.39%, 0.00%), (ADBE, 396, 0.38%, 0.00%), (ACN, 563, 0.38%, 0.00%), (TMO, 281, 0.38%, 0.00%), (DIS, 1,145, 0.37%, 0.00%), (C, 1,364, 0.37%, 0.00%), (SBUX, 1,391, 0.37%, 0.00%), (SCHW, 1,308, 0.37%, 0.00%), (AMAT, 685, 0.37%, 0.00%), (LMT, 280, 0.34%, 0.00%), (MMM, 724, 0.32%, 0.00%), (AMGN, 395, 0.32%, 0.00%), (GILD, 916, 0.31%, 0.00%), (PFE, 4,164, 0.29%, 0.00%), (TJX, 756, 0.29%, 0.00%), (EMR, 758, 0.29%, 0.00%), (MO, 1,471, 0.28%, 0.00%), (DHR, 472, 0.28%, 0.00%), (CVS, 1,472, 0.27%, 0.00%), (LOW, 380, 0.27%, 0.00%), (ELV, 271, 0.22%, 0.00%), (CMCSA, 2,414, 0.22%, 0.00%), (INTC, 3,584, 0.22%, 0.00%), (MDLZ, 1,161, 0.20%, 0.00%), (BMY, 1,490, 0.20%,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</si>
  <si>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3.32%, 0.00%), (META, 907, 2.99%, 0.00%), (BRK/B, 1,055, 2.08%, 0.00%), (GOOGL, 2,431, 2.07%, 0.00%), (CSCO, 6,406, 1.91%, 0.00%), (LIN, 906, 1.80%, 0.00%), (TSLA, 1,213, 1.71%, 0.00%), (GOOG, 1,980, 1.69%, 0.00%), (JPM, 1,336, 1.64%, 0.00%), (AMT, 1,839, 1.59%, 0.00%), (XOM, 3,234, 1.45%, 0.00%), (V, 995, 1.40%, 0.00%), (CB, 1,015, 1.15%, 0.00%), (MA, 472, 1.13%, 0.00%), (WM, 1,137, 1.12%, 0.00%), (GE, 946, 1.11%, 0.00%), (LLY, 381, 1.02%, 0.00%), (ORCL, 952, 1.01%, 0.00%), (PLTR, 1,214, 0.95%, 0.00%), (NFLX, 178, 0.91%, 0.00%), (NEE, 2,920, 0.88%, 0.00%), (WMT, 1,937, 0.84%, 0.00%), (JNJ, 1,164, 0.84%, 0.00%), (COST, 198, 0.82%, 0.00%), (CVX, 1,230, 0.80%, 0.00%), (PG, 1,224, 0.79%, 0.00%), (UNH, 708, 0.76%, 0.00%), (RTX, 1,164, 0.76%, 0.00%), (CAT, 422, 0.73%, 0.00%), (MCD, 579, 0.73%, 0.00%), (ABT, 1,335, 0.73%, 0.00%), (HD, 438, 0.72%, 0.00%), (ABBV, 854, 0.71%, 0.00%), (KO, 2,214, 0.66%, 0.00%), (AMD, 887, 0.64%, 0.00%), (BA, 654, 0.63%, 0.00%), (PM, 888, 0.63%, 0.00%), (BAC, 3,168, 0.63%, 0.00%), (BKNG, 27, 0.62%, 0.00%), (SO, 1,556, 0.61%, 0.00%), (NKE, 1,891, 0.59%, 0.00%), (DUK, 1,097, 0.57%, 0.00%), (GS, 181, 0.56%, 0.00%), (CRM, 566, 0.55%, 0.00%), (ISRG, 274, 0.55%, 0.00%), (UBER, 1,408, 0.54%, 0.00%), (IBM, 548, 0.54%, 0.00%), (WFC, 1,580, 0.52%, 0.00%), (ETN, 345, 0.52%, 0.00%), (HON, 568, 0.52%, 0.00%), (MET, 1,574, 0.51%, 0.00%), (INTU, 166, 0.49%, 0.00%), (PEP, 783, 0.48%, 0.00%), (DE, 222, 0.47%, 0.00%), (T, 3,770, 0.45%, 0.00%), (MS, 714, 0.44%, 0.00%), (NOW, 122, 0.44%, 0.00%), (SPGI, 183, 0.43%, 0.00%), (MRK, 1,223, 0.41%, 0.00%), (BLK, 84, 0.41%, 0.00%), (AXP, 320, 0.41%, 0.00%), (VZ, 2,212, 0.40%, 0.00%), (TXN, 499, 0.40%, 0.00%), (QCOM, 607, 0.39%, 0.00%), (MDT, 987, 0.38%, 0.00%), (COP, 952, 0.38%, 0.00%), (UNP, 405, 0.37%, 0.00%), (ADBE, 261, 0.37%, 0.00%), (ACN, 370, 0.37%, 0.00%), (TMO, 185, 0.37%, 0.00%), (DIS, 753, 0.36%, 0.00%), (C, 897, 0.36%, 0.00%), (SBUX, 915, 0.36%, 0.00%), (SCHW, 860, 0.35%, 0.00%), (AMAT, 451, 0.35%, 0.00%), (LMT, 184, 0.33%, 0.00%), (MMM, 476, 0.31%, 0.00%), (AMGN, 260, 0.31%, 0.00%), (GILD, 602, 0.30%, 0.00%), (PFE, 2,739, 0.28%, 0.00%), (TJX, 497, 0.28%, 0.00%), (EMR, 498, 0.28%, 0.00%), (MO, 968, 0.27%, 0.00%), (DHR, 311, 0.27%, 0.00%), (CVS, 969, 0.26%, 0.00%), (LOW, 250, 0.26%, 0.00%), (ELV, 178, 0.22%, 0.00%), (CMCSA, 1,588, 0.21%, 0.00%), (INTC, 2,357, 0.21%, 0.00%), (MDLZ, 764, 0.20%, 0.00%), (BMY, 980, 0.19%, 0.00%), (UPS, 489, 0.18%, 0.00%), (PYPL, 577, 0.16%,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</si>
  <si>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2.76%, 0.00%), (BRK/B, 1,008, 1.92%, 0.00%), (GOOGL, 2,322, 1.91%, 0.00%), (CSCO, 6,119, 1.76%, 0.00%), (LIN, 866, 1.66%, 0.00%), (TSLA, 1,159, 1.58%, 0.00%), (GOOG, 1,891, 1.56%, 0.00%), (JPM, 1,276, 1.51%, 0.00%), (AMT, 1,756, 1.46%, 0.00%), (XOM, 3,089, 1.34%, 0.00%), (V, 950, 1.29%, 0.00%), (CB, 969, 1.06%, 0.00%), (MA, 451, 1.04%, 0.00%), (WM, 1,086, 1.03%, 0.00%), (GE, 904, 1.02%, 0.00%), (LLY, 364, 0.94%, 0.00%), (ORCL, 909, 0.93%, 0.00%), (PLTR, 1,160, 0.88%, 0.00%), (NFLX, 170, 0.85%, 0.00%), (NEE, 2,789, 0.81%, 0.00%), (WMT, 1,850, 0.78%, 0.00%), (JNJ, 1,112, 0.78%, 0.00%), (COST, 189, 0.76%, 0.00%), (CVX, 1,175, 0.74%, 0.00%), (PG, 1,170, 0.73%, 0.00%), (UNH, 677, 0.70%, 0.00%), (RTX, 1,112, 0.70%, 0.00%), (CAT, 403, 0.68%, 0.00%), (MCD, 553, 0.68%, 0.00%), (ABT, 1,275, 0.67%, 0.00%), (HD, 418, 0.67%, 0.00%), (ABBV, 816, 0.65%, 0.00%), (KO, 2,115, 0.60%, 0.00%), (AMD, 847, 0.60%, 0.00%), (BA, 624, 0.58%, 0.00%), (BAC, 3,026, 0.58%, 0.00%), (PM, 848, 0.58%, 0.00%), (BKNG, 26, 0.58%, 0.00%), (SO, 1,486, 0.56%, 0.00%), (NKE, 1,807, 0.55%, 0.00%), (DUK, 1,048, 0.53%, 0.00%), (GS, 173, 0.52%, 0.00%), (CRM, 541, 0.51%, 0.00%), (ISRG, 262, 0.50%, 0.00%), (UBER, 1,345, 0.50%, 0.00%), (IBM, 523, 0.50%, 0.00%), (WFC, 1,509, 0.48%, 0.00%), (ETN, 330, 0.48%, 0.00%), (HON, 543, 0.48%, 0.00%), (MET, 1,504, 0.47%, 0.00%), (INTU, 159, 0.45%, 0.00%), (PEP, 748, 0.44%, 0.00%), (DE, 212, 0.43%, 0.00%), (T, 3,601, 0.41%, 0.00%), (MS, 682, 0.41%, 0.00%), (NOW, 117, 0.41%, 0.00%), (SPGI, 175, 0.40%, 0.00%), (MRK, 1,168, 0.38%, 0.00%), (BLK, 80, 0.38%, 0.00%), (AXP, 306, 0.37%, 0.00%), (VZ, 2,113, 0.37%, 0.00%), (TXN, 476, 0.37%, 0.00%), (QCOM, 580, 0.36%, 0.00%), (COP, 909, 0.35%, 0.00%), (MDT, 943, 0.35%, 0.00%), (UNP, 387, 0.34%, 0.00%), (TMO, 177, 0.34%, 0.00%), (ADBE, 249, 0.34%, 0.00%), (ACN, 353, 0.34%, 0.00%), (DIS, 720, 0.33%, 0.00%), (C, 857, 0.33%, 0.00%), (SBUX, 874, 0.33%, 0.00%), (SCHW, 822, 0.33%, 0.00%), (AMAT, 430, 0.33%, 0.00%), (LMT, 176, 0.30%, 0.00%), (MMM, 455, 0.29%, 0.00%), (AMGN, 248, 0.29%, 0.00%), (GILD, 575, 0.28%, 0.00%), (PFE, 2,616, 0.26%, 0.00%), (TJX, 475, 0.26%, 0.00%), (EMR, 476, 0.25%, 0.00%), (MO, 924, 0.25%, 0.00%), (DHR, 297, 0.25%, 0.00%), (CVS, 925, 0.24%, 0.00%), (LOW, 239, 0.24%, 0.00%), (ELV, 171, 0.20%, 0.00%), (CMCSA, 1,517, 0.20%, 0.00%), (INTC, 2,252, 0.19%, 0.00%), (MDLZ, 729, 0.18%, 0.00%), (BMY, 936, 0.18%, 0.00%), (UPS, 467, 0.17%, 0.00%), (PYPL, 551, 0.15%, 0.00%), (CL, 406, 0.14%, 0.00%), (FDX, 144, 0.14%,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</si>
  <si>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3.24%, 0.00%), (META, 576, 2.93%, 0.00%), (BRK/B, 670, 2.03%, 0.00%), (GOOGL, 1,543, 2.02%, 0.00%), (CSCO, 4,066, 1.86%, 0.00%), (LIN, 575, 1.76%, 0.00%), (TSLA, 770, 1.67%, 0.00%), (GOOG, 1,257, 1.65%, 0.00%), (JPM, 848, 1.60%, 0.00%), (AMT, 1,167, 1.55%, 0.00%), (XOM, 2,053, 1.41%, 0.00%), (V, 631, 1.36%, 0.00%), (CB, 644, 1.12%, 0.00%), (MA, 299, 1.10%, 0.00%), (WM, 721, 1.09%, 0.00%), (GE, 601, 1.08%, 0.00%), (LLY, 242, 0.99%, 0.00%), (ORCL, 604, 0.99%, 0.00%), (PLTR, 771, 0.93%, 0.00%), (NFLX, 113, 0.89%, 0.00%), (NEE, 1,853, 0.85%, 0.00%), (WMT, 1,230, 0.82%, 0.00%), (JNJ, 739, 0.82%, 0.00%), (COST, 126, 0.80%, 0.00%), (CVX, 781, 0.78%, 0.00%), (PG, 777, 0.77%, 0.00%), (UNH, 450, 0.75%, 0.00%), (RTX, 739, 0.74%, 0.00%), (CAT, 268, 0.71%, 0.00%), (MCD, 367, 0.71%, 0.00%), (ABT, 847, 0.71%, 0.00%), (HD, 278, 0.70%, 0.00%), (ABBV, 542, 0.69%, 0.00%), (KO, 1,405, 0.64%, 0.00%), (AMD, 563, 0.63%, 0.00%), (BA, 415, 0.61%, 0.00%), (PM, 564, 0.61%, 0.00%), (BAC, 2,011, 0.61%, 0.00%), (BKNG, 17, 0.60%, 0.00%), (SO, 987, 0.60%, 0.00%), (NKE, 1,200, 0.58%, 0.00%), (DUK, 696, 0.56%, 0.00%), (GS, 115, 0.56%, 0.00%), (CRM, 359, 0.54%, 0.00%), (ISRG, 174, 0.54%, 0.00%), (UBER, 893, 0.53%, 0.00%), (IBM, 348, 0.53%, 0.00%), (WFC, 1,003, 0.51%, 0.00%), (ETN, 219, 0.51%, 0.00%), (HON, 361, 0.50%, 0.00%), (MET, 999, 0.49%, 0.00%), (INTU, 105, 0.48%, 0.00%), (PEP, 497, 0.47%, 0.00%), (DE, 141, 0.46%, 0.00%), (T, 2,393, 0.44%, 0.00%), (MS, 453, 0.43%, 0.00%), (NOW, 77, 0.42%, 0.00%), (SPGI, 116, 0.42%, 0.00%), (MRK, 776, 0.40%, 0.00%), (BLK, 53, 0.40%, 0.00%), (AXP, 203, 0.39%, 0.00%), (VZ, 1,404, 0.39%, 0.00%), (TXN, 316, 0.39%, 0.00%), (QCOM, 385, 0.38%, 0.00%), (COP, 604, 0.37%, 0.00%), (MDT, 627, 0.37%, 0.00%), (UNP, 257, 0.36%, 0.00%), (TMO, 117, 0.36%, 0.00%), (ADBE, 165, 0.36%, 0.00%), (ACN, 235, 0.36%, 0.00%), (DIS, 478, 0.35%, 0.00%), (C, 570, 0.35%, 0.00%), (SBUX, 581, 0.35%, 0.00%), (SCHW, 546, 0.35%, 0.00%), (AMAT, 286, 0.34%, 0.00%), (LMT, 117, 0.32%, 0.00%), (MMM, 302, 0.30%, 0.00%), (AMGN, 165, 0.30%, 0.00%), (GILD, 382, 0.29%, 0.00%), (PFE, 1,739, 0.27%, 0.00%), (TJX, 316, 0.27%, 0.00%), (EMR, 316, 0.27%, 0.00%), (DHR, 197, 0.26%, 0.00%), (MO, 614, 0.26%, 0.00%), (CVS, 615, 0.26%, 0.00%), (LOW, 159, 0.25%, 0.00%), (ELV, 113, 0.21%, 0.00%), (CMCSA, 1,008, 0.21%, 0.00%), (INTC, 1,496, 0.20%, 0.00%), (MDLZ, 485, 0.19%, 0.00%), (BMY, 622, 0.19%, 0.00%), (UPS, 310, 0.17%,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</si>
  <si>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3.12%, 0.00%), (META, 5,990, 2.81%, 0.00%), (BRK/B, 6,969, 1.96%, 0.00%), (GOOGL, 16,055, 1.95%, 0.00%), (CSCO, 42,316, 1.80%, 0.00%), (LIN, 5,987, 1.70%, 0.00%), (TSLA, 8,016, 1.61%, 0.00%), (GOOG, 13,078, 1.59%, 0.00%), (JPM, 8,825, 1.54%, 0.00%), (AMT, 12,146, 1.49%, 0.00%), (XOM, 21,361, 1.36%, 0.00%), (V, 6,570, 1.32%, 0.00%), (CB, 6,703, 1.08%, 0.00%), (MA, 3,117, 1.07%, 0.00%), (WM, 7,508, 1.05%, 0.00%), (GE, 6,250, 1.04%, 0.00%), (LLY, 2,516, 0.96%, 0.00%), (ORCL, 6,287, 0.95%, 0.00%), (PLTR, 8,019, 0.90%, 0.00%), (NFLX, 1,175, 0.86%, 0.00%), (NEE, 19,288, 0.82%, 0.00%), (WMT, 12,795, 0.79%, 0.00%), (JNJ, 7,687, 0.79%, 0.00%), (COST, 1,306, 0.77%, 0.00%), (CVX, 8,123, 0.76%, 0.00%), (PG, 8,088, 0.75%, 0.00%), (UNH, 4,679, 0.72%, 0.00%), (RTX, 7,686, 0.71%, 0.00%), (CAT, 2,788, 0.69%, 0.00%), (MCD, 3,822, 0.69%, 0.00%), (ABT, 8,818, 0.69%, 0.00%), (HD, 2,892, 0.68%, 0.00%), (ABBV, 5,642, 0.67%, 0.00%), (KO, 14,624, 0.62%, 0.00%), (AMD, 5,859, 0.61%, 0.00%), (BA, 4,317, 0.59%, 0.00%), (PM, 5,865, 0.59%, 0.00%), (BAC, 20,924, 0.59%, 0.00%), (SO, 10,277, 0.58%, 0.00%), (BKNG, 177, 0.58%, 0.00%), (NKE, 12,583, 0.56%, 0.00%), (DUK, 7,245, 0.54%, 0.00%), (GS, 1,194, 0.53%, 0.00%), (CRM, 3,740, 0.52%, 0.00%), (ISRG, 1,811, 0.52%, 0.00%), (UBER, 9,298, 0.51%, 0.00%), (IBM, 3,617, 0.51%, 0.00%), (WFC, 10,436, 0.49%, 0.00%), (ETN, 2,282, 0.49%, 0.00%), (HON, 3,755, 0.49%, 0.00%), (MET, 10,400, 0.48%, 0.00%), (INTU, 1,097, 0.46%, 0.00%), (PEP, 5,175, 0.45%, 0.00%), (DE, 1,469, 0.44%, 0.00%), (T, 24,902, 0.42%, 0.00%), (MS, 4,716, 0.41%, 0.00%), (NOW, 806, 0.41%, 0.00%), (SPGI, 1,207, 0.40%, 0.00%), (MRK, 8,076, 0.39%, 0.00%), (AXP, 2,116, 0.38%, 0.00%), (BLK, 554, 0.38%, 0.00%), (VZ, 14,610, 0.38%, 0.00%), (TXN, 3,294, 0.37%, 0.00%), (QCOM, 4,011, 0.36%, 0.00%), (MDT, 6,520, 0.36%, 0.00%), (COP, 6,287, 0.36%, 0.00%), (UNP, 2,677, 0.35%, 0.00%), (ADBE, 1,722, 0.35%, 0.00%), (ACN, 2,444, 0.35%, 0.00%), (TMO, 1,221, 0.35%, 0.00%), (DIS, 4,976, 0.34%, 0.00%), (C, 5,928, 0.34%, 0.00%), (SBUX, 6,045, 0.34%, 0.00%), (SCHW, 5,684, 0.33%, 0.00%), (AMAT, 2,976, 0.33%, 0.00%), (LMT, 1,218, 0.31%, 0.00%), (MMM, 3,145, 0.29%, 0.00%), (AMGN, 1,716, 0.29%, 0.00%), (GILD, 3,979, 0.28%, 0.00%), (PFE, 18,093, 0.26%, 0.00%), (TJX, 3,283, 0.26%, 0.00%), (EMR, 3,293, 0.26%, 0.00%), (MO, 6,393, 0.25%, 0.00%), (DHR, 2,052, 0.25%, 0.00%), (CVS, 6,398, 0.25%, 0.00%), (LOW, 1,652, 0.24%, 0.00%), (ELV, 1,179, 0.20%, 0.00%), (CMCSA, 10,489, 0.20%, 0.00%), (INTC, 15,572, 0.20%, 0.00%), (MDLZ, 5,044, 0.19%, 0.00%), (BMY, 6,475, 0.18%, 0.00%), (UPS, 3,230, 0.17%, 0.00%), (PYPL, 3,812, 0.15%, 0.00%), (CL, 2,806, 0.14%, 0.00%), (FDX, 993, 0.14%, 0.00%), (USB, 4,890, 0.13%, 0.00%), (TGT, 1,358, 0.09%, 0.00%), (SC26771B, nan, nan%, 0.00%), (SC26773B, nan, nan%, 0.00%), (SP26772B, nan, nan%, 0.00%), (SP26774B, nan, nan%, 0.00%), (SP26775T, nan, nan%, 0.00%), (XP26775T, nan, nan%, 0.00%)</t>
  </si>
  <si>
    <t>(AVGO, 14,633, 3.29%, 0.00%), (META, 5,198, 2.97%, 0.00%), (BRK/B, 6,047, 2.06%, 0.00%), (GOOGL, 13,932, 2.06%, 0.00%), (CSCO, 36,719, 1.90%, 0.00%), (LIN, 5,195, 1.79%, 0.00%), (TSLA, 6,956, 1.70%, 0.00%), (GOOG, 11,348, 1.68%, 0.00%), (JPM, 7,658, 1.63%, 0.00%), (AMT, 10,540, 1.58%, 0.00%), (XOM, 18,536, 1.44%, 0.00%), (V, 5,701, 1.39%, 0.00%), (CB, 5,817, 1.14%, 0.00%), (MA, 2,704, 1.12%, 0.00%), (WM, 6,515, 1.11%, 0.00%), (GE, 5,423, 1.10%, 0.00%), (LLY, 2,183, 1.01%, 0.00%), (ORCL, 5,456, 1.00%, 0.00%), (PLTR, 6,958, 0.95%, 0.00%), (NFLX, 1,019, 0.91%, 0.00%), (NEE, 16,737, 0.87%, 0.00%), (WMT, 11,103, 0.84%, 0.00%), (JNJ, 6,670, 0.83%, 0.00%), (COST, 1,133, 0.81%, 0.00%), (CVX, 7,049, 0.80%, 0.00%), (PG, 7,018, 0.79%, 0.00%), (UNH, 4,060, 0.76%, 0.00%), (RTX, 6,670, 0.75%, 0.00%), (CAT, 2,419, 0.73%, 0.00%), (MCD, 3,316, 0.73%, 0.00%), (ABT, 7,652, 0.73%, 0.00%), (HD, 2,509, 0.72%, 0.00%), (ABBV, 4,896, 0.70%, 0.00%), (KO, 12,690, 0.65%, 0.00%), (AMD, 5,084, 0.64%, 0.00%), (BA, 3,746, 0.62%, 0.00%), (PM, 5,089, 0.62%, 0.00%), (BAC, 18,157, 0.62%, 0.00%), (BKNG, 153, 0.61%, 0.00%), (SO, 8,918, 0.61%, 0.00%), (NKE, 10,841, 0.59%, 0.00%), (DUK, 6,287, 0.57%, 0.00%), (GS, 1,036, 0.56%, 0.00%), (CRM, 3,245, 0.55%, 0.00%), (ISRG, 1,571, 0.54%, 0.00%), (UBER, 8,069, 0.54%, 0.00%), (IBM, 3,139, 0.53%, 0.00%), (WFC, 9,056, 0.52%, 0.00%), (ETN, 1,980, 0.52%, 0.00%), (HON, 3,258, 0.51%, 0.00%), (MET, 9,025, 0.50%, 0.00%), (INTU, 951, 0.49%, 0.00%), (PEP, 4,491, 0.48%, 0.00%), (DE, 1,275, 0.47%, 0.00%), (T, 21,609, 0.45%, 0.00%), (MS, 4,093, 0.44%, 0.00%), (NOW, 699, 0.43%, 0.00%), (SPGI, 1,048, 0.43%, 0.00%), (MRK, 7,008, 0.41%, 0.00%), (AXP, 1,836, 0.40%, 0.00%), (BLK, 480, 0.40%, 0.00%), (VZ, 12,678, 0.40%, 0.00%), (TXN, 2,858, 0.39%, 0.00%), (QCOM, 3,481, 0.38%, 0.00%), (MDT, 5,658, 0.38%, 0.00%), (COP, 5,455, 0.38%, 0.00%), (UNP, 2,323, 0.37%, 0.00%), (ADBE, 1,494, 0.37%, 0.00%), (ACN, 2,121, 0.37%, 0.00%), (TMO, 1,060, 0.37%, 0.00%), (DIS, 4,318, 0.36%, 0.00%), (C, 5,144, 0.35%, 0.00%), (SBUX, 5,245, 0.35%, 0.00%), (SCHW, 4,932, 0.35%, 0.00%), (AMAT, 2,583, 0.35%, 0.00%), (LMT, 1,057, 0.33%, 0.00%), (MMM, 2,729, 0.31%, 0.00%), (AMGN, 1,489, 0.31%, 0.00%), (GILD, 3,453, 0.30%, 0.00%), (PFE, 15,700, 0.28%, 0.00%), (TJX, 2,849, 0.28%, 0.00%), (EMR, 2,857, 0.27%, 0.00%), (MO, 5,547, 0.26%, 0.00%), (DHR, 1,781, 0.26%, 0.00%), (CVS, 5,552, 0.26%, 0.00%), (LOW, 1,433, 0.25%, 0.00%), (ELV, 1,023, 0.22%, 0.00%), (CMCSA, 9,102, 0.21%, 0.00%), (INTC, 13,513, 0.21%, 0.00%), (MDLZ, 4,377, 0.20%, 0.00%), (BMY, 5,619, 0.19%, 0.00%), (UPS, 2,802, 0.18%, 0.00%), (PYPL, 3,308, 0.16%, 0.00%), (CL, 2,435, 0.15%, 0.00%), (FDX, 861, 0.15%,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</si>
  <si>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3.29%, 0.00%), (META, 3,870, 2.96%, 0.00%), (BRK/B, 4,502, 2.06%, 0.00%), (GOOGL, 10,372, 2.05%, 0.00%), (CSCO, 27,338, 1.89%, 0.00%), (LIN, 3,868, 1.78%, 0.00%), (TSLA, 5,178, 1.69%, 0.00%), (GOOG, 8,449, 1.68%, 0.00%), (JPM, 5,701, 1.62%, 0.00%), (AMT, 7,847, 1.57%, 0.00%), (XOM, 13,800, 1.43%, 0.00%), (V, 4,245, 1.39%, 0.00%), (CB, 4,330, 1.14%, 0.00%), (MA, 2,013, 1.12%, 0.00%), (WM, 4,851, 1.11%, 0.00%), (GE, 4,038, 1.10%, 0.00%), (LLY, 1,625, 1.01%, 0.00%), (ORCL, 4,062, 1.00%, 0.00%), (PLTR, 5,181, 0.95%, 0.00%), (NFLX, 759, 0.90%, 0.00%), (NEE, 12,461, 0.87%, 0.00%), (WMT, 8,266, 0.84%, 0.00%), (JNJ, 4,966, 0.83%, 0.00%), (COST, 844, 0.81%, 0.00%), (CVX, 5,248, 0.79%, 0.00%), (PG, 5,225, 0.78%, 0.00%), (UNH, 3,023, 0.75%, 0.00%), (RTX, 4,966, 0.75%, 0.00%), (CAT, 1,801, 0.73%, 0.00%), (MCD, 2,469, 0.73%, 0.00%), (ABT, 5,697, 0.72%, 0.00%), (HD, 1,868, 0.72%, 0.00%), (ABBV, 3,645, 0.70%, 0.00%), (KO, 9,448, 0.65%, 0.00%), (AMD, 3,785, 0.64%, 0.00%), (BA, 2,789, 0.62%, 0.00%), (PM, 3,789, 0.62%, 0.00%), (BAC, 13,518, 0.62%, 0.00%), (BKNG, 114, 0.61%, 0.00%), (SO, 6,639, 0.61%, 0.00%), (NKE, 8,071, 0.59%, 0.00%), (DUK, 4,681, 0.57%, 0.00%), (GS, 771, 0.56%, 0.00%), (CRM, 2,416, 0.55%, 0.00%), (ISRG, 1,170, 0.54%, 0.00%), (UBER, 6,007, 0.54%, 0.00%), (IBM, 2,337, 0.53%, 0.00%), (WFC, 6,742, 0.52%, 0.00%), (ETN, 1,474, 0.52%, 0.00%), (HON, 2,426, 0.51%, 0.00%), (MET, 6,719, 0.50%, 0.00%), (INTU, 708, 0.49%, 0.00%), (PEP, 3,343, 0.48%, 0.00%), (DE, 949, 0.47%, 0.00%), (T, 16,088, 0.45%, 0.00%), (MS, 3,047, 0.44%, 0.00%), (NOW, 521, 0.43%, 0.00%), (SPGI, 780, 0.42%, 0.00%), (MRK, 5,218, 0.41%, 0.00%), (AXP, 1,367, 0.40%, 0.00%), (BLK, 358, 0.40%, 0.00%), (VZ, 9,438, 0.40%, 0.00%), (TXN, 2,128, 0.39%, 0.00%), (QCOM, 2,591, 0.38%, 0.00%), (MDT, 4,212, 0.38%, 0.00%), (COP, 4,062, 0.38%, 0.00%), (UNP, 1,730, 0.37%, 0.00%), (ADBE, 1,113, 0.37%, 0.00%), (ACN, 1,579, 0.37%, 0.00%), (TMO, 789, 0.36%, 0.00%), (DIS, 3,215, 0.36%, 0.00%), (C, 3,830, 0.35%, 0.00%), (SBUX, 3,905, 0.35%, 0.00%), (SCHW, 3,672, 0.35%, 0.00%), (AMAT, 1,923, 0.35%, 0.00%), (LMT, 787, 0.33%, 0.00%), (MMM, 2,032, 0.31%, 0.00%), (AMGN, 1,109, 0.31%, 0.00%), (GILD, 2,570, 0.30%, 0.00%), (PFE, 11,689, 0.28%, 0.00%), (TJX, 2,121, 0.27%, 0.00%), (EMR, 2,127, 0.27%, 0.00%), (MO, 4,130, 0.26%, 0.00%), (DHR, 1,326, 0.26%, 0.00%), (CVS, 4,133, 0.26%, 0.00%), (LOW, 1,067, 0.25%, 0.00%), (ELV, 762, 0.22%, 0.00%), (CMCSA, 6,776, 0.21%, 0.00%), (INTC, 10,060, 0.21%, 0.00%), (MDLZ, 3,259, 0.20%, 0.00%), (BMY, 4,183, 0.19%, 0.00%), (UPS, 2,086, 0.18%, 0.00%), (PYPL, 2,463, 0.16%,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</si>
  <si>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3.14%, 0.00%), (META, 1,461, 2.83%, 0.00%), (BRK/B, 1,700, 1.96%, 0.00%), (GOOGL, 3,917, 1.96%, 0.00%), (CSCO, 10,323, 1.81%, 0.00%), (LIN, 1,461, 1.70%, 0.00%), (TSLA, 1,956, 1.62%, 0.00%), (GOOG, 3,190, 1.60%, 0.00%), (JPM, 2,153, 1.55%, 0.00%), (AMT, 2,963, 1.50%, 0.00%), (XOM, 5,211, 1.37%, 0.00%), (V, 1,603, 1.32%, 0.00%), (CB, 1,635, 1.09%, 0.00%), (MA, 760, 1.07%, 0.00%), (WM, 1,832, 1.06%, 0.00%), (GE, 1,525, 1.05%, 0.00%), (LLY, 614, 0.96%, 0.00%), (ORCL, 1,534, 0.95%, 0.00%), (PLTR, 1,956, 0.90%, 0.00%), (NFLX, 287, 0.86%, 0.00%), (NEE, 4,705, 0.83%, 0.00%), (WMT, 3,122, 0.80%, 0.00%), (JNJ, 1,875, 0.79%, 0.00%), (COST, 319, 0.77%, 0.00%), (CVX, 1,982, 0.76%, 0.00%), (PG, 1,973, 0.75%, 0.00%), (UNH, 1,141, 0.72%, 0.00%), (RTX, 1,875, 0.71%, 0.00%), (CAT, 680, 0.69%, 0.00%), (MCD, 932, 0.69%, 0.00%), (ABT, 2,151, 0.69%, 0.00%), (HD, 705, 0.68%, 0.00%), (ABBV, 1,376, 0.67%, 0.00%), (KO, 3,568, 0.62%, 0.00%), (AMD, 1,429, 0.61%, 0.00%), (BA, 1,053, 0.59%, 0.00%), (BAC, 5,105, 0.59%, 0.00%), (PM, 1,431, 0.59%, 0.00%), (BKNG, 43, 0.58%, 0.00%), (SO, 2,507, 0.58%, 0.00%), (NKE, 3,048, 0.56%, 0.00%), (DUK, 1,768, 0.54%, 0.00%), (GS, 291, 0.53%, 0.00%), (CRM, 912, 0.52%, 0.00%), (ISRG, 442, 0.52%, 0.00%), (UBER, 2,268, 0.51%, 0.00%), (IBM, 882, 0.51%, 0.00%), (WFC, 2,546, 0.50%, 0.00%), (ETN, 557, 0.49%, 0.00%), (HON, 916, 0.49%, 0.00%), (MET, 2,537, 0.48%, 0.00%), (INTU, 268, 0.46%, 0.00%), (PEP, 1,263, 0.45%, 0.00%), (DE, 358, 0.44%, 0.00%), (T, 6,075, 0.42%, 0.00%), (MS, 1,151, 0.42%, 0.00%), (NOW, 197, 0.41%, 0.00%), (SPGI, 294, 0.40%, 0.00%), (MRK, 1,970, 0.39%, 0.00%), (AXP, 516, 0.38%, 0.00%), (BLK, 135, 0.38%, 0.00%), (VZ, 3,564, 0.38%, 0.00%), (TXN, 803, 0.38%, 0.00%), (QCOM, 979, 0.37%, 0.00%), (MDT, 1,591, 0.36%, 0.00%), (COP, 1,534, 0.36%, 0.00%), (UNP, 653, 0.35%, 0.00%), (ACN, 596, 0.35%, 0.00%), (ADBE, 420, 0.35%, 0.00%), (TMO, 298, 0.35%, 0.00%), (DIS, 1,214, 0.34%, 0.00%), (C, 1,446, 0.34%, 0.00%), (SBUX, 1,475, 0.34%, 0.00%), (SCHW, 1,387, 0.34%, 0.00%), (AMAT, 726, 0.33%, 0.00%), (LMT, 297, 0.31%, 0.00%), (MMM, 767, 0.30%, 0.00%), (AMGN, 419, 0.29%, 0.00%), (GILD, 971, 0.28%, 0.00%), (PFE, 4,414, 0.27%, 0.00%), (TJX, 801, 0.26%, 0.00%), (EMR, 803, 0.26%, 0.00%), (DHR, 501, 0.25%, 0.00%), (MO, 1,560, 0.25%, 0.00%), (CVS, 1,561, 0.25%, 0.00%), (LOW, 403, 0.24%, 0.00%), (ELV, 288, 0.21%, 0.00%), (CMCSA, 2,559, 0.20%, 0.00%), (INTC, 3,799, 0.20%, 0.00%), (MDLZ, 1,230, 0.19%, 0.00%), (BMY, 1,580, 0.18%, 0.00%), (UPS, 788, 0.17%, 0.00%), (PYPL, 930, 0.15%, 0.00%), (CL, 684, 0.14%, 0.00%), (FDX, 242, 0.14%, 0.00%), (USB, 1,193, 0.13%, 0.00%), (TGT, 331, 0.09%, 0.00%), (SC28181B, nan, nan%, 0.00%), (SC28183B, nan, nan%, 0.00%), (SP28182B, nan, nan%, 0.00%), (SP28185B, nan, nan%, 0.00%), (SP28184B, nan, nan%, 0.00%), (XP28185B, nan, nan%, 0.00%)</t>
  </si>
  <si>
    <t>(AVGO, 4,472, 3.17%, 0.00%), (META, 1,589, 2.86%, 0.00%), (BRK/B, 1,848, 1.99%, 0.00%), (GOOGL, 4,258, 1.98%, 0.00%), (CSCO, 11,221, 1.83%, 0.00%), (LIN, 1,588, 1.72%, 0.00%), (TSLA, 2,126, 1.64%, 0.00%), (GOOG, 3,468, 1.62%, 0.00%), (JPM, 2,340, 1.57%, 0.00%), (AMT, 3,221, 1.52%, 0.00%), (XOM, 5,664, 1.38%, 0.00%), (V, 1,742, 1.34%, 0.00%), (CB, 1,778, 1.10%, 0.00%), (MA, 826, 1.08%, 0.00%), (WM, 1,991, 1.07%, 0.00%), (GE, 1,657, 1.06%, 0.00%), (LLY, 667, 0.97%, 0.00%), (ORCL, 1,667, 0.97%, 0.00%), (PLTR, 2,126, 0.91%, 0.00%), (NFLX, 311, 0.87%, 0.00%), (NEE, 5,115, 0.84%, 0.00%), (WMT, 3,393, 0.81%, 0.00%), (JNJ, 2,038, 0.80%, 0.00%), (COST, 346, 0.78%, 0.00%), (CVX, 2,154, 0.77%, 0.00%), (PG, 2,145, 0.76%, 0.00%), (UNH, 1,241, 0.73%, 0.00%), (RTX, 2,038, 0.72%, 0.00%), (CAT, 739, 0.70%, 0.00%), (MCD, 1,013, 0.70%, 0.00%), (ABT, 2,338, 0.70%, 0.00%), (HD, 767, 0.69%, 0.00%), (ABBV, 1,496, 0.68%, 0.00%), (KO, 3,878, 0.63%, 0.00%), (AMD, 1,554, 0.62%, 0.00%), (BA, 1,145, 0.60%, 0.00%), (BAC, 5,549, 0.60%, 0.00%), (PM, 1,555, 0.60%, 0.00%), (BKNG, 47, 0.59%, 0.00%), (SO, 2,725, 0.58%, 0.00%), (NKE, 3,313, 0.57%, 0.00%), (DUK, 1,921, 0.55%, 0.00%), (GS, 316, 0.54%, 0.00%), (CRM, 992, 0.53%, 0.00%), (ISRG, 480, 0.52%, 0.00%), (UBER, 2,466, 0.52%, 0.00%), (IBM, 959, 0.51%, 0.00%), (WFC, 2,768, 0.50%, 0.00%), (ETN, 605, 0.50%, 0.00%), (HON, 996, 0.49%, 0.00%), (MET, 2,758, 0.48%, 0.00%), (INTU, 291, 0.47%, 0.00%), (PEP, 1,372, 0.46%, 0.00%), (DE, 390, 0.45%, 0.00%), (T, 6,604, 0.43%, 0.00%), (MS, 1,251, 0.42%, 0.00%), (NOW, 214, 0.42%, 0.00%), (SPGI, 320, 0.41%, 0.00%), (MRK, 2,142, 0.39%, 0.00%), (BLK, 147, 0.39%, 0.00%), (AXP, 561, 0.39%, 0.00%), (VZ, 3,874, 0.38%, 0.00%), (TXN, 873, 0.38%, 0.00%), (QCOM, 1,064, 0.37%, 0.00%), (MDT, 1,729, 0.36%, 0.00%), (COP, 1,667, 0.36%, 0.00%), (UNP, 710, 0.36%, 0.00%), (ADBE, 457, 0.35%, 0.00%), (ACN, 648, 0.35%, 0.00%), (TMO, 324, 0.35%, 0.00%), (DIS, 1,320, 0.34%, 0.00%), (C, 1,572, 0.34%, 0.00%), (SBUX, 1,603, 0.34%, 0.00%), (SCHW, 1,507, 0.34%, 0.00%), (AMAT, 789, 0.34%, 0.00%), (LMT, 323, 0.31%, 0.00%), (MMM, 834, 0.30%, 0.00%), (AMGN, 455, 0.30%, 0.00%), (GILD, 1,055, 0.29%, 0.00%), (PFE, 4,798, 0.27%, 0.00%), (TJX, 871, 0.27%, 0.00%), (EMR, 873, 0.26%, 0.00%), (MO, 1,695, 0.25%, 0.00%), (DHR, 544, 0.25%, 0.00%), (CVS, 1,697, 0.25%, 0.00%), (LOW, 438, 0.24%, 0.00%), (ELV, 313, 0.21%, 0.00%), (CMCSA, 2,781, 0.20%, 0.00%), (INTC, 4,129, 0.20%, 0.00%), (MDLZ, 1,338, 0.19%, 0.00%), (BMY, 1,717, 0.18%, 0.00%), (UPS, 856, 0.17%, 0.00%), (PYPL, 1,011, 0.16%, 0.00%), (CL, 744, 0.14%,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</si>
  <si>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3.29%, 0.00%), (META, 2,989, 2.96%, 0.00%), (BRK/B, 3,478, 2.06%, 0.00%), (GOOGL, 8,012, 2.05%, 0.00%), (CSCO, 21,115, 1.89%, 0.00%), (LIN, 2,987, 1.78%, 0.00%), (TSLA, 4,000, 1.70%, 0.00%), (GOOG, 6,526, 1.68%, 0.00%), (JPM, 4,403, 1.62%, 0.00%), (AMT, 6,061, 1.57%, 0.00%), (XOM, 10,659, 1.43%, 0.00%), (V, 3,279, 1.39%, 0.00%), (CB, 3,345, 1.14%, 0.00%), (MA, 1,555, 1.12%, 0.00%), (WM, 3,747, 1.11%, 0.00%), (GE, 3,119, 1.10%, 0.00%), (LLY, 1,255, 1.01%, 0.00%), (ORCL, 3,137, 1.00%, 0.00%), (PLTR, 4,001, 0.95%, 0.00%), (NFLX, 586, 0.90%, 0.00%), (NEE, 9,624, 0.87%, 0.00%), (WMT, 6,385, 0.83%, 0.00%), (JNJ, 3,836, 0.83%, 0.00%), (COST, 652, 0.81%, 0.00%), (CVX, 4,053, 0.79%, 0.00%), (PG, 4,036, 0.79%, 0.00%), (UNH, 2,335, 0.76%, 0.00%), (RTX, 3,835, 0.75%, 0.00%), (CAT, 1,391, 0.73%, 0.00%), (MCD, 1,907, 0.72%, 0.00%), (ABT, 4,400, 0.72%, 0.00%), (HD, 1,443, 0.72%, 0.00%), (ABBV, 2,815, 0.70%, 0.00%), (KO, 7,297, 0.65%, 0.00%), (AMD, 2,924, 0.64%, 0.00%), (BA, 2,154, 0.62%, 0.00%), (BAC, 10,441, 0.62%, 0.00%), (PM, 2,926, 0.62%, 0.00%), (BKNG, 88, 0.61%, 0.00%), (SO, 5,128, 0.61%, 0.00%), (NKE, 6,234, 0.59%, 0.00%), (DUK, 3,615, 0.57%, 0.00%), (GS, 596, 0.56%, 0.00%), (CRM, 1,866, 0.55%, 0.00%), (ISRG, 904, 0.54%, 0.00%), (UBER, 4,640, 0.54%, 0.00%), (IBM, 1,805, 0.53%, 0.00%), (WFC, 5,208, 0.52%, 0.00%), (ETN, 1,139, 0.52%, 0.00%), (HON, 1,874, 0.51%, 0.00%), (MET, 5,189, 0.50%, 0.00%), (INTU, 547, 0.49%, 0.00%), (PEP, 2,582, 0.48%, 0.00%), (DE, 733, 0.47%, 0.00%), (T, 12,426, 0.45%, 0.00%), (MS, 2,353, 0.44%, 0.00%), (NOW, 402, 0.43%, 0.00%), (SPGI, 602, 0.42%, 0.00%), (MRK, 4,030, 0.41%, 0.00%), (AXP, 1,056, 0.40%, 0.00%), (BLK, 276, 0.40%, 0.00%), (VZ, 7,290, 0.40%, 0.00%), (TXN, 1,643, 0.39%, 0.00%), (QCOM, 2,002, 0.38%, 0.00%), (COP, 3,137, 0.38%, 0.00%), (MDT, 3,253, 0.38%, 0.00%), (UNP, 1,336, 0.37%, 0.00%), (ACN, 1,220, 0.37%, 0.00%), (TMO, 609, 0.37%, 0.00%), (ADBE, 859, 0.37%, 0.00%), (DIS, 2,483, 0.36%, 0.00%), (C, 2,958, 0.35%, 0.00%), (SBUX, 3,016, 0.35%, 0.00%), (SCHW, 2,836, 0.35%, 0.00%), (AMAT, 1,485, 0.35%, 0.00%), (LMT, 608, 0.33%, 0.00%), (MMM, 1,569, 0.31%, 0.00%), (AMGN, 856, 0.31%, 0.00%), (GILD, 1,985, 0.30%, 0.00%), (PFE, 9,028, 0.28%, 0.00%), (TJX, 1,638, 0.27%, 0.00%), (EMR, 1,643, 0.27%, 0.00%), (MO, 3,190, 0.26%, 0.00%), (DHR, 1,024, 0.26%, 0.00%), (CVS, 3,192, 0.26%, 0.00%), (LOW, 824, 0.25%, 0.00%), (ELV, 588, 0.22%, 0.00%), (CMCSA, 5,234, 0.21%, 0.00%), (INTC, 7,770, 0.21%, 0.00%), (MDLZ, 2,517, 0.20%, 0.00%), (BMY, 3,231, 0.19%, 0.00%), (UPS, 1,612, 0.18%, 0.00%), (PYPL, 1,902, 0.16%,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</si>
  <si>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EA, MLI, BLK, GOOGL, JPM, PHM, BKNG</t>
  </si>
  <si>
    <t>(AMAT, 5,573, 1.91%, 0.00%), (RJF, 6,500, 1.91%, 0.00%), (EWBC, 10,055, 1.85%, 0.01%), (HIG, 7,789, 1.84%, 0.00%), (AXP, 3,281, 1.80%, 0.00%), (V, 2,909, 1.80%, 0.00%), (TRV, 3,701, 1.80%, 0.00%), (NVDA, 5,435, 1.78%, 0.00%), (KLAC, 1,029, 1.76%, 0.00%), (ROST, 6,480, 1.75%, 0.00%), (SNA, 2,900, 1.73%, 0.01%), (ADP, 3,108, 1.69%, 0.00%), (PCAR, 9,199, 1.67%, 0.00%), (UNM, 13,085, 1.67%, 0.01%), (LEN, 6,867, 1.63%, 0.00%), (CB, 3,282, 1.62%, 0.00%), (SYF, 12,147, 1.58%, 0.00%), (WSM, 4,113, 1.55%, 0.00%), (CTSH, 11,756, 1.48%, 0.00%), (PAYC, 3,559, 1.42%, 0.01%), (CRM, 3,332, 1.42%, 0.00%), (DHI, 4,563, 1.37%, 0.00%), (BKR, 17,301, 1.33%, 0.00%), (QCOM, 4,692, 1.32%, 0.00%), (AAPL, 3,029, 1.27%, 0.00%), (ACN, 2,772, 1.23%, 0.00%), (AFL, 6,426, 1.22%, 0.00%), (ELV, 2,228, 1.18%, 0.00%), (LRCX, 5,993, 1.15%, 0.00%), (MPWR, 742, 1.15%, 0.00%), (CSCO, 8,704, 1.11%, 0.00%), (ODFL, 3,986, 1.09%, 0.00%), (GE, 2,100, 1.01%, 0.00%), (STT, 4,824, 0.97%, 0.00%), (PNC, 2,583, 0.90%, 0.00%), (MTB, 2,567, 0.89%, 0.00%), (AMP, 940, 0.86%, 0.00%), (COST, 483, 0.85%, 0.00%), (CF, 5,513, 0.85%, 0.00%), (ABT, 3,473, 0.81%, 0.00%), (XOM, 4,038, 0.77%, 0.00%), (EOG, 3,633, 0.77%, 0.00%), (CSL, 1,082, 0.77%, 0.00%), (EG, 1,222, 0.74%, 0.00%), (GEV, 492, 0.56%, 0.00%), (NTRS, 2,239, 0.51%, 0.00%), (MA, 467, 0.48%, 0.00%), (CRBG, 7,693, 0.48%, 0.00%), (JNJ, 1,499, 0.47%, 0.00%), (ACM, 2,118, 0.46%, 0.00%), (LNC, 6,124, 0.44%, 0.00%), (MTG, 8,798, 0.44%, 0.00%), (JXN, 2,528, 0.44%, 0.00%), (CINF, 1,557, 0.43%, 0.00%), (DOV, 1,309, 0.43%, 0.00%), (SLM, 7,189, 0.43%, 0.00%), (EQH, 4,341, 0.43%, 0.00%), (ALL, 1,109, 0.42%, 0.00%), (WTFC, 1,804, 0.42%, 0.00%), (ADM, 3,729, 0.40%, 0.00%), (NUE, 1,497, 0.39%, 0.00%), (MCK, 323, 0.38%, 0.00%), (NKE, 2,729, 0.38%, 0.00%), (PGR, 817, 0.36%, 0.00%), (FANG, 1,166, 0.29%, 0.00%), (SC13N61B, nan, nan%, 0.00%), (SC13N63B, nan, nan%, 0.00%), (SP13N62B, nan, nan%, 0.00%), (SP13N65B, nan, nan%, 0.00%), (SP13N64B, nan, nan%, 0.00%), (SPX Index, nan, nan%, 0.00%), (XP13N65B, nan, nan%, 0.00%)</t>
  </si>
  <si>
    <t>(AVGO, 3,881, 3.40%, 0.00%), (META, 1,379, 3.07%, 0.00%), (BRK/B, 1,604, 2.17%, 0.00%), (GOOGL, 3,695, 2.12%, 0.00%), (CSCO, 9,739, 1.96%, 0.00%), (LIN, 1,378, 1.87%, 0.00%), (TSLA, 1,845, 1.78%, 0.00%), (GOOG, 3,010, 1.74%, 0.00%), (JPM, 2,031, 1.68%, 0.00%), (AMT, 2,795, 1.63%, 0.00%), (XOM, 4,916, 1.50%, 0.00%), (V, 1,512, 1.48%, 0.00%), (CB, 1,543, 1.21%, 0.00%), (MA, 717, 1.18%, 0.00%), (WM, 1,728, 1.13%, 0.00%), (GE, 1,438, 1.10%, 0.00%), (LLY, 579, 1.08%, 0.00%), (ORCL, 1,447, 1.01%, 0.00%), (PLTR, 1,846, 0.98%, 0.00%), (NFLX, 270, 0.93%, 0.00%), (NEE, 4,439, 0.91%, 0.00%), (JNJ, 1,769, 0.88%, 0.00%), (WMT, 2,945, 0.85%, 0.00%), (COST, 301, 0.84%, 0.00%), (CVX, 1,870, 0.83%, 0.00%), (PG, 1,861, 0.83%, 0.00%), (UNH, 1,077, 0.82%, 0.00%), (RTX, 1,769, 0.78%, 0.00%), (MCD, 880, 0.76%, 0.00%), (HD, 666, 0.76%, 0.00%), (CAT, 642, 0.76%, 0.00%), (ABT, 2,029, 0.75%, 0.00%), (ABBV, 1,299, 0.74%, 0.00%), (AMD, 1,349, 0.70%, 0.00%), (KO, 3,366, 0.68%, 0.00%), (BA, 994, 0.66%, 0.00%), (BAC, 4,816, 0.65%, 0.00%), (PM, 1,350, 0.64%, 0.00%), (SO, 2,365, 0.64%, 0.00%), (BKNG, 41, 0.64%, 0.00%), (NKE, 2,875, 0.63%, 0.00%), (DUK, 1,668, 0.60%, 0.00%), (CRM, 861, 0.58%, 0.00%), (GS, 275, 0.58%, 0.00%), (IBM, 833, 0.57%, 0.00%), (ISRG, 417, 0.57%, 0.00%), (UBER, 2,140, 0.55%, 0.00%), (HON, 864, 0.54%, 0.00%), (WFC, 2,402, 0.54%, 0.00%), (ETN, 525, 0.53%, 0.00%), (MET, 2,394, 0.53%, 0.00%), (INTU, 252, 0.51%, 0.00%), (PEP, 1,191, 0.50%, 0.00%), (DE, 338, 0.49%, 0.00%), (T, 5,731, 0.46%, 0.00%), (NOW, 185, 0.45%, 0.00%), (MS, 1,086, 0.45%, 0.00%), (SPGI, 278, 0.45%, 0.00%), (MRK, 1,859, 0.43%, 0.00%), (AXP, 487, 0.42%, 0.00%), (BLK, 127, 0.42%, 0.00%), (VZ, 3,363, 0.42%, 0.00%), (TXN, 758, 0.41%, 0.00%), (QCOM, 923, 0.41%, 0.00%), (MDT, 1,501, 0.40%, 0.00%), (ADBE, 396, 0.39%, 0.00%), (ACN, 563, 0.39%, 0.00%), (COP, 1,447, 0.39%, 0.00%), (UNP, 616, 0.39%, 0.00%), (TMO, 281, 0.38%, 0.00%), (DIS, 1,145, 0.38%, 0.00%), (SBUX, 1,391, 0.37%, 0.00%), (C, 1,364, 0.37%, 0.00%), (AMAT, 685, 0.37%, 0.00%), (SCHW, 1,308, 0.36%, 0.00%), (LMT, 280, 0.35%, 0.00%), (MMM, 724, 0.33%, 0.00%), (AMGN, 395, 0.33%, 0.00%), (GILD, 916, 0.31%, 0.00%), (PFE, 4,164, 0.30%, 0.00%), (EMR, 758, 0.29%, 0.00%), (TJX, 756, 0.29%, 0.00%), (DHR, 472, 0.28%, 0.00%), (CVS, 1,472, 0.28%, 0.00%), (LOW, 380, 0.27%, 0.00%), (MO, 1,471, 0.27%, 0.00%), (ELV, 271, 0.23%, 0.00%), (CMCSA, 2,414, 0.22%, 0.00%), (INTC, 3,584, 0.22%, 0.00%), (MDLZ, 1,161, 0.21%, 0.00%), (BMY, 1,490, 0.20%, 0.00%), (UPS, 743, 0.18%, 0.00%), (PYPL, 877, 0.18%, 0.00%), (CL, 646, 0.16%, 0.00%), (FDX, 228, 0.15%, 0.00%), (USB, 1,125, 0.15%, 0.00%), (TGT, 213, 0.06%, 0.00%), (SC31761B, nan, nan%, 0.00%), (SC31763B, nan, nan%, 0.00%), (SP31762B, nan, nan%, 0.00%), (SP31765B, nan, nan%, 0.00%), (SP31764B, nan, nan%, 0.00%), (XP31765B, nan, nan%, 0.00%)</t>
  </si>
  <si>
    <t>(AVGO, 2,553, 3.28%, 0.00%), (META, 907, 2.96%, 0.00%), (BRK/B, 1,055, 2.10%, 0.00%), (GOOGL, 2,431, 2.05%, 0.00%), (CSCO, 6,406, 1.89%, 0.00%), (LIN, 906, 1.80%, 0.00%), (TSLA, 1,213, 1.72%, 0.00%), (GOOG, 1,980, 1.68%, 0.00%), (JPM, 1,336, 1.62%, 0.00%), (AMT, 1,839, 1.57%, 0.00%), (XOM, 3,234, 1.45%, 0.00%), (V, 995, 1.43%, 0.00%), (CB, 1,015, 1.16%, 0.00%), (MA, 472, 1.14%, 0.00%), (WM, 1,137, 1.09%, 0.00%), (GE, 946, 1.06%, 0.00%), (LLY, 381, 1.04%, 0.00%), (ORCL, 952, 0.97%, 0.00%), (PLTR, 1,214, 0.94%, 0.00%), (NFLX, 178, 0.90%, 0.00%), (NEE, 2,920, 0.88%, 0.00%), (JNJ, 1,164, 0.85%, 0.00%), (WMT, 1,937, 0.82%, 0.00%), (COST, 198, 0.81%, 0.00%), (CVX, 1,230, 0.80%, 0.00%), (PG, 1,224, 0.80%, 0.00%), (UNH, 708, 0.79%, 0.00%), (RTX, 1,164, 0.76%, 0.00%), (HD, 438, 0.74%, 0.00%), (MCD, 579, 0.74%, 0.00%), (CAT, 422, 0.73%, 0.00%), (ABT, 1,335, 0.73%, 0.00%), (ABBV, 854, 0.72%, 0.00%), (AMD, 887, 0.67%, 0.00%), (KO, 2,214, 0.65%, 0.00%), (BA, 654, 0.64%, 0.00%), (BAC, 3,168, 0.62%, 0.00%), (PM, 888, 0.62%, 0.00%), (SO, 1,556, 0.62%, 0.00%), (BKNG, 27, 0.62%, 0.00%), (NKE, 1,891, 0.61%, 0.00%), (DUK, 1,097, 0.58%, 0.00%), (CRM, 566, 0.56%, 0.00%), (GS, 181, 0.56%, 0.00%), (IBM, 548, 0.55%, 0.00%), (ISRG, 274, 0.55%, 0.00%), (UBER, 1,408, 0.53%, 0.00%), (HON, 568, 0.52%, 0.00%), (WFC, 1,580, 0.52%, 0.00%), (ETN, 345, 0.51%, 0.00%), (MET, 1,574, 0.51%, 0.00%), (INTU, 166, 0.50%, 0.00%), (PEP, 783, 0.49%, 0.00%), (DE, 222, 0.47%, 0.00%), (T, 3,770, 0.45%, 0.00%), (NOW, 122, 0.44%, 0.00%), (MS, 714, 0.44%, 0.00%), (SPGI, 183, 0.43%, 0.00%), (MRK, 1,223, 0.42%, 0.00%), (BLK, 84, 0.41%, 0.00%), (AXP, 320, 0.41%, 0.00%), (VZ, 2,212, 0.40%, 0.00%), (TXN, 499, 0.40%, 0.00%), (QCOM, 607, 0.39%, 0.00%), (MDT, 987, 0.38%, 0.00%), (ACN, 370, 0.38%, 0.00%), (ADBE, 261, 0.38%, 0.00%), (COP, 952, 0.38%, 0.00%), (UNP, 405, 0.38%, 0.00%), (TMO, 185, 0.37%, 0.00%), (DIS, 753, 0.37%, 0.00%), (SBUX, 915, 0.36%, 0.00%), (AMAT, 451, 0.36%, 0.00%), (C, 897, 0.36%, 0.00%), (SCHW, 860, 0.35%, 0.00%), (LMT, 184, 0.34%, 0.00%), (MMM, 476, 0.32%, 0.00%), (AMGN, 260, 0.31%, 0.00%), (GILD, 602, 0.30%, 0.00%), (PFE, 2,739, 0.29%, 0.00%), (EMR, 498, 0.28%, 0.00%), (TJX, 497, 0.28%, 0.00%), (DHR, 311, 0.27%, 0.00%), (CVS, 969, 0.27%, 0.00%), (MO, 968, 0.26%, 0.00%), (LOW, 250, 0.26%, 0.00%), (CMCSA, 1,588, 0.22%, 0.00%), (ELV, 178, 0.22%, 0.00%), (INTC, 2,357, 0.21%, 0.00%), (MDLZ, 764, 0.20%, 0.00%), (BMY, 980, 0.19%, 0.00%), (UPS, 489, 0.18%, 0.00%), (PYPL, 577, 0.17%, 0.00%), (CL, 425, 0.15%, 0.00%), (FDX, 150, 0.14%, 0.00%), (USB, 740, 0.14%, 0.00%), (TGT, 106, 0.05%, 0.00%), (SC9061B, nan, nan%, 0.00%), (SC9063B, nan, nan%, 0.00%), (SP9062B, nan, nan%, 0.00%), (SP9065B, nan, nan%, 0.00%), (SP9064B, nan, nan%, 0.00%), (XP9065B, nan, nan%, 0.00%)</t>
  </si>
  <si>
    <t>(META, 866, 2.73%, 0.00%), (BRK/B, 1,008, 1.94%, 0.00%), (GOOGL, 2,322, 1.89%, 0.00%), (CSCO, 6,119, 1.75%, 0.00%), (LIN, 866, 1.66%, 0.00%), (TSLA, 1,159, 1.58%, 0.00%), (GOOG, 1,891, 1.55%, 0.00%), (JPM, 1,276, 1.49%, 0.00%), (AMT, 1,756, 1.45%, 0.00%), (XOM, 3,089, 1.33%, 0.00%), (V, 950, 1.32%, 0.00%), (CB, 969, 1.08%, 0.00%), (MA, 451, 1.05%, 0.00%), (WM, 1,086, 1.01%, 0.00%), (GE, 904, 0.98%, 0.00%), (LLY, 364, 0.96%, 0.00%), (ORCL, 909, 0.90%, 0.00%), (PLTR, 1,160, 0.87%, 0.00%), (NFLX, 170, 0.84%, 0.00%), (NEE, 2,789, 0.81%, 0.00%), (JNJ, 1,112, 0.78%, 0.00%), (WMT, 1,850, 0.76%, 0.00%), (COST, 189, 0.75%, 0.00%), (CVX, 1,175, 0.74%, 0.00%), (PG, 1,170, 0.74%, 0.00%), (UNH, 677, 0.73%, 0.00%), (RTX, 1,112, 0.70%, 0.00%), (MCD, 553, 0.68%, 0.00%), (HD, 418, 0.68%, 0.00%), (CAT, 403, 0.68%, 0.00%), (ABT, 1,275, 0.67%, 0.00%), (ABBV, 816, 0.66%, 0.00%), (AMD, 847, 0.62%, 0.00%), (KO, 2,115, 0.60%, 0.00%), (BA, 624, 0.59%, 0.00%), (BAC, 3,026, 0.58%, 0.00%), (BKNG, 26, 0.57%, 0.00%), (PM, 848, 0.57%, 0.00%), (SO, 1,486, 0.57%, 0.00%), (NKE, 1,807, 0.56%, 0.00%), (DUK, 1,048, 0.53%, 0.00%), (GS, 173, 0.52%, 0.00%), (CRM, 541, 0.52%, 0.00%), (IBM, 523, 0.51%, 0.00%), (ISRG, 262, 0.51%, 0.00%), (UBER, 1,345, 0.49%, 0.00%), (HON, 543, 0.48%, 0.00%), (WFC, 1,509, 0.48%, 0.00%), (ETN, 330, 0.47%, 0.00%), (MET, 1,504, 0.47%, 0.00%), (INTU, 159, 0.46%, 0.00%), (PEP, 748, 0.45%, 0.00%), (DE, 212, 0.43%, 0.00%), (T, 3,601, 0.41%, 0.00%), (NOW, 117, 0.41%, 0.00%), (MS, 682, 0.40%, 0.00%), (SPGI, 175, 0.40%, 0.00%), (MRK, 1,168, 0.39%, 0.00%), (AXP, 306, 0.38%, 0.00%), (BLK, 80, 0.38%, 0.00%), (VZ, 2,113, 0.37%, 0.00%), (TXN, 476, 0.37%, 0.00%), (QCOM, 580, 0.37%, 0.00%), (MDT, 943, 0.35%, 0.00%), (ACN, 353, 0.35%, 0.00%), (ADBE, 249, 0.35%, 0.00%), (COP, 909, 0.35%, 0.00%), (UNP, 387, 0.35%, 0.00%), (TMO, 177, 0.35%, 0.00%), (DIS, 720, 0.34%, 0.00%), (SBUX, 874, 0.33%, 0.00%), (C, 857, 0.33%, 0.00%), (AMAT, 430, 0.33%, 0.00%), (SCHW, 822, 0.32%, 0.00%), (LMT, 176, 0.31%, 0.00%), (MMM, 455, 0.29%, 0.00%), (AMGN, 248, 0.29%, 0.00%), (GILD, 575, 0.28%, 0.00%), (PFE, 2,616, 0.26%, 0.00%), (EMR, 476, 0.26%, 0.00%), (TJX, 475, 0.26%, 0.00%), (DHR, 297, 0.25%, 0.00%), (CVS, 925, 0.25%, 0.00%), (MO, 924, 0.24%, 0.00%), (LOW, 239, 0.24%, 0.00%), (ELV, 171, 0.20%, 0.00%), (CMCSA, 1,517, 0.20%, 0.00%), (INTC, 2,252, 0.20%, 0.00%), (MDLZ, 729, 0.18%, 0.00%), (BMY, 936, 0.18%, 0.00%), (UPS, 467, 0.16%, 0.00%), (PYPL, 551, 0.16%,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</si>
  <si>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3.20%, 0.00%), (META, 576, 2.89%, 0.00%), (BRK/B, 670, 2.05%, 0.00%), (GOOGL, 1,543, 2.00%, 0.00%), (CSCO, 4,066, 1.85%, 0.00%), (LIN, 575, 1.76%, 0.00%), (TSLA, 770, 1.67%, 0.00%), (GOOG, 1,257, 1.64%, 0.00%), (JPM, 848, 1.58%, 0.00%), (AMT, 1,167, 1.53%, 0.00%), (XOM, 2,053, 1.41%, 0.00%), (V, 631, 1.39%, 0.00%), (CB, 644, 1.13%, 0.00%), (MA, 299, 1.11%, 0.00%), (WM, 721, 1.07%, 0.00%), (GE, 601, 1.04%, 0.00%), (LLY, 242, 1.01%, 0.00%), (ORCL, 604, 0.95%, 0.00%), (PLTR, 771, 0.92%, 0.00%), (NFLX, 113, 0.88%, 0.00%), (NEE, 1,853, 0.85%, 0.00%), (JNJ, 739, 0.83%, 0.00%), (WMT, 1,230, 0.80%, 0.00%), (COST, 126, 0.80%, 0.00%), (CVX, 781, 0.78%, 0.00%), (PG, 777, 0.78%, 0.00%), (UNH, 450, 0.77%, 0.00%), (RTX, 739, 0.74%, 0.00%), (MCD, 367, 0.72%, 0.00%), (HD, 278, 0.72%, 0.00%), (CAT, 268, 0.71%, 0.00%), (ABT, 847, 0.71%, 0.00%), (ABBV, 542, 0.70%, 0.00%), (AMD, 563, 0.66%, 0.00%), (KO, 1,405, 0.64%, 0.00%), (BA, 415, 0.62%, 0.00%), (BAC, 2,011, 0.61%, 0.00%), (PM, 564, 0.60%, 0.00%), (SO, 987, 0.60%, 0.00%), (BKNG, 17, 0.60%, 0.00%), (NKE, 1,200, 0.59%, 0.00%), (DUK, 696, 0.56%, 0.00%), (GS, 115, 0.55%, 0.00%), (CRM, 359, 0.55%, 0.00%), (ISRG, 174, 0.54%, 0.00%), (IBM, 348, 0.54%, 0.00%), (UBER, 893, 0.52%, 0.00%), (HON, 361, 0.51%, 0.00%), (WFC, 1,003, 0.50%, 0.00%), (ETN, 219, 0.50%, 0.00%), (MET, 999, 0.50%, 0.00%), (INTU, 105, 0.48%, 0.00%), (PEP, 497, 0.48%, 0.00%), (DE, 141, 0.46%, 0.00%), (T, 2,393, 0.44%, 0.00%), (NOW, 77, 0.43%, 0.00%), (MS, 453, 0.43%, 0.00%), (SPGI, 116, 0.42%, 0.00%), (MRK, 776, 0.41%, 0.00%), (BLK, 53, 0.40%, 0.00%), (AXP, 203, 0.40%, 0.00%), (VZ, 1,404, 0.39%, 0.00%), (TXN, 316, 0.39%, 0.00%), (QCOM, 385, 0.38%, 0.00%), (MDT, 627, 0.37%, 0.00%), (ADBE, 165, 0.37%, 0.00%), (ACN, 235, 0.37%, 0.00%), (COP, 604, 0.37%, 0.00%), (UNP, 257, 0.37%, 0.00%), (TMO, 117, 0.37%, 0.00%), (DIS, 478, 0.36%, 0.00%), (SBUX, 581, 0.35%, 0.00%), (C, 570, 0.35%, 0.00%), (AMAT, 286, 0.35%, 0.00%), (SCHW, 546, 0.34%, 0.00%), (LMT, 117, 0.33%, 0.00%), (AMGN, 165, 0.31%, 0.00%), (MMM, 302, 0.31%, 0.00%), (GILD, 382, 0.29%, 0.00%), (PFE, 1,739, 0.28%, 0.00%), (EMR, 316, 0.27%, 0.00%), (TJX, 316, 0.27%, 0.00%), (DHR, 197, 0.26%, 0.00%), (LOW, 159, 0.26%, 0.00%), (CVS, 615, 0.26%, 0.00%), (MO, 614, 0.26%, 0.00%), (ELV, 113, 0.21%, 0.00%), (CMCSA, 1,008, 0.21%, 0.00%), (INTC, 1,496, 0.21%, 0.00%), (MDLZ, 485, 0.19%, 0.00%), (BMY, 622, 0.19%, 0.00%), (UPS, 310, 0.17%,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</si>
  <si>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2.79%, 0.00%), (BRK/B, 6,969, 1.98%, 0.00%), (GOOGL, 16,055, 1.93%, 0.00%), (CSCO, 42,316, 1.78%, 0.00%), (LIN, 5,987, 1.70%, 0.00%), (TSLA, 8,016, 1.61%, 0.00%), (GOOG, 13,078, 1.58%, 0.00%), (JPM, 8,825, 1.52%, 0.00%), (AMT, 12,146, 1.48%, 0.00%), (XOM, 21,361, 1.36%, 0.00%), (V, 6,570, 1.34%, 0.00%), (CB, 6,703, 1.10%, 0.00%), (MA, 3,117, 1.07%, 0.00%), (WM, 7,508, 1.03%, 0.00%), (GE, 6,250, 1.00%, 0.00%), (LLY, 2,516, 0.98%, 0.00%), (ORCL, 6,287, 0.92%, 0.00%), (PLTR, 8,019, 0.89%, 0.00%), (NFLX, 1,175, 0.85%, 0.00%), (NEE, 19,288, 0.83%, 0.00%), (JNJ, 7,687, 0.80%, 0.00%), (WMT, 12,795, 0.77%, 0.00%), (COST, 1,306, 0.76%, 0.00%), (CVX, 8,123, 0.75%, 0.00%), (PG, 8,088, 0.75%, 0.00%), (UNH, 4,679, 0.74%, 0.00%), (RTX, 7,686, 0.71%, 0.00%), (MCD, 3,822, 0.69%, 0.00%), (HD, 2,892, 0.69%, 0.00%), (CAT, 2,788, 0.69%, 0.00%), (ABT, 8,818, 0.68%, 0.00%), (ABBV, 5,642, 0.68%, 0.00%), (AMD, 5,859, 0.63%, 0.00%), (KO, 14,624, 0.61%, 0.00%), (BA, 4,317, 0.60%, 0.00%), (BAC, 20,924, 0.59%, 0.00%), (PM, 5,865, 0.58%, 0.00%), (SO, 10,277, 0.58%, 0.00%), (NKE, 12,583, 0.57%, 0.00%), (BKNG, 177, 0.57%, 0.00%), (DUK, 7,245, 0.54%, 0.00%), (GS, 1,194, 0.53%, 0.00%), (CRM, 3,740, 0.53%, 0.00%), (IBM, 3,617, 0.52%, 0.00%), (ISRG, 1,811, 0.52%, 0.00%), (UBER, 9,298, 0.50%, 0.00%), (HON, 3,755, 0.49%, 0.00%), (WFC, 10,436, 0.49%, 0.00%), (ETN, 2,282, 0.48%, 0.00%), (MET, 10,400, 0.48%, 0.00%), (INTU, 1,097, 0.47%, 0.00%), (PEP, 5,175, 0.46%, 0.00%), (DE, 1,469, 0.44%, 0.00%), (T, 24,902, 0.42%, 0.00%), (NOW, 806, 0.41%, 0.00%), (MS, 4,716, 0.41%, 0.00%), (SPGI, 1,207, 0.41%, 0.00%), (MRK, 8,076, 0.39%, 0.00%), (AXP, 2,116, 0.38%, 0.00%), (VZ, 14,610, 0.38%, 0.00%), (BLK, 554, 0.38%, 0.00%), (TXN, 3,294, 0.38%, 0.00%), (QCOM, 4,011, 0.37%, 0.00%), (MDT, 6,520, 0.36%, 0.00%), (ACN, 2,444, 0.36%, 0.00%), (ADBE, 1,722, 0.36%, 0.00%), (COP, 6,287, 0.36%, 0.00%), (UNP, 2,677, 0.36%, 0.00%), (TMO, 1,221, 0.35%, 0.00%), (DIS, 4,976, 0.34%, 0.00%), (SBUX, 6,045, 0.34%, 0.00%), (C, 5,928, 0.34%, 0.00%), (AMAT, 2,976, 0.34%, 0.00%), (SCHW, 5,684, 0.33%, 0.00%), (LMT, 1,218, 0.32%, 0.00%), (MMM, 3,145, 0.30%, 0.00%), (AMGN, 1,716, 0.30%, 0.00%), (GILD, 3,979, 0.28%, 0.00%), (PFE, 18,093, 0.27%, 0.00%), (EMR, 3,293, 0.26%, 0.00%), (TJX, 3,283, 0.26%, 0.00%), (DHR, 2,052, 0.25%, 0.00%), (CVS, 6,398, 0.25%, 0.00%), (MO, 6,393, 0.25%, 0.00%), (LOW, 1,652, 0.25%, 0.00%), (ELV, 1,179, 0.21%, 0.00%), (CMCSA, 10,489, 0.20%, 0.00%), (INTC, 15,572, 0.20%, 0.00%), (MDLZ, 5,044, 0.19%, 0.00%), (BMY, 6,475, 0.18%, 0.00%), (UPS, 3,230, 0.17%, 0.00%), (PYPL, 3,812, 0.16%, 0.00%), (CL, 2,806, 0.14%, 0.00%), (FDX, 993, 0.14%, 0.00%), (USB, 4,890, 0.13%, 0.00%), (TGT, 958, 0.06%, 0.00%), (SC26771B, nan, nan%, 0.00%), (SC26773B, nan, nan%, 0.00%), (SP26772B, nan, nan%, 0.00%), (SP26774B, nan, nan%, 0.00%), (SP26775T, nan, nan%, 0.00%), (XP26775T, nan, nan%, 0.00%)</t>
  </si>
  <si>
    <t>(AVGO, 14,633, 3.26%, 0.00%), (META, 5,198, 2.94%, 0.00%), (BRK/B, 6,047, 2.08%, 0.00%), (GOOGL, 13,932, 2.03%, 0.00%), (CSCO, 36,719, 1.88%, 0.00%), (LIN, 5,195, 1.79%, 0.00%), (TSLA, 6,956, 1.70%, 0.00%), (GOOG, 11,348, 1.66%, 0.00%), (JPM, 7,658, 1.61%, 0.00%), (AMT, 10,540, 1.56%, 0.00%), (XOM, 18,536, 1.43%, 0.00%), (V, 5,701, 1.41%, 0.00%), (CB, 5,817, 1.16%, 0.00%), (MA, 2,704, 1.13%, 0.00%), (WM, 6,515, 1.09%, 0.00%), (GE, 5,423, 1.06%, 0.00%), (LLY, 2,183, 1.03%, 0.00%), (ORCL, 5,456, 0.97%, 0.00%), (PLTR, 6,958, 0.93%, 0.00%), (NFLX, 1,019, 0.90%, 0.00%), (NEE, 16,737, 0.87%, 0.00%), (JNJ, 6,670, 0.84%, 0.00%), (WMT, 11,103, 0.82%, 0.00%), (COST, 1,133, 0.80%, 0.00%), (CVX, 7,049, 0.79%, 0.00%), (PG, 7,018, 0.79%, 0.00%), (UNH, 4,060, 0.78%, 0.00%), (RTX, 6,670, 0.75%, 0.00%), (MCD, 3,316, 0.73%, 0.00%), (HD, 2,509, 0.73%, 0.00%), (CAT, 2,419, 0.73%, 0.00%), (ABT, 7,652, 0.72%, 0.00%), (ABBV, 4,896, 0.71%, 0.00%), (AMD, 5,084, 0.67%, 0.00%), (KO, 12,690, 0.65%, 0.00%), (BA, 3,746, 0.63%, 0.00%), (BAC, 18,157, 0.62%, 0.00%), (PM, 5,089, 0.61%, 0.00%), (SO, 8,918, 0.61%, 0.00%), (BKNG, 153, 0.60%, 0.00%), (NKE, 10,841, 0.60%, 0.00%), (DUK, 6,287, 0.57%, 0.00%), (CRM, 3,245, 0.56%, 0.00%), (GS, 1,036, 0.56%, 0.00%), (IBM, 3,139, 0.55%, 0.00%), (ISRG, 1,571, 0.55%, 0.00%), (UBER, 8,069, 0.53%, 0.00%), (HON, 3,258, 0.52%, 0.00%), (WFC, 9,056, 0.51%, 0.00%), (ETN, 1,980, 0.51%, 0.00%), (MET, 9,025, 0.51%, 0.00%), (INTU, 951, 0.49%, 0.00%), (PEP, 4,491, 0.48%, 0.00%), (DE, 1,275, 0.47%, 0.00%), (T, 21,609, 0.44%, 0.00%), (NOW, 699, 0.44%, 0.00%), (MS, 4,093, 0.43%, 0.00%), (SPGI, 1,048, 0.43%, 0.00%), (MRK, 7,008, 0.42%, 0.00%), (AXP, 1,836, 0.41%, 0.00%), (BLK, 480, 0.40%, 0.00%), (VZ, 12,678, 0.40%, 0.00%), (TXN, 2,858, 0.40%, 0.00%), (QCOM, 3,481, 0.39%, 0.00%), (MDT, 5,658, 0.38%, 0.00%), (ACN, 2,121, 0.38%, 0.00%), (ADBE, 1,494, 0.38%, 0.00%), (COP, 5,455, 0.38%, 0.00%), (UNP, 2,323, 0.38%, 0.00%), (TMO, 1,060, 0.37%, 0.00%), (DIS, 4,318, 0.36%, 0.00%), (SBUX, 5,245, 0.36%, 0.00%), (C, 5,144, 0.35%, 0.00%), (AMAT, 2,583, 0.35%, 0.00%), (SCHW, 4,932, 0.34%, 0.00%), (LMT, 1,057, 0.34%, 0.00%), (MMM, 2,729, 0.31%, 0.00%), (AMGN, 1,489, 0.31%, 0.00%), (GILD, 3,453, 0.30%, 0.00%), (PFE, 15,700, 0.28%, 0.00%), (EMR, 2,857, 0.28%, 0.00%), (TJX, 2,849, 0.28%, 0.00%), (DHR, 1,781, 0.27%, 0.00%), (CVS, 5,552, 0.26%, 0.00%), (LOW, 1,433, 0.26%, 0.00%), (MO, 5,547, 0.26%, 0.00%), (ELV, 1,023, 0.22%, 0.00%), (CMCSA, 9,102, 0.22%, 0.00%), (INTC, 13,513, 0.21%, 0.00%), (MDLZ, 4,377, 0.20%, 0.00%), (BMY, 5,619, 0.19%, 0.00%), (UPS, 2,802, 0.18%, 0.00%), (PYPL, 3,308, 0.17%, 0.00%), (CL, 2,435, 0.15%, 0.00%), (FDX, 861, 0.14%, 0.00%), (USB, 4,243, 0.14%, 0.00%), (TGT, 878, 0.07%, 0.00%), (SC23471B, nan, nan%, 0.00%), (SC23473B, nan, nan%, 0.00%), (SP23472B, nan, nan%, 0.00%), (SP23475B, nan, nan%, 0.00%), (SP23474B, nan, nan%, 0.00%), (XP23475B, nan, nan%, 0.00%)</t>
  </si>
  <si>
    <t>(AVGO, 10,894, 3.25%, 0.00%), (META, 3,870, 2.93%, 0.00%), (BRK/B, 4,502, 2.08%, 0.00%), (GOOGL, 10,372, 2.03%, 0.00%), (CSCO, 27,338, 1.87%, 0.00%), (LIN, 3,868, 1.79%, 0.00%), (TSLA, 5,178, 1.70%, 0.00%), (GOOG, 8,449, 1.66%, 0.00%), (JPM, 5,701, 1.60%, 0.00%), (AMT, 7,847, 1.55%, 0.00%), (XOM, 13,800, 1.43%, 0.00%), (V, 4,245, 1.41%, 0.00%), (CB, 4,330, 1.15%, 0.00%), (MA, 2,013, 1.13%, 0.00%), (WM, 4,851, 1.08%, 0.00%), (GE, 4,038, 1.05%, 0.00%), (LLY, 1,625, 1.03%, 0.00%), (ORCL, 4,062, 0.96%, 0.00%), (PLTR, 5,181, 0.93%, 0.00%), (NFLX, 759, 0.89%, 0.00%), (NEE, 12,461, 0.87%, 0.00%), (JNJ, 4,966, 0.84%, 0.00%), (WMT, 8,266, 0.82%, 0.00%), (COST, 844, 0.80%, 0.00%), (CVX, 5,248, 0.79%, 0.00%), (PG, 5,225, 0.79%, 0.00%), (UNH, 3,023, 0.78%, 0.00%), (RTX, 4,966, 0.75%, 0.00%), (MCD, 2,469, 0.73%, 0.00%), (HD, 1,868, 0.73%, 0.00%), (CAT, 1,801, 0.73%, 0.00%), (ABT, 5,697, 0.72%, 0.00%), (ABBV, 3,645, 0.71%, 0.00%), (AMD, 3,785, 0.67%, 0.00%), (KO, 9,448, 0.65%, 0.00%), (BA, 2,789, 0.63%, 0.00%), (BAC, 13,518, 0.62%, 0.00%), (PM, 3,789, 0.61%, 0.00%), (SO, 6,639, 0.61%, 0.00%), (BKNG, 114, 0.60%, 0.00%), (NKE, 8,071, 0.60%, 0.00%), (DUK, 4,681, 0.57%, 0.00%), (GS, 771, 0.56%, 0.00%), (CRM, 2,416, 0.56%, 0.00%), (IBM, 2,337, 0.55%, 0.00%), (ISRG, 1,170, 0.55%, 0.00%), (UBER, 6,007, 0.53%, 0.00%), (HON, 2,426, 0.52%, 0.00%), (WFC, 6,742, 0.51%, 0.00%), (ETN, 1,474, 0.51%, 0.00%), (MET, 6,719, 0.51%, 0.00%), (INTU, 708, 0.49%, 0.00%), (PEP, 3,343, 0.48%, 0.00%), (DE, 949, 0.47%, 0.00%), (T, 16,088, 0.44%, 0.00%), (NOW, 521, 0.44%, 0.00%), (MS, 3,047, 0.43%, 0.00%), (SPGI, 780, 0.43%, 0.00%), (MRK, 5,218, 0.42%, 0.00%), (AXP, 1,367, 0.40%, 0.00%), (BLK, 358, 0.40%, 0.00%), (VZ, 9,438, 0.40%, 0.00%), (TXN, 2,128, 0.40%, 0.00%), (QCOM, 2,591, 0.39%, 0.00%), (MDT, 4,212, 0.38%, 0.00%), (ACN, 1,579, 0.38%, 0.00%), (ADBE, 1,113, 0.38%, 0.00%), (COP, 4,062, 0.37%, 0.00%), (UNP, 1,730, 0.37%, 0.00%), (TMO, 789, 0.37%, 0.00%), (DIS, 3,215, 0.36%, 0.00%), (SBUX, 3,905, 0.36%, 0.00%), (C, 3,830, 0.35%, 0.00%), (AMAT, 1,923, 0.35%, 0.00%), (SCHW, 3,672, 0.34%, 0.00%), (LMT, 787, 0.34%, 0.00%), (MMM, 2,032, 0.31%, 0.00%), (AMGN, 1,109, 0.31%, 0.00%), (GILD, 2,570, 0.30%, 0.00%), (PFE, 11,689, 0.28%, 0.00%), (EMR, 2,127, 0.28%, 0.00%), (TJX, 2,121, 0.28%, 0.00%), (DHR, 1,326, 0.27%, 0.00%), (CVS, 4,133, 0.26%, 0.00%), (LOW, 1,067, 0.26%, 0.00%), (MO, 4,130, 0.26%, 0.00%), (ELV, 762, 0.22%, 0.00%), (CMCSA, 6,776, 0.21%, 0.00%), (INTC, 10,060, 0.21%, 0.00%), (MDLZ, 3,259, 0.20%, 0.00%), (BMY, 4,183, 0.19%, 0.00%), (UPS, 2,086, 0.18%, 0.00%), (PYPL, 2,463, 0.17%, 0.00%), (CL, 1,813, 0.15%, 0.00%), (FDX, 641, 0.14%, 0.00%), (USB, 3,159, 0.14%, 0.00%), (TGT, 677, 0.07%, 0.00%), (SC22171B, nan, nan%, 0.00%), (SC22173B, nan, nan%, 0.00%), (SP22172B, nan, nan%, 0.00%), (SP22175B, nan, nan%, 0.00%), (SP22174B, nan, nan%, 0.00%), (XP22175B, nan, nan%, 0.00%)</t>
  </si>
  <si>
    <t>(AVGO, 4,114, 3.10%, 0.00%), (META, 1,461, 2.80%, 0.00%), (BRK/B, 1,700, 1.98%, 0.00%), (GOOGL, 3,917, 1.93%, 0.00%), (CSCO, 10,323, 1.79%, 0.00%), (LIN, 1,461, 1.70%, 0.00%), (TSLA, 1,956, 1.62%, 0.00%), (GOOG, 3,190, 1.58%, 0.00%), (JPM, 2,153, 1.53%, 0.00%), (AMT, 2,963, 1.48%, 0.00%), (XOM, 5,211, 1.36%, 0.00%), (V, 1,603, 1.35%, 0.00%), (CB, 1,635, 1.10%, 0.00%), (MA, 760, 1.07%, 0.00%), (WM, 1,832, 1.03%, 0.00%), (GE, 1,525, 1.00%, 0.00%), (LLY, 614, 0.99%, 0.00%), (ORCL, 1,534, 0.92%, 0.00%), (PLTR, 1,956, 0.89%, 0.00%), (NFLX, 287, 0.85%, 0.00%), (NEE, 4,705, 0.83%, 0.00%), (JNJ, 1,875, 0.80%, 0.00%), (WMT, 3,122, 0.78%, 0.00%), (COST, 319, 0.77%, 0.00%), (CVX, 1,982, 0.75%, 0.00%), (PG, 1,973, 0.75%, 0.00%), (UNH, 1,141, 0.74%, 0.00%), (RTX, 1,875, 0.71%, 0.00%), (MCD, 932, 0.70%, 0.00%), (HD, 705, 0.69%, 0.00%), (CAT, 680, 0.69%, 0.00%), (ABT, 2,151, 0.68%, 0.00%), (ABBV, 1,376, 0.68%, 0.00%), (AMD, 1,429, 0.64%, 0.00%), (KO, 3,568, 0.62%, 0.00%), (BA, 1,053, 0.60%, 0.00%), (BAC, 5,105, 0.59%, 0.00%), (PM, 1,431, 0.58%, 0.00%), (SO, 2,507, 0.58%, 0.00%), (BKNG, 43, 0.58%, 0.00%), (NKE, 3,048, 0.57%, 0.00%), (DUK, 1,768, 0.54%, 0.00%), (CRM, 912, 0.53%, 0.00%), (GS, 291, 0.53%, 0.00%), (ISRG, 442, 0.52%, 0.00%), (IBM, 882, 0.52%, 0.00%), (UBER, 2,268, 0.50%, 0.00%), (HON, 916, 0.49%, 0.00%), (WFC, 2,546, 0.49%, 0.00%), (ETN, 557, 0.49%, 0.00%), (MET, 2,537, 0.48%, 0.00%), (INTU, 268, 0.47%, 0.00%), (PEP, 1,263, 0.46%, 0.00%), (DE, 358, 0.45%, 0.00%), (T, 6,075, 0.42%, 0.00%), (NOW, 197, 0.42%, 0.00%), (MS, 1,151, 0.41%, 0.00%), (SPGI, 294, 0.41%, 0.00%), (MRK, 1,970, 0.40%, 0.00%), (AXP, 516, 0.39%, 0.00%), (BLK, 135, 0.38%, 0.00%), (VZ, 3,564, 0.38%, 0.00%), (TXN, 803, 0.38%, 0.00%), (QCOM, 979, 0.37%, 0.00%), (MDT, 1,591, 0.36%, 0.00%), (ACN, 596, 0.36%, 0.00%), (ADBE, 420, 0.36%, 0.00%), (COP, 1,534, 0.36%, 0.00%), (UNP, 653, 0.36%, 0.00%), (TMO, 298, 0.35%, 0.00%), (DIS, 1,214, 0.35%, 0.00%), (SBUX, 1,475, 0.34%, 0.00%), (C, 1,446, 0.34%, 0.00%), (AMAT, 726, 0.34%, 0.00%), (SCHW, 1,387, 0.33%, 0.00%), (LMT, 297, 0.32%, 0.00%), (MMM, 767, 0.30%, 0.00%), (AMGN, 419, 0.30%, 0.00%), (GILD, 971, 0.29%, 0.00%), (PFE, 4,414, 0.27%, 0.00%), (EMR, 803, 0.26%, 0.00%), (TJX, 801, 0.26%, 0.00%), (DHR, 501, 0.25%, 0.00%), (CVS, 1,561, 0.25%, 0.00%), (LOW, 403, 0.25%, 0.00%), (MO, 1,560, 0.25%, 0.00%), (ELV, 288, 0.21%, 0.00%), (CMCSA, 2,559, 0.21%, 0.00%), (INTC, 3,799, 0.20%, 0.00%), (MDLZ, 1,230, 0.19%, 0.00%), (BMY, 1,580, 0.18%, 0.00%), (UPS, 788, 0.17%, 0.00%), (PYPL, 930, 0.16%, 0.00%), (CL, 684, 0.14%, 0.00%), (FDX, 242, 0.14%, 0.00%), (USB, 1,193, 0.14%, 0.00%), (TGT, 231, 0.06%, 0.00%), (SC28181B, nan, nan%, 0.00%), (SC28183B, nan, nan%, 0.00%), (SP28182B, nan, nan%, 0.00%), (SP28185B, nan, nan%, 0.00%), (SP28184B, nan, nan%, 0.00%), (XP28185B, nan, nan%, 0.00%)</t>
  </si>
  <si>
    <t>(AVGO, 4,472, 3.14%, 0.00%), (META, 1,589, 2.83%, 0.00%), (BRK/B, 1,848, 2.01%, 0.00%), (GOOGL, 4,258, 1.96%, 0.00%), (CSCO, 11,221, 1.81%, 0.00%), (LIN, 1,588, 1.72%, 0.00%), (TSLA, 2,126, 1.64%, 0.00%), (GOOG, 3,468, 1.60%, 0.00%), (JPM, 2,340, 1.55%, 0.00%), (AMT, 3,221, 1.50%, 0.00%), (XOM, 5,664, 1.38%, 0.00%), (V, 1,742, 1.36%, 0.00%), (CB, 1,778, 1.11%, 0.00%), (MA, 826, 1.09%, 0.00%), (WM, 1,991, 1.05%, 0.00%), (GE, 1,657, 1.02%, 0.00%), (LLY, 667, 0.99%, 0.00%), (ORCL, 1,667, 0.93%, 0.00%), (PLTR, 2,126, 0.90%, 0.00%), (NFLX, 311, 0.86%, 0.00%), (NEE, 5,115, 0.84%, 0.00%), (JNJ, 2,038, 0.81%, 0.00%), (WMT, 3,393, 0.79%, 0.00%), (COST, 346, 0.77%, 0.00%), (CVX, 2,154, 0.76%, 0.00%), (PG, 2,145, 0.76%, 0.00%), (UNH, 1,241, 0.76%, 0.00%), (RTX, 2,038, 0.72%, 0.00%), (HD, 767, 0.70%, 0.00%), (MCD, 1,013, 0.70%, 0.00%), (CAT, 739, 0.70%, 0.00%), (ABT, 2,338, 0.69%, 0.00%), (ABBV, 1,496, 0.69%, 0.00%), (AMD, 1,554, 0.65%, 0.00%), (KO, 3,878, 0.62%, 0.00%), (BA, 1,145, 0.61%, 0.00%), (BAC, 5,549, 0.60%, 0.00%), (PM, 1,555, 0.59%, 0.00%), (SO, 2,725, 0.59%, 0.00%), (BKNG, 47, 0.59%, 0.00%), (NKE, 3,313, 0.58%, 0.00%), (DUK, 1,921, 0.55%, 0.00%), (CRM, 992, 0.54%, 0.00%), (GS, 316, 0.53%, 0.00%), (IBM, 959, 0.53%, 0.00%), (ISRG, 480, 0.53%, 0.00%), (UBER, 2,466, 0.51%, 0.00%), (HON, 996, 0.50%, 0.00%), (WFC, 2,768, 0.49%, 0.00%), (ETN, 605, 0.49%, 0.00%), (MET, 2,758, 0.49%, 0.00%), (INTU, 291, 0.47%, 0.00%), (PEP, 1,372, 0.47%, 0.00%), (DE, 390, 0.45%, 0.00%), (T, 6,604, 0.43%, 0.00%), (NOW, 214, 0.42%, 0.00%), (MS, 1,251, 0.42%, 0.00%), (SPGI, 320, 0.41%, 0.00%), (MRK, 2,142, 0.40%, 0.00%), (AXP, 561, 0.39%, 0.00%), (BLK, 147, 0.39%, 0.00%), (VZ, 3,874, 0.39%, 0.00%), (TXN, 873, 0.38%, 0.00%), (QCOM, 1,064, 0.38%, 0.00%), (MDT, 1,729, 0.37%, 0.00%), (ACN, 648, 0.36%, 0.00%), (ADBE, 457, 0.36%, 0.00%), (COP, 1,667, 0.36%, 0.00%), (UNP, 710, 0.36%, 0.00%), (TMO, 324, 0.35%, 0.00%), (DIS, 1,320, 0.35%, 0.00%), (SBUX, 1,603, 0.34%, 0.00%), (C, 1,572, 0.34%, 0.00%), (AMAT, 789, 0.34%, 0.00%), (SCHW, 1,507, 0.33%, 0.00%), (LMT, 323, 0.32%, 0.00%), (MMM, 834, 0.30%, 0.00%), (AMGN, 455, 0.30%, 0.00%), (GILD, 1,055, 0.29%, 0.00%), (PFE, 4,798, 0.27%, 0.00%), (EMR, 873, 0.27%, 0.00%), (TJX, 871, 0.27%, 0.00%), (DHR, 544, 0.26%, 0.00%), (CVS, 1,697, 0.25%, 0.00%), (LOW, 438, 0.25%, 0.00%), (MO, 1,695, 0.25%, 0.00%), (ELV, 313, 0.21%, 0.00%), (CMCSA, 2,781, 0.21%, 0.00%), (INTC, 4,129, 0.20%, 0.00%), (MDLZ, 1,338, 0.19%, 0.00%), (BMY, 1,717, 0.19%, 0.00%), (UPS, 856, 0.17%, 0.00%), (PYPL, 1,011, 0.16%, 0.00%), (CL, 744, 0.15%, 0.00%), (FDX, 263, 0.14%, 0.00%), (USB, 1,297, 0.14%, 0.00%), (TGT, 260, 0.06%, 0.00%), (SC13481B, nan, nan%, 0.00%), (SC13483B, nan, nan%, 0.00%), (SP13482B, nan, nan%, 0.00%), (SP13485B, nan, nan%, 0.00%), (SP13484B, nan, nan%, 0.00%), (XP13485B, nan, nan%, 0.00%)</t>
  </si>
  <si>
    <t>(AVGO, 8,415, 3.25%, 0.00%), (META, 2,989, 2.93%, 0.00%), (BRK/B, 3,478, 2.08%, 0.00%), (GOOGL, 8,012, 2.03%, 0.00%), (CSCO, 21,115, 1.87%, 0.00%), (LIN, 2,987, 1.78%, 0.00%), (TSLA, 4,000, 1.70%, 0.00%), (GOOG, 6,526, 1.66%, 0.00%), (JPM, 4,403, 1.60%, 0.00%), (AMT, 6,061, 1.55%, 0.00%), (XOM, 10,659, 1.43%, 0.00%), (V, 3,279, 1.41%, 0.00%), (CB, 3,345, 1.15%, 0.00%), (MA, 1,555, 1.13%, 0.00%), (WM, 3,747, 1.08%, 0.00%), (GE, 3,119, 1.05%, 0.00%), (LLY, 1,255, 1.03%, 0.00%), (ORCL, 3,137, 0.96%, 0.00%), (PLTR, 4,001, 0.93%, 0.00%), (NFLX, 586, 0.89%, 0.00%), (NEE, 9,624, 0.87%, 0.00%), (JNJ, 3,836, 0.84%, 0.00%), (WMT, 6,385, 0.81%, 0.00%), (COST, 652, 0.80%, 0.00%), (CVX, 4,053, 0.79%, 0.00%), (PG, 4,036, 0.79%, 0.00%), (UNH, 2,335, 0.78%, 0.00%), (RTX, 3,835, 0.75%, 0.00%), (HD, 1,443, 0.73%, 0.00%), (MCD, 1,907, 0.73%, 0.00%), (CAT, 1,391, 0.72%, 0.00%), (ABT, 4,400, 0.72%, 0.00%), (ABBV, 2,815, 0.71%, 0.00%), (AMD, 2,924, 0.67%, 0.00%), (KO, 7,297, 0.65%, 0.00%), (BA, 2,154, 0.63%, 0.00%), (BAC, 10,441, 0.62%, 0.00%), (PM, 2,926, 0.61%, 0.00%), (SO, 5,128, 0.61%, 0.00%), (BKNG, 88, 0.60%, 0.00%), (NKE, 6,234, 0.60%, 0.00%), (DUK, 3,615, 0.57%, 0.00%), (GS, 596, 0.56%, 0.00%), (CRM, 1,866, 0.55%, 0.00%), (IBM, 1,805, 0.55%, 0.00%), (ISRG, 904, 0.55%, 0.00%), (UBER, 4,640, 0.53%, 0.00%), (HON, 1,874, 0.52%, 0.00%), (WFC, 5,208, 0.51%, 0.00%), (ETN, 1,139, 0.51%, 0.00%), (MET, 5,189, 0.51%, 0.00%), (INTU, 547, 0.49%, 0.00%), (PEP, 2,582, 0.48%, 0.00%), (DE, 733, 0.47%, 0.00%), (T, 12,426, 0.44%, 0.00%), (NOW, 402, 0.44%, 0.00%), (MS, 2,353, 0.43%, 0.00%), (SPGI, 602, 0.43%, 0.00%), (MRK, 4,030, 0.42%, 0.00%), (AXP, 1,056, 0.40%, 0.00%), (VZ, 7,290, 0.40%, 0.00%), (BLK, 276, 0.40%, 0.00%), (TXN, 1,643, 0.40%, 0.00%), (QCOM, 2,002, 0.39%, 0.00%), (MDT, 3,253, 0.38%, 0.00%), (ACN, 1,220, 0.38%, 0.00%), (ADBE, 859, 0.38%, 0.00%), (COP, 3,137, 0.37%, 0.00%), (UNP, 1,336, 0.37%, 0.00%), (TMO, 609, 0.37%, 0.00%), (DIS, 2,483, 0.36%, 0.00%), (SBUX, 3,016, 0.36%, 0.00%), (C, 2,958, 0.35%, 0.00%), (AMAT, 1,485, 0.35%, 0.00%), (SCHW, 2,836, 0.34%, 0.00%), (LMT, 608, 0.34%, 0.00%), (MMM, 1,569, 0.31%, 0.00%), (AMGN, 856, 0.31%, 0.00%), (GILD, 1,985, 0.30%, 0.00%), (PFE, 9,028, 0.28%, 0.00%), (EMR, 1,643, 0.28%, 0.00%), (TJX, 1,638, 0.28%, 0.00%), (DHR, 1,024, 0.27%, 0.00%), (CVS, 3,192, 0.26%, 0.00%), (LOW, 824, 0.26%, 0.00%), (MO, 3,190, 0.26%, 0.00%), (ELV, 588, 0.22%, 0.00%), (CMCSA, 5,234, 0.22%, 0.00%), (INTC, 7,770, 0.21%, 0.00%), (MDLZ, 2,517, 0.20%, 0.00%), (BMY, 3,231, 0.19%, 0.00%), (UPS, 1,612, 0.18%, 0.00%), (PYPL, 1,902, 0.17%, 0.00%), (CL, 1,400, 0.15%, 0.00%), (FDX, 495, 0.14%, 0.00%), (USB, 2,440, 0.14%, 0.00%), (TGT, 478, 0.06%, 0.00%), (SC26771B, nan, nan%, 0.00%), (SC26773B, nan, nan%, 0.00%), (SP26772B, nan, nan%, 0.00%), (SP26775B, nan, nan%, 0.00%), (SP26774B, nan, nan%, 0.00%), (XP26775B, nan, nan%, 0.00%)</t>
  </si>
  <si>
    <t>EBAY, META, BK, MSFT, EA, GOOGL, BLK, MLI, JPM, BKNG, RJF</t>
  </si>
  <si>
    <t>(PHM, 8,254, 1.91%, 0.00%), (AMAT, 5,573, 1.89%, 0.00%), (EWBC, 10,055, 1.87%, 0.01%), (HIG, 7,789, 1.85%, 0.00%), (AXP, 3,281, 1.82%, 0.00%), (V, 2,909, 1.81%, 0.00%), (TRV, 3,701, 1.79%, 0.00%), (NVDA, 5,435, 1.78%, 0.00%), (KLAC, 1,029, 1.77%, 0.00%), (ROST, 6,480, 1.72%, 0.00%), (SNA, 2,900, 1.70%, 0.01%), (ADP, 3,108, 1.69%, 0.00%), (UNM, 13,085, 1.67%, 0.01%), (PCAR, 9,199, 1.65%, 0.00%), (CB, 3,282, 1.63%, 0.00%), (LEN, 6,867, 1.62%, 0.00%), (SYF, 12,147, 1.60%, 0.00%), (WSM, 4,113, 1.52%, 0.00%), (CTSH, 11,756, 1.47%, 0.00%), (CRM, 3,332, 1.40%, 0.00%), (PAYC, 3,559, 1.39%, 0.01%), (BKR, 17,301, 1.35%, 0.00%), (DHI, 4,563, 1.35%, 0.00%), (QCOM, 4,692, 1.34%, 0.00%), (AAPL, 3,029, 1.27%, 0.00%), (ACN, 2,772, 1.23%, 0.00%), (AFL, 6,426, 1.22%, 0.00%), (ELV, 2,228, 1.19%, 0.00%), (LRCX, 5,993, 1.16%, 0.00%), (MPWR, 742, 1.14%, 0.00%), (CSCO, 8,704, 1.09%, 0.00%), (ODFL, 3,986, 1.09%, 0.00%), (GE, 2,100, 1.02%, 0.00%), (STT, 4,824, 0.99%, 0.00%), (PNC, 2,583, 0.91%, 0.00%), (MTB, 2,567, 0.90%, 0.00%), (AMP, 940, 0.87%, 0.00%), (COST, 483, 0.85%, 0.00%), (CF, 5,513, 0.85%, 0.00%), (ABT, 3,473, 0.81%, 0.00%), (EOG, 3,633, 0.78%, 0.00%), (XOM, 4,038, 0.78%, 0.00%), (CSL, 1,082, 0.76%, 0.00%), (EG, 1,222, 0.74%, 0.00%), (GEV, 492, 0.55%, 0.00%), (NTRS, 2,239, 0.52%, 0.00%), (MA, 467, 0.49%, 0.00%), (CRBG, 7,693, 0.48%, 0.00%), (JNJ, 1,499, 0.47%, 0.00%), (ACM, 2,118, 0.46%, 0.00%), (LNC, 6,124, 0.45%, 0.00%), (MTG, 8,798, 0.44%, 0.00%), (JXN, 2,528, 0.44%, 0.00%), (CINF, 1,557, 0.43%, 0.00%), (EQH, 4,341, 0.43%, 0.00%), (SLM, 7,189, 0.43%, 0.00%), (DOV, 1,309, 0.42%, 0.00%), (ALL, 1,109, 0.42%, 0.00%), (WTFC, 1,804, 0.42%, 0.00%), (ADM, 3,729, 0.40%, 0.00%), (MCK, 323, 0.39%, 0.00%), (NUE, 1,497, 0.39%, 0.00%), (NKE, 2,729, 0.38%, 0.00%), (PGR, 817, 0.37%, 0.00%), (FANG, 1,166, 0.30%, 0.00%), (SC13N61B, nan, nan%, 0.00%), (SC13N63B, nan, nan%, 0.00%), (SP13N62B, nan, nan%, 0.00%), (SP13N65B, nan, nan%, 0.00%), (SP13N64B, nan, nan%, 0.00%), (SPX Index, nan, nan%, 0.00%), (XP13N65B, nan, nan%, 0.00%)</t>
  </si>
  <si>
    <t>(AVGO, 3,881, 3.43%, 0.00%), (META, 1,379, 3.07%, 0.00%), (BRK/B, 1,604, 2.18%, 0.00%), (GOOGL, 3,695, 2.14%, 0.00%), (CSCO, 9,739, 1.93%, 0.00%), (LIN, 1,378, 1.88%, 0.00%), (TSLA, 1,845, 1.76%, 0.00%), (GOOG, 3,010, 1.75%, 0.00%), (JPM, 2,031, 1.70%, 0.00%), (AMT, 2,795, 1.63%, 0.00%), (XOM, 4,916, 1.51%, 0.00%), (V, 1,512, 1.48%, 0.00%), (CB, 1,543, 1.21%, 0.00%), (MA, 717, 1.19%, 0.00%), (WM, 1,728, 1.12%, 0.00%), (GE, 1,438, 1.11%, 0.00%), (LLY, 579, 1.10%, 0.00%), (ORCL, 1,447, 1.01%, 0.00%), (PLTR, 1,846, 0.96%, 0.00%), (NFLX, 270, 0.94%, 0.00%), (NEE, 4,439, 0.92%, 0.00%), (JNJ, 1,769, 0.88%, 0.00%), (WMT, 2,945, 0.85%, 0.00%), (COST, 301, 0.84%, 0.00%), (CVX, 1,870, 0.83%, 0.00%), (UNH, 1,077, 0.82%, 0.00%), (PG, 1,861, 0.82%, 0.00%), (RTX, 1,769, 0.78%, 0.00%), (MCD, 880, 0.77%, 0.00%), (CAT, 642, 0.76%, 0.00%), (HD, 666, 0.75%, 0.00%), (ABBV, 1,299, 0.75%, 0.00%), (ABT, 2,029, 0.75%, 0.00%), (AMD, 1,349, 0.69%, 0.00%), (KO, 3,366, 0.67%, 0.00%), (BA, 994, 0.66%, 0.00%), (BAC, 4,816, 0.65%, 0.00%), (BKNG, 41, 0.64%, 0.00%), (PM, 1,350, 0.64%, 0.00%), (SO, 2,365, 0.64%, 0.00%), (NKE, 2,875, 0.62%, 0.00%), (DUK, 1,668, 0.59%, 0.00%), (GS, 275, 0.58%, 0.00%), (CRM, 861, 0.57%, 0.00%), (ISRG, 417, 0.57%, 0.00%), (IBM, 833, 0.56%, 0.00%), (UBER, 2,140, 0.56%, 0.00%), (WFC, 2,402, 0.54%, 0.00%), (HON, 864, 0.54%, 0.00%), (ETN, 525, 0.53%, 0.00%), (MET, 2,394, 0.53%, 0.00%), (INTU, 252, 0.51%, 0.00%), (PEP, 1,191, 0.50%, 0.00%), (T, 5,731, 0.47%, 0.00%), (DE, 338, 0.46%, 0.00%), (MS, 1,086, 0.46%, 0.00%), (NOW, 185, 0.45%, 0.00%), (SPGI, 278, 0.45%, 0.00%), (MRK, 1,859, 0.44%, 0.00%), (AXP, 487, 0.43%, 0.00%), (BLK, 127, 0.42%, 0.00%), (VZ, 3,363, 0.42%, 0.00%), (TXN, 758, 0.42%, 0.00%), (QCOM, 923, 0.41%, 0.00%), (MDT, 1,501, 0.39%, 0.00%), (COP, 1,447, 0.39%, 0.00%), (ACN, 563, 0.39%, 0.00%), (ADBE, 396, 0.39%, 0.00%), (UNP, 616, 0.39%, 0.00%), (TMO, 281, 0.38%, 0.00%), (DIS, 1,145, 0.38%, 0.00%), (C, 1,364, 0.37%, 0.00%), (SBUX, 1,391, 0.37%, 0.00%), (AMAT, 685, 0.36%, 0.00%), (SCHW, 1,308, 0.36%, 0.00%), (LMT, 280, 0.35%, 0.00%), (AMGN, 395, 0.33%, 0.00%), (MMM, 724, 0.32%, 0.00%), (GILD, 916, 0.31%, 0.00%), (PFE, 4,164, 0.30%, 0.00%), (EMR, 758, 0.29%, 0.00%), (DHR, 472, 0.28%, 0.00%), (CVS, 1,472, 0.28%, 0.00%), (MO, 1,471, 0.27%, 0.00%), (LOW, 380, 0.27%, 0.00%), (INTC, 3,584, 0.23%, 0.00%), (ELV, 271, 0.23%, 0.00%), (CMCSA, 2,414, 0.22%, 0.00%), (TJX, 556, 0.21%, 0.00%), (MDLZ, 1,161, 0.20%, 0.00%), (BMY, 1,490, 0.20%,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</si>
  <si>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3.31%, 0.00%), (META, 907, 2.96%, 0.00%), (BRK/B, 1,055, 2.10%, 0.00%), (GOOGL, 2,431, 2.06%, 0.00%), (CSCO, 6,406, 1.86%, 0.00%), (LIN, 906, 1.81%, 0.00%), (TSLA, 1,213, 1.70%, 0.00%), (GOOG, 1,980, 1.69%, 0.00%), (JPM, 1,336, 1.64%, 0.00%), (AMT, 1,839, 1.57%, 0.00%), (XOM, 3,234, 1.45%, 0.00%), (V, 995, 1.43%, 0.00%), (CB, 1,015, 1.17%, 0.00%), (MA, 472, 1.15%, 0.00%), (WM, 1,137, 1.08%, 0.00%), (LLY, 381, 1.07%, 0.00%), (GE, 946, 1.07%, 0.00%), (ORCL, 952, 0.98%, 0.00%), (PLTR, 1,214, 0.92%, 0.00%), (NFLX, 178, 0.91%, 0.00%), (NEE, 2,920, 0.88%, 0.00%), (JNJ, 1,164, 0.85%, 0.00%), (WMT, 1,937, 0.82%, 0.00%), (COST, 198, 0.81%, 0.00%), (CVX, 1,230, 0.80%, 0.00%), (UNH, 708, 0.79%, 0.00%), (PG, 1,224, 0.79%, 0.00%), (RTX, 1,164, 0.76%, 0.00%), (MCD, 579, 0.75%, 0.00%), (CAT, 422, 0.74%, 0.00%), (HD, 438, 0.73%, 0.00%), (ABBV, 854, 0.73%, 0.00%), (ABT, 1,335, 0.72%, 0.00%), (AMD, 887, 0.66%, 0.00%), (KO, 2,214, 0.65%, 0.00%), (BA, 654, 0.64%, 0.00%), (BAC, 3,168, 0.63%, 0.00%), (BKNG, 27, 0.62%, 0.00%), (PM, 888, 0.62%, 0.00%), (SO, 1,556, 0.61%, 0.00%), (NKE, 1,891, 0.60%, 0.00%), (DUK, 1,097, 0.57%, 0.00%), (GS, 181, 0.56%, 0.00%), (CRM, 566, 0.55%, 0.00%), (IBM, 548, 0.54%, 0.00%), (ISRG, 274, 0.54%, 0.00%), (UBER, 1,408, 0.54%, 0.00%), (WFC, 1,580, 0.52%, 0.00%), (HON, 568, 0.52%, 0.00%), (MET, 1,574, 0.51%, 0.00%), (ETN, 345, 0.51%, 0.00%), (INTU, 166, 0.49%, 0.00%), (PEP, 783, 0.48%, 0.00%), (T, 3,770, 0.45%, 0.00%), (DE, 222, 0.45%, 0.00%), (MS, 714, 0.44%, 0.00%), (NOW, 122, 0.44%, 0.00%), (SPGI, 183, 0.43%, 0.00%), (MRK, 1,223, 0.42%, 0.00%), (AXP, 320, 0.41%, 0.00%), (BLK, 84, 0.41%, 0.00%), (TXN, 499, 0.40%, 0.00%), (VZ, 2,212, 0.40%, 0.00%), (QCOM, 607, 0.39%, 0.00%), (MDT, 987, 0.38%, 0.00%), (COP, 952, 0.38%, 0.00%), (ACN, 370, 0.38%, 0.00%), (ADBE, 261, 0.38%, 0.00%), (UNP, 405, 0.38%, 0.00%), (TMO, 185, 0.37%, 0.00%), (DIS, 753, 0.36%, 0.00%), (C, 897, 0.36%, 0.00%), (SBUX, 915, 0.36%, 0.00%), (AMAT, 451, 0.35%, 0.00%), (SCHW, 860, 0.35%, 0.00%), (LMT, 184, 0.33%, 0.00%), (AMGN, 260, 0.32%, 0.00%), (MMM, 476, 0.31%, 0.00%), (GILD, 602, 0.30%, 0.00%), (PFE, 2,739, 0.29%, 0.00%), (EMR, 498, 0.28%, 0.00%), (DHR, 311, 0.27%, 0.00%), (CVS, 969, 0.27%, 0.00%), (MO, 968, 0.26%, 0.00%), (LOW, 250, 0.26%, 0.00%), (INTC, 2,357, 0.22%, 0.00%), (TJX, 397, 0.22%, 0.00%), (ELV, 178, 0.22%, 0.00%), (CMCSA, 1,588, 0.22%, 0.00%), (MDLZ, 764, 0.20%, 0.00%), (BMY, 980, 0.19%,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</si>
  <si>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2.73%, 0.00%), (BRK/B, 1,008, 1.95%, 0.00%), (GOOGL, 2,322, 1.90%, 0.00%), (CSCO, 6,119, 1.72%, 0.00%), (LIN, 866, 1.67%, 0.00%), (TSLA, 1,159, 1.57%, 0.00%), (GOOG, 1,891, 1.56%, 0.00%), (JPM, 1,276, 1.51%, 0.00%), (AMT, 1,756, 1.45%, 0.00%), (XOM, 3,089, 1.34%, 0.00%), (V, 950, 1.32%, 0.00%), (CB, 969, 1.08%, 0.00%), (MA, 451, 1.06%, 0.00%), (WM, 1,086, 0.99%, 0.00%), (LLY, 364, 0.99%, 0.00%), (GE, 904, 0.99%, 0.00%), (ORCL, 909, 0.90%, 0.00%), (PLTR, 1,160, 0.85%, 0.00%), (NFLX, 170, 0.85%, 0.00%), (NEE, 2,789, 0.81%, 0.00%), (JNJ, 1,112, 0.79%, 0.00%), (WMT, 1,850, 0.76%, 0.00%), (COST, 189, 0.75%, 0.00%), (CVX, 1,175, 0.74%, 0.00%), (UNH, 677, 0.73%, 0.00%), (PG, 1,170, 0.73%, 0.00%), (RTX, 1,112, 0.70%, 0.00%), (MCD, 553, 0.69%, 0.00%), (CAT, 403, 0.68%, 0.00%), (HD, 418, 0.67%, 0.00%), (ABBV, 816, 0.67%, 0.00%), (ABT, 1,275, 0.67%, 0.00%), (AMD, 847, 0.61%, 0.00%), (KO, 2,115, 0.60%, 0.00%), (BA, 624, 0.59%, 0.00%), (BAC, 3,026, 0.58%, 0.00%), (BKNG, 26, 0.58%, 0.00%), (PM, 848, 0.57%, 0.00%), (SO, 1,486, 0.57%, 0.00%), (NKE, 1,807, 0.56%, 0.00%), (DUK, 1,048, 0.53%, 0.00%), (GS, 173, 0.52%, 0.00%), (CRM, 541, 0.51%, 0.00%), (ISRG, 262, 0.50%, 0.00%), (IBM, 523, 0.50%, 0.00%), (UBER, 1,345, 0.50%, 0.00%), (WFC, 1,509, 0.48%, 0.00%), (HON, 543, 0.48%, 0.00%), (ETN, 330, 0.47%, 0.00%), (MET, 1,504, 0.47%, 0.00%), (INTU, 159, 0.46%, 0.00%), (PEP, 748, 0.45%, 0.00%), (T, 3,601, 0.42%, 0.00%), (DE, 212, 0.41%, 0.00%), (MS, 682, 0.41%, 0.00%), (NOW, 117, 0.40%, 0.00%), (SPGI, 175, 0.40%, 0.00%), (MRK, 1,168, 0.39%, 0.00%), (AXP, 306, 0.38%, 0.00%), (BLK, 80, 0.38%, 0.00%), (TXN, 476, 0.37%, 0.00%), (VZ, 2,113, 0.37%, 0.00%), (QCOM, 580, 0.37%, 0.00%), (MDT, 943, 0.35%, 0.00%), (COP, 909, 0.35%, 0.00%), (ACN, 353, 0.35%, 0.00%), (ADBE, 249, 0.35%, 0.00%), (TMO, 177, 0.35%, 0.00%), (UNP, 387, 0.35%, 0.00%), (DIS, 720, 0.34%, 0.00%), (C, 857, 0.33%, 0.00%), (SBUX, 874, 0.33%, 0.00%), (AMAT, 430, 0.33%, 0.00%), (SCHW, 822, 0.32%, 0.00%), (LMT, 176, 0.31%, 0.00%), (AMGN, 248, 0.29%, 0.00%), (MMM, 455, 0.29%, 0.00%), (GILD, 575, 0.28%, 0.00%), (PFE, 2,616, 0.26%, 0.00%), (EMR, 476, 0.26%, 0.00%), (DHR, 297, 0.25%, 0.00%), (CVS, 925, 0.25%, 0.00%), (MO, 924, 0.24%, 0.00%), (LOW, 239, 0.24%, 0.00%), (INTC, 2,252, 0.21%, 0.00%), (ELV, 171, 0.20%, 0.00%), (TJX, 375, 0.20%, 0.00%), (CMCSA, 1,517, 0.20%, 0.00%), (MDLZ, 729, 0.18%, 0.00%), (BMY, 936, 0.18%, 0.00%), (UPS, 467, 0.17%, 0.00%), (PYPL, 551, 0.15%,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</si>
  <si>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3.23%, 0.00%), (META, 576, 2.89%, 0.00%), (BRK/B, 670, 2.05%, 0.00%), (GOOGL, 1,543, 2.01%, 0.00%), (CSCO, 4,066, 1.82%, 0.00%), (LIN, 575, 1.77%, 0.00%), (TSLA, 770, 1.66%, 0.00%), (GOOG, 1,257, 1.65%, 0.00%), (JPM, 848, 1.60%, 0.00%), (AMT, 1,167, 1.53%, 0.00%), (XOM, 2,053, 1.42%, 0.00%), (V, 631, 1.39%, 0.00%), (CB, 644, 1.14%, 0.00%), (MA, 299, 1.12%, 0.00%), (WM, 721, 1.05%, 0.00%), (GE, 601, 1.04%, 0.00%), (LLY, 242, 1.03%, 0.00%), (ORCL, 604, 0.95%, 0.00%), (PLTR, 771, 0.90%, 0.00%), (NFLX, 113, 0.90%, 0.00%), (NEE, 1,853, 0.86%, 0.00%), (JNJ, 739, 0.83%, 0.00%), (WMT, 1,230, 0.80%, 0.00%), (COST, 126, 0.79%, 0.00%), (CVX, 781, 0.78%, 0.00%), (UNH, 450, 0.77%, 0.00%), (PG, 777, 0.77%, 0.00%), (RTX, 739, 0.74%, 0.00%), (MCD, 367, 0.73%, 0.00%), (CAT, 268, 0.72%, 0.00%), (ABBV, 542, 0.71%, 0.00%), (HD, 278, 0.71%, 0.00%), (ABT, 847, 0.71%, 0.00%), (AMD, 563, 0.65%, 0.00%), (KO, 1,405, 0.63%, 0.00%), (BA, 415, 0.62%, 0.00%), (BAC, 2,011, 0.61%, 0.00%), (BKNG, 17, 0.60%, 0.00%), (PM, 564, 0.60%, 0.00%), (SO, 987, 0.60%, 0.00%), (NKE, 1,200, 0.59%, 0.00%), (DUK, 696, 0.56%, 0.00%), (GS, 115, 0.55%, 0.00%), (CRM, 359, 0.54%, 0.00%), (ISRG, 174, 0.53%, 0.00%), (IBM, 348, 0.53%, 0.00%), (UBER, 893, 0.52%, 0.00%), (WFC, 1,003, 0.51%, 0.00%), (HON, 361, 0.51%, 0.00%), (MET, 999, 0.50%, 0.00%), (ETN, 219, 0.50%, 0.00%), (INTU, 105, 0.48%, 0.00%), (PEP, 497, 0.47%, 0.00%), (T, 2,393, 0.44%, 0.00%), (DE, 141, 0.43%, 0.00%), (MS, 453, 0.43%, 0.00%), (NOW, 77, 0.42%, 0.00%), (SPGI, 116, 0.42%, 0.00%), (MRK, 776, 0.41%, 0.00%), (AXP, 203, 0.40%, 0.00%), (BLK, 53, 0.40%, 0.00%), (VZ, 1,404, 0.39%, 0.00%), (TXN, 316, 0.39%, 0.00%), (QCOM, 385, 0.39%, 0.00%), (MDT, 627, 0.37%, 0.00%), (COP, 604, 0.37%, 0.00%), (ADBE, 165, 0.37%, 0.00%), (ACN, 235, 0.37%, 0.00%), (UNP, 257, 0.37%, 0.00%), (TMO, 117, 0.37%, 0.00%), (DIS, 478, 0.36%, 0.00%), (C, 570, 0.35%, 0.00%), (SBUX, 581, 0.35%, 0.00%), (SCHW, 546, 0.34%, 0.00%), (AMAT, 286, 0.34%, 0.00%), (LMT, 117, 0.33%, 0.00%), (AMGN, 165, 0.31%, 0.00%), (MMM, 302, 0.30%, 0.00%), (GILD, 382, 0.29%, 0.00%), (PFE, 1,739, 0.28%, 0.00%), (EMR, 316, 0.27%, 0.00%), (DHR, 197, 0.27%, 0.00%), (CVS, 615, 0.26%, 0.00%), (LOW, 159, 0.26%, 0.00%), (MO, 614, 0.26%, 0.00%), (INTC, 1,496, 0.22%, 0.00%), (ELV, 113, 0.22%, 0.00%), (CMCSA, 1,008, 0.21%, 0.00%), (MDLZ, 485, 0.19%, 0.00%), (BMY, 622, 0.19%, 0.00%), (TJX, 216, 0.18%,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</si>
  <si>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3.12%, 0.00%), (META, 5,990, 2.79%, 0.00%), (BRK/B, 6,969, 1.98%, 0.00%), (GOOGL, 16,055, 1.94%, 0.00%), (CSCO, 42,316, 1.75%, 0.00%), (LIN, 5,987, 1.71%, 0.00%), (TSLA, 8,016, 1.60%, 0.00%), (GOOG, 13,078, 1.59%, 0.00%), (JPM, 8,825, 1.54%, 0.00%), (AMT, 12,146, 1.48%, 0.00%), (XOM, 21,361, 1.37%, 0.00%), (V, 6,570, 1.35%, 0.00%), (CB, 6,703, 1.10%, 0.00%), (MA, 3,117, 1.08%, 0.00%), (WM, 7,508, 1.01%, 0.00%), (LLY, 2,516, 1.01%, 0.00%), (GE, 6,250, 1.01%, 0.00%), (ORCL, 6,287, 0.92%, 0.00%), (PLTR, 8,019, 0.87%, 0.00%), (NFLX, 1,175, 0.86%, 0.00%), (NEE, 19,288, 0.83%, 0.00%), (JNJ, 7,687, 0.80%, 0.00%), (WMT, 12,795, 0.77%, 0.00%), (COST, 1,306, 0.76%, 0.00%), (CVX, 8,123, 0.75%, 0.00%), (UNH, 4,679, 0.74%, 0.00%), (PG, 8,088, 0.74%, 0.00%), (RTX, 7,686, 0.71%, 0.00%), (MCD, 3,822, 0.70%, 0.00%), (CAT, 2,788, 0.69%, 0.00%), (HD, 2,892, 0.69%, 0.00%), (ABBV, 5,642, 0.68%, 0.00%), (ABT, 8,818, 0.68%, 0.00%), (AMD, 5,859, 0.62%, 0.00%), (KO, 14,624, 0.61%, 0.00%), (BA, 4,317, 0.60%, 0.00%), (BAC, 20,924, 0.59%, 0.00%), (PM, 5,865, 0.58%, 0.00%), (SO, 10,277, 0.58%, 0.00%), (BKNG, 177, 0.57%, 0.00%), (NKE, 12,583, 0.57%, 0.00%), (DUK, 7,245, 0.54%, 0.00%), (GS, 1,194, 0.53%, 0.00%), (CRM, 3,740, 0.52%, 0.00%), (ISRG, 1,811, 0.51%, 0.00%), (IBM, 3,617, 0.51%, 0.00%), (UBER, 9,298, 0.51%, 0.00%), (WFC, 10,436, 0.49%, 0.00%), (HON, 3,755, 0.49%, 0.00%), (ETN, 2,282, 0.48%, 0.00%), (MET, 10,400, 0.48%, 0.00%), (INTU, 1,097, 0.47%, 0.00%), (PEP, 5,175, 0.46%, 0.00%), (T, 24,902, 0.42%, 0.00%), (DE, 1,469, 0.42%, 0.00%), (MS, 4,716, 0.41%, 0.00%), (NOW, 806, 0.41%, 0.00%), (SPGI, 1,207, 0.41%, 0.00%), (MRK, 8,076, 0.40%, 0.00%), (AXP, 2,116, 0.39%, 0.00%), (BLK, 554, 0.38%, 0.00%), (VZ, 14,610, 0.38%, 0.00%), (TXN, 3,294, 0.38%, 0.00%), (QCOM, 4,011, 0.37%, 0.00%), (MDT, 6,520, 0.36%, 0.00%), (COP, 6,287, 0.36%, 0.00%), (ACN, 2,444, 0.36%, 0.00%), (ADBE, 1,722, 0.36%, 0.00%), (UNP, 2,677, 0.35%, 0.00%), (TMO, 1,221, 0.35%, 0.00%), (DIS, 4,976, 0.34%, 0.00%), (C, 5,928, 0.34%, 0.00%), (SBUX, 6,045, 0.34%, 0.00%), (AMAT, 2,976, 0.33%, 0.00%), (SCHW, 5,684, 0.33%, 0.00%), (LMT, 1,218, 0.32%, 0.00%), (AMGN, 1,716, 0.30%, 0.00%), (MMM, 3,145, 0.29%, 0.00%), (GILD, 3,979, 0.28%, 0.00%), (PFE, 18,093, 0.27%, 0.00%), (EMR, 3,293, 0.26%, 0.00%), (DHR, 2,052, 0.25%, 0.00%), (CVS, 6,398, 0.25%, 0.00%), (MO, 6,393, 0.25%, 0.00%), (LOW, 1,652, 0.25%, 0.00%), (INTC, 15,572, 0.21%, 0.00%), (ELV, 1,179, 0.21%, 0.00%), (CMCSA, 10,489, 0.20%, 0.00%), (TJX, 2,383, 0.19%, 0.00%), (MDLZ, 5,044, 0.19%, 0.00%), (BMY, 6,475, 0.18%, 0.00%), (UPS, 3,230, 0.17%, 0.00%), (PYPL, 3,812, 0.16%, 0.00%), (CL, 2,806, 0.14%, 0.00%), (FDX, 993, 0.14%, 0.00%), (USB, 4,890, 0.14%, 0.00%), (TGT, 1,358, 0.08%, 0.00%), (SC26771B, nan, nan%, 0.00%), (SC26773B, nan, nan%, 0.00%), (SP26772B, nan, nan%, 0.00%), (SP26774B, nan, nan%, 0.00%), (SP26775T, nan, nan%, 0.00%), (XP26775T, nan, nan%, 0.00%)</t>
  </si>
  <si>
    <t>(AVGO, 14,633, 3.28%, 0.00%), (META, 5,198, 2.94%, 0.00%), (BRK/B, 6,047, 2.09%, 0.00%), (GOOGL, 13,932, 2.05%, 0.00%), (CSCO, 36,719, 1.85%, 0.00%), (LIN, 5,195, 1.80%, 0.00%), (TSLA, 6,956, 1.68%, 0.00%), (GOOG, 11,348, 1.67%, 0.00%), (JPM, 7,658, 1.63%, 0.00%), (AMT, 10,540, 1.56%, 0.00%), (XOM, 18,536, 1.44%, 0.00%), (V, 5,701, 1.42%, 0.00%), (CB, 5,817, 1.16%, 0.00%), (MA, 2,704, 1.14%, 0.00%), (WM, 6,515, 1.07%, 0.00%), (LLY, 2,183, 1.06%, 0.00%), (GE, 5,423, 1.06%, 0.00%), (ORCL, 5,456, 0.97%, 0.00%), (PLTR, 6,958, 0.91%, 0.00%), (NFLX, 1,019, 0.91%, 0.00%), (NEE, 16,737, 0.88%, 0.00%), (JNJ, 6,670, 0.85%, 0.00%), (WMT, 11,103, 0.81%, 0.00%), (COST, 1,133, 0.80%, 0.00%), (CVX, 7,049, 0.79%, 0.00%), (UNH, 4,060, 0.78%, 0.00%), (PG, 7,018, 0.78%, 0.00%), (RTX, 6,670, 0.75%, 0.00%), (MCD, 3,316, 0.74%, 0.00%), (CAT, 2,419, 0.73%, 0.00%), (HD, 2,509, 0.72%, 0.00%), (ABBV, 4,896, 0.72%, 0.00%), (ABT, 7,652, 0.72%, 0.00%), (AMD, 5,084, 0.66%, 0.00%), (KO, 12,690, 0.64%, 0.00%), (BA, 3,746, 0.63%, 0.00%), (BAC, 18,157, 0.62%, 0.00%), (PM, 5,089, 0.61%, 0.00%), (SO, 8,918, 0.61%, 0.00%), (BKNG, 153, 0.61%, 0.00%), (NKE, 10,841, 0.60%, 0.00%), (DUK, 6,287, 0.57%, 0.00%), (GS, 1,036, 0.56%, 0.00%), (CRM, 3,245, 0.55%, 0.00%), (ISRG, 1,571, 0.54%, 0.00%), (IBM, 3,139, 0.54%, 0.00%), (UBER, 8,069, 0.53%, 0.00%), (WFC, 9,056, 0.52%, 0.00%), (HON, 3,258, 0.51%, 0.00%), (ETN, 1,980, 0.51%, 0.00%), (MET, 9,025, 0.51%, 0.00%), (INTU, 951, 0.49%, 0.00%), (PEP, 4,491, 0.48%, 0.00%), (T, 21,609, 0.45%, 0.00%), (DE, 1,275, 0.44%, 0.00%), (MS, 4,093, 0.44%, 0.00%), (NOW, 699, 0.43%, 0.00%), (SPGI, 1,048, 0.43%, 0.00%), (MRK, 7,008, 0.42%, 0.00%), (AXP, 1,836, 0.41%, 0.00%), (BLK, 480, 0.40%, 0.00%), (VZ, 12,678, 0.40%, 0.00%), (TXN, 2,858, 0.40%, 0.00%), (QCOM, 3,481, 0.39%, 0.00%), (MDT, 5,658, 0.38%, 0.00%), (COP, 5,455, 0.38%, 0.00%), (ACN, 2,121, 0.38%, 0.00%), (ADBE, 1,494, 0.38%, 0.00%), (UNP, 2,323, 0.37%, 0.00%), (TMO, 1,060, 0.37%, 0.00%), (DIS, 4,318, 0.36%, 0.00%), (C, 5,144, 0.35%, 0.00%), (SBUX, 5,245, 0.35%, 0.00%), (AMAT, 2,583, 0.35%, 0.00%), (SCHW, 4,932, 0.35%, 0.00%), (LMT, 1,057, 0.33%, 0.00%), (AMGN, 1,489, 0.31%, 0.00%), (MMM, 2,729, 0.31%, 0.00%), (GILD, 3,453, 0.30%, 0.00%), (PFE, 15,700, 0.28%, 0.00%), (EMR, 2,857, 0.28%, 0.00%), (DHR, 1,781, 0.27%, 0.00%), (CVS, 5,552, 0.27%, 0.00%), (MO, 5,547, 0.26%, 0.00%), (LOW, 1,433, 0.26%, 0.00%), (INTC, 13,513, 0.22%, 0.00%), (ELV, 1,023, 0.22%, 0.00%), (CMCSA, 9,102, 0.21%, 0.00%), (TJX, 2,049, 0.20%, 0.00%), (MDLZ, 4,377, 0.20%, 0.00%), (BMY, 5,619, 0.19%, 0.00%), (UPS, 2,802, 0.18%, 0.00%), (PYPL, 3,308, 0.17%,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</si>
  <si>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3.30%, 0.00%), (META, 3,870, 2.95%, 0.00%), (BRK/B, 4,502, 2.10%, 0.00%), (GOOGL, 10,372, 2.05%, 0.00%), (CSCO, 27,338, 1.84%, 0.00%), (LIN, 3,868, 1.80%, 0.00%), (TSLA, 5,178, 1.69%, 0.00%), (GOOG, 8,449, 1.68%, 0.00%), (JPM, 5,701, 1.63%, 0.00%), (AMT, 7,847, 1.55%, 0.00%), (XOM, 13,800, 1.44%, 0.00%), (V, 4,245, 1.43%, 0.00%), (CB, 4,330, 1.16%, 0.00%), (MA, 2,013, 1.14%, 0.00%), (LLY, 1,625, 1.08%, 0.00%), (WM, 4,851, 1.07%, 0.00%), (GE, 4,038, 1.06%, 0.00%), (ORCL, 4,062, 0.97%, 0.00%), (PLTR, 5,181, 0.91%, 0.00%), (NFLX, 759, 0.91%, 0.00%), (NEE, 12,461, 0.88%, 0.00%), (JNJ, 4,966, 0.84%, 0.00%), (WMT, 8,266, 0.81%, 0.00%), (COST, 844, 0.80%, 0.00%), (UNH, 3,023, 0.80%, 0.00%), (CVX, 5,248, 0.79%, 0.00%), (PG, 5,225, 0.78%, 0.00%), (RTX, 4,966, 0.75%, 0.00%), (MCD, 2,469, 0.74%, 0.00%), (CAT, 1,801, 0.73%, 0.00%), (HD, 1,868, 0.73%, 0.00%), (ABBV, 3,645, 0.73%, 0.00%), (ABT, 5,697, 0.72%, 0.00%), (AMD, 3,785, 0.67%, 0.00%), (KO, 9,448, 0.64%, 0.00%), (BA, 2,789, 0.63%, 0.00%), (BAC, 13,518, 0.63%, 0.00%), (PM, 3,789, 0.61%, 0.00%), (SO, 6,639, 0.61%, 0.00%), (BKNG, 114, 0.61%, 0.00%), (NKE, 8,071, 0.60%, 0.00%), (DUK, 4,681, 0.57%, 0.00%), (GS, 771, 0.56%, 0.00%), (CRM, 2,416, 0.55%, 0.00%), (ISRG, 1,170, 0.54%, 0.00%), (IBM, 2,337, 0.54%, 0.00%), (UBER, 6,007, 0.53%, 0.00%), (WFC, 6,742, 0.52%, 0.00%), (HON, 2,426, 0.52%, 0.00%), (MET, 6,719, 0.51%, 0.00%), (ETN, 1,474, 0.51%, 0.00%), (INTU, 708, 0.49%, 0.00%), (PEP, 3,343, 0.48%, 0.00%), (T, 16,088, 0.45%, 0.00%), (DE, 949, 0.44%, 0.00%), (MS, 3,047, 0.44%, 0.00%), (NOW, 521, 0.43%, 0.00%), (SPGI, 780, 0.43%, 0.00%), (MRK, 5,218, 0.42%, 0.00%), (AXP, 1,367, 0.41%, 0.00%), (BLK, 358, 0.40%, 0.00%), (TXN, 2,128, 0.40%, 0.00%), (VZ, 9,438, 0.40%, 0.00%), (QCOM, 2,591, 0.40%, 0.00%), (ACN, 1,579, 0.38%, 0.00%), (COP, 4,062, 0.38%, 0.00%), (ADBE, 1,113, 0.38%, 0.00%), (MDT, 4,212, 0.38%, 0.00%), (UNP, 1,730, 0.37%, 0.00%), (TMO, 789, 0.37%, 0.00%), (DIS, 3,215, 0.36%, 0.00%), (C, 3,830, 0.36%, 0.00%), (SBUX, 3,905, 0.35%, 0.00%), (AMAT, 1,923, 0.35%, 0.00%), (SCHW, 3,672, 0.35%, 0.00%), (LMT, 787, 0.34%, 0.00%), (AMGN, 1,109, 0.31%, 0.00%), (MMM, 2,032, 0.31%, 0.00%), (GILD, 2,570, 0.30%, 0.00%), (PFE, 11,689, 0.29%, 0.00%), (EMR, 2,127, 0.28%, 0.00%), (DHR, 1,326, 0.27%, 0.00%), (CVS, 4,133, 0.27%, 0.00%), (MO, 4,130, 0.26%, 0.00%), (LOW, 1,067, 0.26%, 0.00%), (INTC, 10,060, 0.23%, 0.00%), (ELV, 762, 0.22%, 0.00%), (CMCSA, 6,776, 0.22%, 0.00%), (TJX, 1,621, 0.21%, 0.00%), (MDLZ, 3,259, 0.20%, 0.00%), (BMY, 4,183, 0.19%, 0.00%), (UPS, 2,086, 0.18%, 0.00%), (PYPL, 2,463, 0.17%,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</si>
  <si>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3.13%, 0.00%), (META, 1,461, 2.80%, 0.00%), (BRK/B, 1,700, 1.99%, 0.00%), (GOOGL, 3,917, 1.95%, 0.00%), (CSCO, 10,323, 1.76%, 0.00%), (LIN, 1,461, 1.71%, 0.00%), (TSLA, 1,956, 1.61%, 0.00%), (GOOG, 3,190, 1.59%, 0.00%), (JPM, 2,153, 1.55%, 0.00%), (AMT, 2,963, 1.48%, 0.00%), (XOM, 5,211, 1.37%, 0.00%), (V, 1,603, 1.35%, 0.00%), (CB, 1,635, 1.10%, 0.00%), (MA, 760, 1.09%, 0.00%), (LLY, 614, 1.02%, 0.00%), (WM, 1,832, 1.02%, 0.00%), (GE, 1,525, 1.01%, 0.00%), (ORCL, 1,534, 0.92%, 0.00%), (PLTR, 1,956, 0.87%, 0.00%), (NFLX, 287, 0.86%, 0.00%), (NEE, 4,705, 0.83%, 0.00%), (JNJ, 1,875, 0.80%, 0.00%), (WMT, 3,122, 0.77%, 0.00%), (COST, 319, 0.76%, 0.00%), (CVX, 1,982, 0.75%, 0.00%), (UNH, 1,141, 0.74%, 0.00%), (PG, 1,973, 0.74%, 0.00%), (RTX, 1,875, 0.71%, 0.00%), (MCD, 932, 0.71%, 0.00%), (CAT, 680, 0.70%, 0.00%), (HD, 705, 0.69%, 0.00%), (ABBV, 1,376, 0.69%, 0.00%), (ABT, 2,151, 0.68%, 0.00%), (AMD, 1,429, 0.63%, 0.00%), (KO, 3,568, 0.61%, 0.00%), (BA, 1,053, 0.60%, 0.00%), (BAC, 5,105, 0.59%, 0.00%), (PM, 1,431, 0.58%, 0.00%), (SO, 2,507, 0.58%, 0.00%), (BKNG, 43, 0.58%, 0.00%), (NKE, 3,048, 0.57%, 0.00%), (DUK, 1,768, 0.54%, 0.00%), (GS, 291, 0.53%, 0.00%), (CRM, 912, 0.52%, 0.00%), (ISRG, 442, 0.52%, 0.00%), (IBM, 882, 0.51%, 0.00%), (UBER, 2,268, 0.51%, 0.00%), (WFC, 2,546, 0.49%, 0.00%), (HON, 916, 0.49%, 0.00%), (ETN, 557, 0.49%, 0.00%), (MET, 2,537, 0.48%, 0.00%), (INTU, 268, 0.47%, 0.00%), (PEP, 1,263, 0.46%, 0.00%), (T, 6,075, 0.43%, 0.00%), (DE, 358, 0.42%, 0.00%), (MS, 1,151, 0.42%, 0.00%), (NOW, 197, 0.41%, 0.00%), (SPGI, 294, 0.41%, 0.00%), (MRK, 1,970, 0.40%, 0.00%), (AXP, 516, 0.39%, 0.00%), (BLK, 135, 0.38%, 0.00%), (VZ, 3,564, 0.38%, 0.00%), (TXN, 803, 0.38%, 0.00%), (QCOM, 979, 0.38%, 0.00%), (MDT, 1,591, 0.36%, 0.00%), (ACN, 596, 0.36%, 0.00%), (COP, 1,534, 0.36%, 0.00%), (ADBE, 420, 0.36%, 0.00%), (UNP, 653, 0.36%, 0.00%), (TMO, 298, 0.35%, 0.00%), (DIS, 1,214, 0.34%, 0.00%), (C, 1,446, 0.34%, 0.00%), (SBUX, 1,475, 0.34%, 0.00%), (AMAT, 726, 0.33%, 0.00%), (SCHW, 1,387, 0.33%, 0.00%), (LMT, 297, 0.32%, 0.00%), (AMGN, 419, 0.30%, 0.00%), (MMM, 767, 0.29%, 0.00%), (GILD, 971, 0.28%, 0.00%), (PFE, 4,414, 0.27%, 0.00%), (EMR, 803, 0.26%, 0.00%), (TJX, 801, 0.26%, 0.00%), (DHR, 501, 0.26%, 0.00%), (CVS, 1,561, 0.25%, 0.00%), (MO, 1,560, 0.25%, 0.00%), (LOW, 403, 0.25%, 0.00%), (INTC, 3,799, 0.21%, 0.00%), (ELV, 288, 0.21%, 0.00%), (CMCSA, 2,559, 0.20%, 0.00%), (MDLZ, 1,230, 0.19%, 0.00%), (BMY, 1,580, 0.18%, 0.00%), (UPS, 788, 0.17%, 0.00%), (PYPL, 930, 0.16%, 0.00%), (CL, 684, 0.14%, 0.00%), (FDX, 242, 0.14%, 0.00%), (USB, 1,193, 0.14%, 0.00%), (TGT, 331, 0.08%, 0.00%), (SC28181B, nan, nan%, 0.00%), (SC28183B, nan, nan%, 0.00%), (SP28182B, nan, nan%, 0.00%), (SP28185B, nan, nan%, 0.00%), (SP28184B, nan, nan%, 0.00%), (XP28185B, nan, nan%, 0.00%)</t>
  </si>
  <si>
    <t>(AVGO, 4,472, 3.17%, 0.00%), (META, 1,589, 2.83%, 0.00%), (BRK/B, 1,848, 2.01%, 0.00%), (GOOGL, 4,258, 1.97%, 0.00%), (CSCO, 11,221, 1.78%, 0.00%), (LIN, 1,588, 1.73%, 0.00%), (TSLA, 2,126, 1.62%, 0.00%), (GOOG, 3,468, 1.61%, 0.00%), (JPM, 2,340, 1.57%, 0.00%), (AMT, 3,221, 1.50%, 0.00%), (XOM, 5,664, 1.39%, 0.00%), (V, 1,742, 1.37%, 0.00%), (CB, 1,778, 1.12%, 0.00%), (MA, 826, 1.10%, 0.00%), (WM, 1,991, 1.03%, 0.00%), (GE, 1,657, 1.02%, 0.00%), (LLY, 667, 1.02%, 0.00%), (ORCL, 1,667, 0.93%, 0.00%), (PLTR, 2,126, 0.88%, 0.00%), (NFLX, 311, 0.87%, 0.00%), (NEE, 5,115, 0.84%, 0.00%), (JNJ, 2,038, 0.81%, 0.00%), (WMT, 3,393, 0.78%, 0.00%), (COST, 346, 0.77%, 0.00%), (CVX, 2,154, 0.76%, 0.00%), (UNH, 1,241, 0.76%, 0.00%), (PG, 2,145, 0.75%, 0.00%), (RTX, 2,038, 0.72%, 0.00%), (MCD, 1,013, 0.71%, 0.00%), (CAT, 739, 0.70%, 0.00%), (HD, 767, 0.70%, 0.00%), (ABBV, 1,496, 0.70%, 0.00%), (ABT, 2,338, 0.69%, 0.00%), (AMD, 1,554, 0.63%, 0.00%), (KO, 3,878, 0.62%, 0.00%), (BA, 1,145, 0.61%, 0.00%), (BAC, 5,549, 0.60%, 0.00%), (BKNG, 47, 0.59%, 0.00%), (PM, 1,555, 0.59%, 0.00%), (SO, 2,725, 0.59%, 0.00%), (NKE, 3,313, 0.57%, 0.00%), (DUK, 1,921, 0.55%, 0.00%), (GS, 316, 0.53%, 0.00%), (CRM, 992, 0.53%, 0.00%), (ISRG, 480, 0.52%, 0.00%), (IBM, 959, 0.52%, 0.00%), (UBER, 2,466, 0.51%, 0.00%), (WFC, 2,768, 0.50%, 0.00%), (HON, 996, 0.50%, 0.00%), (ETN, 605, 0.49%, 0.00%), (MET, 2,758, 0.49%, 0.00%), (INTU, 291, 0.47%, 0.00%), (PEP, 1,372, 0.46%, 0.00%), (T, 6,604, 0.43%, 0.00%), (DE, 390, 0.43%, 0.00%), (MS, 1,251, 0.42%, 0.00%), (NOW, 214, 0.42%, 0.00%), (SPGI, 320, 0.41%, 0.00%), (MRK, 2,142, 0.40%, 0.00%), (AXP, 561, 0.39%, 0.00%), (BLK, 147, 0.39%, 0.00%), (VZ, 3,874, 0.38%, 0.00%), (TXN, 873, 0.38%, 0.00%), (QCOM, 1,064, 0.38%, 0.00%), (MDT, 1,729, 0.36%, 0.00%), (ACN, 648, 0.36%, 0.00%), (COP, 1,667, 0.36%, 0.00%), (ADBE, 457, 0.36%, 0.00%), (UNP, 710, 0.36%, 0.00%), (TMO, 324, 0.35%, 0.00%), (DIS, 1,320, 0.35%, 0.00%), (C, 1,572, 0.34%, 0.00%), (SBUX, 1,603, 0.34%, 0.00%), (AMAT, 789, 0.34%, 0.00%), (SCHW, 1,507, 0.34%, 0.00%), (LMT, 323, 0.32%, 0.00%), (AMGN, 455, 0.30%, 0.00%), (MMM, 834, 0.30%, 0.00%), (GILD, 1,055, 0.29%, 0.00%), (PFE, 4,798, 0.27%, 0.00%), (EMR, 873, 0.27%, 0.00%), (DHR, 544, 0.26%, 0.00%), (CVS, 1,697, 0.26%, 0.00%), (MO, 1,695, 0.25%, 0.00%), (LOW, 438, 0.25%, 0.00%), (INTC, 4,129, 0.22%, 0.00%), (ELV, 313, 0.21%, 0.00%), (CMCSA, 2,781, 0.21%, 0.00%), (TJX, 671, 0.20%, 0.00%), (MDLZ, 1,338, 0.19%, 0.00%), (BMY, 1,717, 0.19%, 0.00%), (UPS, 856, 0.17%, 0.00%), (PYPL, 1,011, 0.16%, 0.00%), (CL, 744, 0.14%,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</si>
  <si>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3.28%, 0.00%), (META, 2,989, 2.93%, 0.00%), (BRK/B, 3,478, 2.08%, 0.00%), (GOOGL, 8,012, 2.04%, 0.00%), (CSCO, 21,115, 1.84%, 0.00%), (LIN, 2,987, 1.79%, 0.00%), (TSLA, 4,000, 1.68%, 0.00%), (GOOG, 6,526, 1.67%, 0.00%), (JPM, 4,403, 1.62%, 0.00%), (AMT, 6,061, 1.55%, 0.00%), (XOM, 10,659, 1.44%, 0.00%), (V, 3,279, 1.42%, 0.00%), (CB, 3,345, 1.16%, 0.00%), (MA, 1,555, 1.14%, 0.00%), (WM, 3,747, 1.07%, 0.00%), (LLY, 1,255, 1.06%, 0.00%), (GE, 3,119, 1.06%, 0.00%), (ORCL, 3,137, 0.97%, 0.00%), (PLTR, 4,001, 0.91%, 0.00%), (NFLX, 586, 0.91%, 0.00%), (NEE, 9,624, 0.87%, 0.00%), (JNJ, 3,836, 0.84%, 0.00%), (WMT, 6,385, 0.81%, 0.00%), (COST, 652, 0.80%, 0.00%), (CVX, 4,053, 0.79%, 0.00%), (UNH, 2,335, 0.78%, 0.00%), (PG, 4,036, 0.78%, 0.00%), (RTX, 3,835, 0.75%, 0.00%), (MCD, 1,907, 0.74%, 0.00%), (CAT, 1,391, 0.73%, 0.00%), (HD, 1,443, 0.72%, 0.00%), (ABBV, 2,815, 0.72%, 0.00%), (ABT, 4,400, 0.72%, 0.00%), (AMD, 2,924, 0.66%, 0.00%), (KO, 7,297, 0.64%, 0.00%), (BA, 2,154, 0.63%, 0.00%), (BAC, 10,441, 0.62%, 0.00%), (PM, 2,926, 0.61%, 0.00%), (SO, 5,128, 0.61%, 0.00%), (BKNG, 88, 0.61%, 0.00%), (NKE, 6,234, 0.60%, 0.00%), (DUK, 3,615, 0.57%, 0.00%), (GS, 596, 0.56%, 0.00%), (CRM, 1,866, 0.55%, 0.00%), (ISRG, 904, 0.54%, 0.00%), (IBM, 1,805, 0.54%, 0.00%), (UBER, 4,640, 0.53%, 0.00%), (WFC, 5,208, 0.52%, 0.00%), (HON, 1,874, 0.51%, 0.00%), (ETN, 1,139, 0.51%, 0.00%), (MET, 5,189, 0.51%, 0.00%), (INTU, 547, 0.49%, 0.00%), (PEP, 2,582, 0.48%, 0.00%), (T, 12,426, 0.45%, 0.00%), (DE, 733, 0.44%, 0.00%), (MS, 2,353, 0.44%, 0.00%), (NOW, 402, 0.43%, 0.00%), (SPGI, 602, 0.43%, 0.00%), (MRK, 4,030, 0.42%, 0.00%), (AXP, 1,056, 0.41%, 0.00%), (BLK, 276, 0.40%, 0.00%), (VZ, 7,290, 0.40%, 0.00%), (TXN, 1,643, 0.40%, 0.00%), (QCOM, 2,002, 0.39%, 0.00%), (MDT, 3,253, 0.38%, 0.00%), (COP, 3,137, 0.38%, 0.00%), (ACN, 1,220, 0.38%, 0.00%), (ADBE, 859, 0.38%, 0.00%), (UNP, 1,336, 0.37%, 0.00%), (TMO, 609, 0.37%, 0.00%), (DIS, 2,483, 0.36%, 0.00%), (C, 2,958, 0.35%, 0.00%), (SBUX, 3,016, 0.35%, 0.00%), (AMAT, 1,485, 0.35%, 0.00%), (SCHW, 2,836, 0.35%, 0.00%), (LMT, 608, 0.33%, 0.00%), (AMGN, 856, 0.31%, 0.00%), (MMM, 1,569, 0.31%, 0.00%), (GILD, 1,985, 0.30%, 0.00%), (PFE, 9,028, 0.28%, 0.00%), (EMR, 1,643, 0.28%, 0.00%), (DHR, 1,024, 0.27%, 0.00%), (CVS, 3,192, 0.27%, 0.00%), (MO, 3,190, 0.26%, 0.00%), (LOW, 824, 0.26%, 0.00%), (INTC, 7,770, 0.22%, 0.00%), (ELV, 588, 0.22%, 0.00%), (CMCSA, 5,234, 0.21%, 0.00%), (TJX, 1,238, 0.21%, 0.00%), (MDLZ, 2,517, 0.19%, 0.00%), (BMY, 3,231, 0.19%, 0.00%), (UPS, 1,612, 0.18%, 0.00%), (PYPL, 1,902, 0.17%,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</si>
  <si>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GOOGL, EA, MLI, BLK, JPM, BKNG, PHM</t>
  </si>
  <si>
    <t>(RJF, 6,456, 1.94%, 0.00%), (EWBC, 9,988, 1.86%, 0.01%), (HIG, 7,737, 1.86%, 0.00%), (AXP, 3,259, 1.83%, 0.00%), (V, 2,889, 1.83%, 0.00%), (TRV, 3,676, 1.80%, 0.00%), (NVDA, 5,398, 1.79%, 0.00%), (ROST, 6,437, 1.74%, 0.00%), (SNA, 2,881, 1.73%, 0.01%), (ADP, 3,087, 1.72%, 0.00%), (LEN, 6,821, 1.66%, 0.00%), (PCAR, 9,137, 1.65%, 0.00%), (AMAT, 5,536, 1.65%, 0.00%), (UNM, 12,998, 1.65%, 0.01%), (KLAC, 1,022, 1.65%, 0.00%), (CB, 3,260, 1.65%, 0.00%), (SYF, 12,066, 1.59%, 0.00%), (WSM, 4,086, 1.53%, 0.00%), (CTSH, 11,677, 1.51%, 0.00%), (CRM, 3,310, 1.48%, 0.00%), (PAYC, 3,535, 1.41%, 0.01%), (DHI, 4,532, 1.38%, 0.00%), (QCOM, 4,661, 1.36%, 0.00%), (BKR, 17,185, 1.35%, 0.00%), (AAPL, 3,009, 1.28%, 0.00%), (ELV, 2,213, 1.26%, 0.00%), (ACN, 2,753, 1.25%, 0.00%), (AFL, 6,383, 1.24%, 0.00%), (MPWR, 737, 1.12%, 0.00%), (ODFL, 3,959, 1.10%, 0.00%), (LRCX, 5,953, 1.09%, 0.00%), (CSCO, 8,645, 1.05%, 0.00%), (GE, 2,086, 1.03%, 0.00%), (STT, 4,792, 0.98%, 0.00%), (PNC, 2,566, 0.90%, 0.00%), (MTB, 2,550, 0.89%, 0.00%), (CF, 5,476, 0.87%, 0.00%), (AMP, 933, 0.86%, 0.00%), (COST, 479, 0.86%, 0.00%), (ABT, 3,449, 0.84%, 0.00%), (EOG, 3,609, 0.79%, 0.00%), (XOM, 4,011, 0.79%, 0.00%), (CSL, 1,074, 0.75%, 0.00%), (EG, 1,214, 0.74%, 0.00%), (GEV, 489, 0.56%, 0.00%), (NTRS, 2,224, 0.52%, 0.00%), (MA, 464, 0.50%, 0.00%), (JNJ, 1,489, 0.48%, 0.00%), (CRBG, 7,641, 0.48%, 0.00%), (ACM, 2,104, 0.46%, 0.00%), (LNC, 6,083, 0.45%, 0.00%), (MTG, 8,739, 0.44%, 0.00%), (JXN, 2,511, 0.44%, 0.00%), (CINF, 1,547, 0.43%, 0.00%), (EQH, 4,312, 0.43%, 0.00%), (DOV, 1,300, 0.42%, 0.00%), (WTFC, 1,792, 0.42%, 0.00%), (ALL, 1,101, 0.42%, 0.00%), (ADM, 3,704, 0.41%, 0.00%), (SLM, 7,141, 0.40%, 0.00%), (NUE, 1,487, 0.40%, 0.00%), (MCK, 321, 0.40%, 0.00%), (NKE, 2,711, 0.38%, 0.00%), (PGR, 811, 0.37%, 0.00%), (FANG, 1,158, 0.30%, 0.00%), (SC13N61B, nan, nan%, 0.00%), (SC13N63B, nan, nan%, 0.00%), (SP13N62B, nan, nan%, 0.00%), (SP13N65B, nan, nan%, 0.00%), (SP13N64B, nan, nan%, 0.00%), (SPX Index, nan, nan%, 0.00%), (XP13N65B, nan, nan%, 0.00%)</t>
  </si>
  <si>
    <t>(AVGO, 3,881, 3.43%, 0.00%), (META, 1,379, 3.11%, 0.00%), (BRK/B, 1,604, 2.19%, 0.00%), (GOOGL, 3,695, 2.17%, 0.00%), (LIN, 1,378, 1.90%, 0.00%), (CSCO, 9,739, 1.86%, 0.00%), (GOOG, 3,010, 1.77%, 0.00%), (TSLA, 1,845, 1.76%, 0.00%), (JPM, 2,031, 1.70%, 0.00%), (AMT, 2,795, 1.66%, 0.00%), (V, 1,512, 1.50%, 0.00%), (CB, 1,543, 1.22%, 0.00%), (MA, 717, 1.20%, 0.00%), (WM, 1,728, 1.13%, 0.00%), (GE, 1,438, 1.11%, 0.00%), (XOM, 3,516, 1.08%, 0.00%), (ORCL, 1,447, 1.04%, 0.00%), (NFLX, 270, 0.96%, 0.00%), (NEE, 4,439, 0.95%, 0.00%), (PLTR, 1,846, 0.94%, 0.00%), (JNJ, 1,769, 0.90%, 0.00%), (UNH, 1,077, 0.90%, 0.00%), (WMT, 2,945, 0.85%, 0.00%), (COST, 301, 0.84%, 0.00%), (CVX, 1,870, 0.84%, 0.00%), (PG, 1,861, 0.83%, 0.00%), (RTX, 1,769, 0.79%, 0.00%), (MCD, 880, 0.78%, 0.00%), (ABT, 2,029, 0.77%, 0.00%), (LLY, 379, 0.77%, 0.00%), (ABBV, 1,299, 0.77%, 0.00%), (HD, 666, 0.76%, 0.00%), (CAT, 642, 0.76%, 0.00%), (AMD, 1,349, 0.69%, 0.00%), (KO, 3,366, 0.68%, 0.00%), (BA, 994, 0.67%, 0.00%), (BAC, 4,816, 0.65%, 0.00%), (PM, 1,350, 0.65%, 0.00%), (BKNG, 41, 0.65%, 0.00%), (SO, 2,365, 0.64%, 0.00%), (NKE, 2,875, 0.63%, 0.00%), (CRM, 861, 0.60%, 0.00%), (DUK, 1,668, 0.59%, 0.00%), (GS, 275, 0.58%, 0.00%), (IBM, 833, 0.58%, 0.00%), (ISRG, 417, 0.58%, 0.00%), (UBER, 2,140, 0.57%, 0.00%), (HON, 864, 0.54%, 0.00%), (WFC, 2,402, 0.53%, 0.00%), (MET, 2,394, 0.53%, 0.00%), (ETN, 525, 0.53%, 0.00%), (INTU, 252, 0.52%, 0.00%), (PEP, 1,191, 0.51%, 0.00%), (DE, 338, 0.48%, 0.00%), (T, 5,731, 0.47%, 0.00%), (NOW, 185, 0.46%, 0.00%), (MS, 1,086, 0.45%, 0.00%), (MRK, 1,859, 0.45%, 0.00%), (SPGI, 278, 0.45%, 0.00%), (AXP, 487, 0.43%, 0.00%), (VZ, 3,363, 0.43%, 0.00%), (TXN, 758, 0.42%, 0.00%), (BLK, 127, 0.42%, 0.00%), (QCOM, 923, 0.41%, 0.00%), (MDT, 1,501, 0.40%, 0.00%), (ADBE, 396, 0.40%, 0.00%), (ACN, 563, 0.40%, 0.00%), (COP, 1,447, 0.40%, 0.00%), (UNP, 616, 0.39%, 0.00%), (TMO, 281, 0.39%, 0.00%), (DIS, 1,145, 0.38%, 0.00%), (C, 1,364, 0.37%, 0.00%), (SCHW, 1,308, 0.36%, 0.00%), (LMT, 280, 0.35%, 0.00%), (AMGN, 395, 0.34%, 0.00%), (AMAT, 685, 0.32%, 0.00%), (MMM, 724, 0.32%, 0.00%), (GILD, 916, 0.31%, 0.00%), (TJX, 756, 0.29%, 0.00%), (CVS, 1,472, 0.29%, 0.00%), (DHR, 472, 0.28%, 0.00%), (MO, 1,471, 0.28%, 0.00%), (LOW, 380, 0.27%, 0.00%), (SBUX, 991, 0.26%, 0.00%), (INTC, 3,584, 0.24%, 0.00%), (ELV, 271, 0.24%, 0.00%), (CMCSA, 2,414, 0.23%, 0.00%), (PFE, 3,164, 0.23%, 0.00%), (EMR, 558, 0.21%, 0.00%), (MDLZ, 1,161, 0.21%, 0.00%), (BMY, 1,490, 0.21%, 0.00%), (UPS, 743, 0.19%, 0.00%), (PYPL, 877, 0.17%, 0.00%), (CL, 646, 0.16%, 0.00%), (FDX, 228, 0.15%, 0.00%), (USB, 1,125, 0.15%, 0.00%), (TGT, 313, 0.09%, 0.00%), (SC31761B, nan, nan%, 0.00%), (SC31763B, nan, nan%, 0.00%), (SP31762B, nan, nan%, 0.00%), (SP31765B, nan, nan%, 0.00%), (SP31764B, nan, nan%, 0.00%), (XP31765B, nan, nan%, 0.00%)</t>
  </si>
  <si>
    <t>(AVGO, 2,553, 3.33%, 0.00%), (META, 907, 3.01%, 0.00%), (BRK/B, 1,055, 2.13%, 0.00%), (GOOGL, 2,431, 2.10%, 0.00%), (LIN, 906, 1.84%, 0.00%), (CSCO, 6,406, 1.81%, 0.00%), (GOOG, 1,980, 1.72%, 0.00%), (TSLA, 1,213, 1.71%, 0.00%), (JPM, 1,336, 1.65%, 0.00%), (AMT, 1,839, 1.62%, 0.00%), (V, 995, 1.45%, 0.00%), (CB, 1,015, 1.18%, 0.00%), (MA, 472, 1.17%, 0.00%), (WM, 1,137, 1.10%, 0.00%), (GE, 946, 1.08%, 0.00%), (XOM, 2,334, 1.06%, 0.00%), (ORCL, 952, 1.01%, 0.00%), (NFLX, 178, 0.93%, 0.00%), (NEE, 2,920, 0.92%, 0.00%), (PLTR, 1,214, 0.92%, 0.00%), (JNJ, 1,164, 0.87%, 0.00%), (UNH, 708, 0.87%, 0.00%), (LLY, 281, 0.84%, 0.00%), (WMT, 1,937, 0.83%, 0.00%), (COST, 198, 0.82%, 0.00%), (CVX, 1,230, 0.82%, 0.00%), (PG, 1,224, 0.80%, 0.00%), (RTX, 1,164, 0.76%, 0.00%), (MCD, 579, 0.76%, 0.00%), (ABT, 1,335, 0.75%, 0.00%), (ABBV, 854, 0.74%, 0.00%), (HD, 438, 0.74%, 0.00%), (CAT, 422, 0.73%, 0.00%), (AMD, 887, 0.66%, 0.00%), (KO, 2,214, 0.66%, 0.00%), (BA, 654, 0.65%, 0.00%), (BAC, 3,168, 0.63%, 0.00%), (PM, 888, 0.63%, 0.00%), (BKNG, 27, 0.63%, 0.00%), (SO, 1,556, 0.62%, 0.00%), (NKE, 1,891, 0.61%, 0.00%), (CRM, 566, 0.58%, 0.00%), (DUK, 1,097, 0.57%, 0.00%), (GS, 181, 0.56%, 0.00%), (IBM, 548, 0.56%, 0.00%), (ISRG, 274, 0.56%, 0.00%), (UBER, 1,408, 0.55%, 0.00%), (HON, 568, 0.52%, 0.00%), (WFC, 1,580, 0.52%, 0.00%), (MET, 1,574, 0.52%, 0.00%), (ETN, 345, 0.52%, 0.00%), (INTU, 166, 0.51%, 0.00%), (PEP, 783, 0.50%, 0.00%), (DE, 222, 0.46%, 0.00%), (T, 3,770, 0.46%, 0.00%), (NOW, 122, 0.45%, 0.00%), (MS, 714, 0.44%, 0.00%), (MRK, 1,223, 0.43%, 0.00%), (SPGI, 183, 0.43%, 0.00%), (VZ, 2,212, 0.41%, 0.00%), (AXP, 320, 0.41%, 0.00%), (TXN, 499, 0.41%, 0.00%), (BLK, 84, 0.41%, 0.00%), (QCOM, 607, 0.40%, 0.00%), (MDT, 987, 0.39%, 0.00%), (ADBE, 261, 0.39%, 0.00%), (ACN, 370, 0.39%, 0.00%), (COP, 952, 0.38%, 0.00%), (UNP, 405, 0.38%, 0.00%), (TMO, 185, 0.37%, 0.00%), (DIS, 753, 0.37%, 0.00%), (C, 897, 0.36%, 0.00%), (SBUX, 915, 0.35%, 0.00%), (SCHW, 860, 0.35%, 0.00%), (LMT, 184, 0.34%, 0.00%), (AMGN, 260, 0.32%, 0.00%), (AMAT, 451, 0.31%, 0.00%), (MMM, 476, 0.31%, 0.00%), (GILD, 602, 0.30%, 0.00%), (PFE, 2,739, 0.29%, 0.00%), (TJX, 497, 0.28%, 0.00%), (CVS, 969, 0.28%, 0.00%), (DHR, 311, 0.27%, 0.00%), (MO, 968, 0.27%, 0.00%), (LOW, 250, 0.26%, 0.00%), (INTC, 2,357, 0.23%, 0.00%), (ELV, 178, 0.23%, 0.00%), (EMR, 398, 0.22%, 0.00%), (CMCSA, 1,588, 0.22%, 0.00%), (MDLZ, 764, 0.20%, 0.00%), (BMY, 980, 0.20%, 0.00%), (UPS, 489, 0.18%, 0.00%), (PYPL, 577, 0.17%, 0.00%), (CL, 425, 0.15%, 0.00%), (FDX, 150, 0.15%, 0.00%), (USB, 740, 0.14%, 0.00%), (TGT, 206, 0.09%, 0.00%), (SC9061B, nan, nan%, 0.00%), (SC9063B, nan, nan%, 0.00%), (SP9062B, nan, nan%, 0.00%), (SP9065B, nan, nan%, 0.00%), (SP9064B, nan, nan%, 0.00%), (XP9065B, nan, nan%, 0.00%)</t>
  </si>
  <si>
    <t>(META, 866, 2.74%, 0.00%), (BRK/B, 1,008, 1.94%, 0.00%), (GOOGL, 2,322, 1.91%, 0.00%), (LIN, 866, 1.68%, 0.00%), (CSCO, 6,119, 1.64%, 0.00%), (GOOG, 1,891, 1.56%, 0.00%), (TSLA, 1,159, 1.55%, 0.00%), (JPM, 1,276, 1.50%, 0.00%), (AMT, 1,756, 1.47%, 0.00%), (XOM, 3,089, 1.33%, 0.00%), (V, 950, 1.32%, 0.00%), (CB, 969, 1.07%, 0.00%), (MA, 451, 1.06%, 0.00%), (WM, 1,086, 1.00%, 0.00%), (GE, 904, 0.98%, 0.00%), (ORCL, 909, 0.91%, 0.00%), (NFLX, 170, 0.85%, 0.00%), (NEE, 2,789, 0.84%, 0.00%), (PLTR, 1,160, 0.83%, 0.00%), (JNJ, 1,112, 0.79%, 0.00%), (UNH, 677, 0.79%, 0.00%), (LLY, 264, 0.75%, 0.00%), (WMT, 1,850, 0.75%, 0.00%), (COST, 189, 0.74%, 0.00%), (CVX, 1,175, 0.74%, 0.00%), (PG, 1,170, 0.73%, 0.00%), (RTX, 1,112, 0.69%, 0.00%), (MCD, 553, 0.69%, 0.00%), (ABT, 1,275, 0.68%, 0.00%), (ABBV, 816, 0.68%, 0.00%), (HD, 418, 0.67%, 0.00%), (CAT, 403, 0.67%, 0.00%), (AMD, 847, 0.61%, 0.00%), (KO, 2,115, 0.60%, 0.00%), (BA, 624, 0.59%, 0.00%), (BKNG, 26, 0.57%, 0.00%), (BAC, 3,026, 0.57%, 0.00%), (PM, 848, 0.57%, 0.00%), (SO, 1,486, 0.57%, 0.00%), (NKE, 1,807, 0.56%, 0.00%), (CRM, 541, 0.53%, 0.00%), (DUK, 1,048, 0.52%, 0.00%), (GS, 173, 0.51%, 0.00%), (IBM, 523, 0.51%, 0.00%), (ISRG, 262, 0.51%, 0.00%), (UBER, 1,345, 0.50%, 0.00%), (HON, 543, 0.48%, 0.00%), (WFC, 1,509, 0.47%, 0.00%), (MET, 1,504, 0.47%, 0.00%), (ETN, 330, 0.47%, 0.00%), (INTU, 159, 0.46%, 0.00%), (PEP, 748, 0.45%, 0.00%), (DE, 212, 0.42%, 0.00%), (T, 3,601, 0.42%, 0.00%), (NOW, 117, 0.41%, 0.00%), (MS, 682, 0.40%, 0.00%), (SPGI, 175, 0.39%, 0.00%), (MRK, 1,168, 0.39%, 0.00%), (VZ, 2,113, 0.38%, 0.00%), (AXP, 306, 0.38%, 0.00%), (TXN, 476, 0.37%, 0.00%), (BLK, 80, 0.37%, 0.00%), (QCOM, 580, 0.37%, 0.00%), (MDT, 943, 0.36%, 0.00%), (ADBE, 249, 0.35%, 0.00%), (TMO, 177, 0.35%, 0.00%), (ACN, 353, 0.35%, 0.00%), (COP, 909, 0.35%, 0.00%), (UNP, 387, 0.35%, 0.00%), (DIS, 720, 0.33%, 0.00%), (C, 857, 0.32%, 0.00%), (SCHW, 822, 0.32%, 0.00%), (LMT, 176, 0.31%, 0.00%), (AMGN, 248, 0.29%, 0.00%), (AMAT, 430, 0.28%, 0.00%), (MMM, 455, 0.28%, 0.00%), (GILD, 575, 0.28%, 0.00%), (PFE, 2,616, 0.26%, 0.00%), (TJX, 475, 0.26%, 0.00%), (CVS, 925, 0.25%, 0.00%), (DHR, 297, 0.25%, 0.00%), (SBUX, 674, 0.25%, 0.00%), (MO, 924, 0.24%, 0.00%), (LOW, 239, 0.24%, 0.00%), (ELV, 171, 0.21%, 0.00%), (INTC, 2,252, 0.21%, 0.00%), (CMCSA, 1,517, 0.20%, 0.00%), (EMR, 376, 0.20%, 0.00%), (MDLZ, 729, 0.18%, 0.00%), (BMY, 936, 0.18%, 0.00%), (UPS, 467, 0.17%, 0.00%), (PYPL, 551, 0.15%, 0.00%), (CL, 406, 0.14%, 0.00%), (FDX, 144, 0.13%, 0.00%), (USB, 707, 0.13%, 0.00%), (TGT, 196, 0.08%, 0.00%), (SC28781H, nan, nan%, 0.00%), (SC28783H, nan, nan%, 0.00%), (SP28782H, nan, nan%, 0.00%), (SP28785B, nan, nan%, 0.00%), (SP28784H, nan, nan%, 0.00%), (XP28785B, nan, nan%, 0.00%)</t>
  </si>
  <si>
    <t>(AVGO, 1,620, 3.23%, 0.00%), (META, 576, 2.94%, 0.00%), (BRK/B, 670, 2.07%, 0.00%), (GOOGL, 1,543, 2.04%, 0.00%), (LIN, 575, 1.80%, 0.00%), (CSCO, 4,066, 1.76%, 0.00%), (GOOG, 1,257, 1.67%, 0.00%), (TSLA, 770, 1.66%, 0.00%), (JPM, 848, 1.60%, 0.00%), (AMT, 1,167, 1.57%, 0.00%), (V, 631, 1.41%, 0.00%), (CB, 644, 1.14%, 0.00%), (MA, 299, 1.13%, 0.00%), (XOM, 1,553, 1.08%, 0.00%), (WM, 721, 1.07%, 0.00%), (GE, 601, 1.05%, 0.00%), (ORCL, 604, 0.98%, 0.00%), (NFLX, 113, 0.91%, 0.00%), (NEE, 1,853, 0.90%, 0.00%), (PLTR, 771, 0.89%, 0.00%), (UNH, 450, 0.86%, 0.00%), (JNJ, 739, 0.85%, 0.00%), (WMT, 1,230, 0.80%, 0.00%), (COST, 126, 0.80%, 0.00%), (CVX, 781, 0.79%, 0.00%), (PG, 777, 0.78%, 0.00%), (RTX, 739, 0.74%, 0.00%), (MCD, 367, 0.74%, 0.00%), (ABT, 847, 0.73%, 0.00%), (ABBV, 542, 0.72%, 0.00%), (HD, 278, 0.72%, 0.00%), (CAT, 268, 0.71%, 0.00%), (LLY, 142, 0.65%, 0.00%), (AMD, 563, 0.65%, 0.00%), (KO, 1,405, 0.64%, 0.00%), (BA, 415, 0.63%, 0.00%), (BAC, 2,011, 0.61%, 0.00%), (PM, 564, 0.61%, 0.00%), (SO, 987, 0.61%, 0.00%), (BKNG, 17, 0.60%, 0.00%), (NKE, 1,200, 0.60%, 0.00%), (CRM, 359, 0.57%, 0.00%), (DUK, 696, 0.56%, 0.00%), (GS, 115, 0.55%, 0.00%), (ISRG, 174, 0.54%, 0.00%), (IBM, 348, 0.54%, 0.00%), (UBER, 893, 0.54%, 0.00%), (HON, 361, 0.51%, 0.00%), (WFC, 1,003, 0.50%, 0.00%), (MET, 999, 0.50%, 0.00%), (ETN, 219, 0.50%, 0.00%), (INTU, 105, 0.49%, 0.00%), (PEP, 497, 0.48%, 0.00%), (DE, 141, 0.45%, 0.00%), (T, 2,393, 0.45%, 0.00%), (NOW, 77, 0.44%, 0.00%), (MS, 453, 0.43%, 0.00%), (MRK, 776, 0.42%, 0.00%), (SPGI, 116, 0.42%, 0.00%), (VZ, 1,404, 0.40%, 0.00%), (AXP, 203, 0.40%, 0.00%), (TXN, 316, 0.40%, 0.00%), (BLK, 53, 0.39%, 0.00%), (QCOM, 385, 0.39%, 0.00%), (ADBE, 165, 0.38%, 0.00%), (MDT, 627, 0.38%, 0.00%), (COP, 604, 0.37%, 0.00%), (ACN, 235, 0.37%, 0.00%), (TMO, 117, 0.37%, 0.00%), (UNP, 257, 0.37%, 0.00%), (DIS, 478, 0.36%, 0.00%), (C, 570, 0.35%, 0.00%), (SBUX, 581, 0.34%, 0.00%), (SCHW, 546, 0.34%, 0.00%), (LMT, 117, 0.33%, 0.00%), (AMGN, 165, 0.32%, 0.00%), (AMAT, 286, 0.30%, 0.00%), (MMM, 302, 0.30%, 0.00%), (GILD, 382, 0.29%, 0.00%), (PFE, 1,739, 0.28%, 0.00%), (TJX, 316, 0.27%, 0.00%), (DHR, 197, 0.27%, 0.00%), (CVS, 615, 0.27%, 0.00%), (LOW, 159, 0.26%, 0.00%), (MO, 614, 0.26%, 0.00%), (ELV, 113, 0.23%, 0.00%), (INTC, 1,496, 0.23%, 0.00%), (CMCSA, 1,008, 0.22%, 0.00%), (MDLZ, 485, 0.20%, 0.00%), (BMY, 622, 0.19%, 0.00%), (EMR, 216, 0.19%, 0.00%), (UPS, 310, 0.18%, 0.00%), (PYPL, 366, 0.16%, 0.00%), (CL, 270, 0.15%, 0.00%), (FDX, 95, 0.14%, 0.00%), (USB, 470, 0.14%, 0.00%), (TGT, 130, 0.09%, 0.00%), (SC8071B, nan, nan%, 0.00%), (SC8073B, nan, nan%, 0.00%), (SP8072B, nan, nan%, 0.00%), (SP8075B, nan, nan%, 0.00%), (SP8074B, nan, nan%, 0.00%), (XP8075B, nan, nan%, 0.00%)</t>
  </si>
  <si>
    <t>(AVGO, 16,863, 3.09%, 0.00%), (META, 5,990, 2.80%, 0.00%), (BRK/B, 6,969, 1.97%, 0.00%), (GOOGL, 16,055, 1.95%, 0.00%), (LIN, 5,987, 1.71%, 0.00%), (CSCO, 42,316, 1.68%, 0.00%), (GOOG, 13,078, 1.59%, 0.00%), (TSLA, 8,016, 1.58%, 0.00%), (JPM, 8,825, 1.53%, 0.00%), (AMT, 12,146, 1.50%, 0.00%), (XOM, 21,361, 1.36%, 0.00%), (V, 6,570, 1.34%, 0.00%), (CB, 6,703, 1.09%, 0.00%), (MA, 3,117, 1.08%, 0.00%), (WM, 7,508, 1.02%, 0.00%), (GE, 6,250, 1.00%, 0.00%), (ORCL, 6,287, 0.93%, 0.00%), (NFLX, 1,175, 0.87%, 0.00%), (NEE, 19,288, 0.86%, 0.00%), (PLTR, 8,019, 0.85%, 0.00%), (JNJ, 7,687, 0.81%, 0.00%), (UNH, 4,679, 0.81%, 0.00%), (WMT, 12,795, 0.77%, 0.00%), (LLY, 1,816, 0.76%, 0.00%), (COST, 1,306, 0.76%, 0.00%), (CVX, 8,123, 0.76%, 0.00%), (PG, 8,088, 0.74%, 0.00%), (RTX, 7,686, 0.71%, 0.00%), (MCD, 3,822, 0.70%, 0.00%), (ABT, 8,818, 0.69%, 0.00%), (ABBV, 5,642, 0.69%, 0.00%), (HD, 2,892, 0.69%, 0.00%), (CAT, 2,788, 0.68%, 0.00%), (AMD, 5,859, 0.62%, 0.00%), (KO, 14,624, 0.61%, 0.00%), (BA, 4,317, 0.60%, 0.00%), (BAC, 20,924, 0.58%, 0.00%), (PM, 5,865, 0.58%, 0.00%), (SO, 10,277, 0.58%, 0.00%), (BKNG, 177, 0.57%, 0.00%), (NKE, 12,583, 0.57%, 0.00%), (CRM, 3,740, 0.54%, 0.00%), (DUK, 7,245, 0.53%, 0.00%), (GS, 1,194, 0.52%, 0.00%), (IBM, 3,617, 0.52%, 0.00%), (ISRG, 1,811, 0.52%, 0.00%), (UBER, 9,298, 0.51%, 0.00%), (HON, 3,755, 0.49%, 0.00%), (WFC, 10,436, 0.48%, 0.00%), (MET, 10,400, 0.48%, 0.00%), (ETN, 2,282, 0.48%, 0.00%), (INTU, 1,097, 0.47%, 0.00%), (PEP, 5,175, 0.46%, 0.00%), (DE, 1,469, 0.43%, 0.00%), (T, 24,902, 0.43%, 0.00%), (NOW, 806, 0.42%, 0.00%), (MS, 4,716, 0.41%, 0.00%), (MRK, 8,076, 0.40%, 0.00%), (SPGI, 1,207, 0.40%, 0.00%), (AXP, 2,116, 0.38%, 0.00%), (VZ, 14,610, 0.38%, 0.00%), (TXN, 3,294, 0.38%, 0.00%), (BLK, 554, 0.37%, 0.00%), (QCOM, 4,011, 0.37%, 0.00%), (MDT, 6,520, 0.36%, 0.00%), (ADBE, 1,722, 0.36%, 0.00%), (ACN, 2,444, 0.36%, 0.00%), (COP, 6,287, 0.36%, 0.00%), (UNP, 2,677, 0.35%, 0.00%), (TMO, 1,221, 0.35%, 0.00%), (DIS, 4,976, 0.34%, 0.00%), (C, 5,928, 0.33%, 0.00%), (SCHW, 5,684, 0.33%, 0.00%), (LMT, 1,218, 0.32%, 0.00%), (AMGN, 1,716, 0.30%, 0.00%), (AMAT, 2,976, 0.29%, 0.00%), (MMM, 3,145, 0.29%, 0.00%), (GILD, 3,979, 0.28%, 0.00%), (PFE, 18,093, 0.27%, 0.00%), (TJX, 3,283, 0.26%, 0.00%), (CVS, 6,398, 0.26%, 0.00%), (DHR, 2,052, 0.25%, 0.00%), (MO, 6,393, 0.25%, 0.00%), (LOW, 1,652, 0.25%, 0.00%), (SBUX, 4,345, 0.24%, 0.00%), (INTC, 15,572, 0.22%, 0.00%), (ELV, 1,179, 0.21%, 0.00%), (CMCSA, 10,489, 0.21%, 0.00%), (EMR, 2,393, 0.19%, 0.00%), (MDLZ, 5,044, 0.19%, 0.00%), (BMY, 6,475, 0.18%, 0.00%), (UPS, 3,230, 0.17%, 0.00%), (PYPL, 3,812, 0.16%, 0.00%), (CL, 2,806, 0.14%, 0.00%), (FDX, 993, 0.13%, 0.00%), (USB, 4,890, 0.13%, 0.00%), (TGT, 1,358, 0.08%, 0.00%), (SC26771B, nan, nan%, 0.00%), (SC26773B, nan, nan%, 0.00%), (SP26772B, nan, nan%, 0.00%), (SP26774B, nan, nan%, 0.00%), (SP26775T, nan, nan%, 0.00%), (XP26775T, nan, nan%, 0.00%)</t>
  </si>
  <si>
    <t>(AVGO, 14,633, 3.30%, 0.00%), (META, 5,198, 2.99%, 0.00%), (BRK/B, 6,047, 2.11%, 0.00%), (GOOGL, 13,932, 2.08%, 0.00%), (LIN, 5,195, 1.83%, 0.00%), (CSCO, 36,719, 1.79%, 0.00%), (GOOG, 11,348, 1.70%, 0.00%), (TSLA, 6,956, 1.69%, 0.00%), (JPM, 7,658, 1.63%, 0.00%), (AMT, 10,540, 1.60%, 0.00%), (V, 5,701, 1.44%, 0.00%), (XOM, 16,036, 1.26%, 0.00%), (CB, 5,817, 1.17%, 0.00%), (MA, 2,704, 1.15%, 0.00%), (WM, 6,515, 1.09%, 0.00%), (GE, 5,423, 1.07%, 0.00%), (ORCL, 5,456, 1.00%, 0.00%), (NFLX, 1,019, 0.92%, 0.00%), (NEE, 16,737, 0.92%, 0.00%), (PLTR, 6,958, 0.91%, 0.00%), (JNJ, 6,670, 0.87%, 0.00%), (UNH, 4,060, 0.86%, 0.00%), (WMT, 11,103, 0.82%, 0.00%), (LLY, 1,583, 0.82%, 0.00%), (COST, 1,133, 0.81%, 0.00%), (CVX, 7,049, 0.81%, 0.00%), (PG, 7,018, 0.79%, 0.00%), (RTX, 6,670, 0.76%, 0.00%), (MCD, 3,316, 0.75%, 0.00%), (ABT, 7,652, 0.74%, 0.00%), (ABBV, 4,896, 0.74%, 0.00%), (HD, 2,509, 0.73%, 0.00%), (CAT, 2,419, 0.73%, 0.00%), (AMD, 5,084, 0.66%, 0.00%), (KO, 12,690, 0.65%, 0.00%), (BA, 3,746, 0.65%, 0.00%), (BAC, 18,157, 0.62%, 0.00%), (PM, 5,089, 0.62%, 0.00%), (SO, 8,918, 0.62%, 0.00%), (BKNG, 153, 0.61%, 0.00%), (NKE, 10,841, 0.61%, 0.00%), (CRM, 3,245, 0.58%, 0.00%), (DUK, 6,287, 0.57%, 0.00%), (GS, 1,036, 0.56%, 0.00%), (IBM, 3,139, 0.55%, 0.00%), (ISRG, 1,571, 0.55%, 0.00%), (UBER, 8,069, 0.55%, 0.00%), (HON, 3,258, 0.52%, 0.00%), (WFC, 9,056, 0.51%, 0.00%), (MET, 9,025, 0.51%, 0.00%), (ETN, 1,980, 0.51%, 0.00%), (INTU, 951, 0.50%, 0.00%), (PEP, 4,491, 0.49%, 0.00%), (DE, 1,275, 0.46%, 0.00%), (T, 21,609, 0.46%, 0.00%), (NOW, 699, 0.45%, 0.00%), (MS, 4,093, 0.43%, 0.00%), (MRK, 7,008, 0.43%, 0.00%), (SPGI, 1,048, 0.43%, 0.00%), (AXP, 1,836, 0.41%, 0.00%), (VZ, 12,678, 0.41%, 0.00%), (TXN, 2,858, 0.41%, 0.00%), (BLK, 480, 0.40%, 0.00%), (QCOM, 3,481, 0.40%, 0.00%), (MDT, 5,658, 0.39%, 0.00%), (ADBE, 1,494, 0.39%, 0.00%), (ACN, 2,121, 0.38%, 0.00%), (COP, 5,455, 0.38%, 0.00%), (UNP, 2,323, 0.38%, 0.00%), (TMO, 1,060, 0.38%, 0.00%), (DIS, 4,318, 0.36%, 0.00%), (C, 5,144, 0.35%, 0.00%), (SCHW, 4,932, 0.35%, 0.00%), (LMT, 1,057, 0.34%, 0.00%), (AMGN, 1,489, 0.32%, 0.00%), (AMAT, 2,583, 0.31%, 0.00%), (MMM, 2,729, 0.31%, 0.00%), (GILD, 3,453, 0.30%, 0.00%), (PFE, 15,700, 0.29%, 0.00%), (TJX, 2,849, 0.28%, 0.00%), (CVS, 5,552, 0.28%, 0.00%), (DHR, 1,781, 0.27%, 0.00%), (MO, 5,547, 0.27%, 0.00%), (LOW, 1,433, 0.26%, 0.00%), (SBUX, 3,745, 0.25%, 0.00%), (INTC, 13,513, 0.23%, 0.00%), (ELV, 1,023, 0.23%, 0.00%), (CMCSA, 9,102, 0.22%, 0.00%), (MDLZ, 4,377, 0.20%, 0.00%), (EMR, 2,057, 0.20%, 0.00%), (BMY, 5,619, 0.20%, 0.00%), (UPS, 2,802, 0.18%, 0.00%), (PYPL, 3,308, 0.17%, 0.00%), (CL, 2,435, 0.15%, 0.00%), (FDX, 861, 0.14%, 0.00%), (USB, 4,243, 0.14%, 0.00%), (TGT, 1,178, 0.09%, 0.00%), (SC23471B, nan, nan%, 0.00%), (SC23473B, nan, nan%, 0.00%), (SP23472B, nan, nan%, 0.00%), (SP23475B, nan, nan%, 0.00%), (SP23474B, nan, nan%, 0.00%), (XP23475B, nan, nan%, 0.00%)</t>
  </si>
  <si>
    <t>(AVGO, 10,894, 3.29%, 0.00%), (META, 3,870, 2.98%, 0.00%), (BRK/B, 4,502, 2.10%, 0.00%), (GOOGL, 10,372, 2.08%, 0.00%), (LIN, 3,868, 1.82%, 0.00%), (CSCO, 27,338, 1.78%, 0.00%), (GOOG, 8,449, 1.70%, 0.00%), (TSLA, 5,178, 1.69%, 0.00%), (JPM, 5,701, 1.63%, 0.00%), (AMT, 7,847, 1.59%, 0.00%), (V, 4,245, 1.43%, 0.00%), (XOM, 11,300, 1.19%, 0.00%), (CB, 4,330, 1.16%, 0.00%), (MA, 2,013, 1.15%, 0.00%), (WM, 4,851, 1.08%, 0.00%), (GE, 4,038, 1.07%, 0.00%), (ORCL, 4,062, 0.99%, 0.00%), (NFLX, 759, 0.92%, 0.00%), (NEE, 12,461, 0.91%, 0.00%), (PLTR, 5,181, 0.90%, 0.00%), (JNJ, 4,966, 0.86%, 0.00%), (UNH, 3,023, 0.86%, 0.00%), (WMT, 8,266, 0.81%, 0.00%), (COST, 844, 0.81%, 0.00%), (CVX, 5,248, 0.81%, 0.00%), (PG, 5,225, 0.79%, 0.00%), (LLY, 1,125, 0.78%, 0.00%), (RTX, 4,966, 0.75%, 0.00%), (MCD, 2,469, 0.75%, 0.00%), (ABT, 5,697, 0.74%, 0.00%), (ABBV, 3,645, 0.73%, 0.00%), (HD, 1,868, 0.73%, 0.00%), (CAT, 1,801, 0.72%, 0.00%), (AMD, 3,785, 0.66%, 0.00%), (KO, 9,448, 0.65%, 0.00%), (BA, 2,789, 0.64%, 0.00%), (BAC, 13,518, 0.62%, 0.00%), (PM, 3,789, 0.62%, 0.00%), (SO, 6,639, 0.62%, 0.00%), (BKNG, 114, 0.61%, 0.00%), (NKE, 8,071, 0.60%, 0.00%), (CRM, 2,416, 0.58%, 0.00%), (DUK, 4,681, 0.56%, 0.00%), (GS, 771, 0.55%, 0.00%), (IBM, 2,337, 0.55%, 0.00%), (ISRG, 1,170, 0.55%, 0.00%), (UBER, 6,007, 0.54%, 0.00%), (HON, 2,426, 0.52%, 0.00%), (WFC, 6,742, 0.51%, 0.00%), (MET, 6,719, 0.51%, 0.00%), (ETN, 1,474, 0.51%, 0.00%), (INTU, 708, 0.50%, 0.00%), (PEP, 3,343, 0.49%, 0.00%), (DE, 949, 0.46%, 0.00%), (T, 16,088, 0.45%, 0.00%), (NOW, 521, 0.45%, 0.00%), (MS, 3,047, 0.43%, 0.00%), (MRK, 5,218, 0.43%, 0.00%), (SPGI, 780, 0.43%, 0.00%), (AXP, 1,367, 0.41%, 0.00%), (VZ, 9,438, 0.41%, 0.00%), (TXN, 2,128, 0.40%, 0.00%), (BLK, 358, 0.40%, 0.00%), (QCOM, 2,591, 0.40%, 0.00%), (MDT, 4,212, 0.39%, 0.00%), (ADBE, 1,113, 0.38%, 0.00%), (ACN, 1,579, 0.38%, 0.00%), (COP, 4,062, 0.38%, 0.00%), (UNP, 1,730, 0.38%, 0.00%), (TMO, 789, 0.38%, 0.00%), (DIS, 3,215, 0.36%, 0.00%), (C, 3,830, 0.35%, 0.00%), (SCHW, 3,672, 0.35%, 0.00%), (LMT, 787, 0.34%, 0.00%), (AMGN, 1,109, 0.32%, 0.00%), (AMAT, 1,923, 0.31%, 0.00%), (MMM, 2,032, 0.30%, 0.00%), (GILD, 2,570, 0.30%, 0.00%), (PFE, 11,689, 0.29%, 0.00%), (TJX, 2,121, 0.28%, 0.00%), (CVS, 4,133, 0.28%, 0.00%), (DHR, 1,326, 0.27%, 0.00%), (MO, 4,130, 0.27%, 0.00%), (LOW, 1,067, 0.26%, 0.00%), (SBUX, 2,805, 0.25%, 0.00%), (INTC, 10,060, 0.23%, 0.00%), (ELV, 762, 0.23%, 0.00%), (CMCSA, 6,776, 0.22%, 0.00%), (MDLZ, 3,259, 0.20%, 0.00%), (EMR, 1,527, 0.20%, 0.00%), (BMY, 4,183, 0.20%, 0.00%), (UPS, 2,086, 0.18%, 0.00%), (PYPL, 2,463, 0.17%, 0.00%), (CL, 1,813, 0.15%, 0.00%), (FDX, 641, 0.14%, 0.00%), (USB, 3,159, 0.14%, 0.00%), (TGT, 877, 0.09%, 0.00%), (SC22171B, nan, nan%, 0.00%), (SC22173B, nan, nan%, 0.00%), (SP22172B, nan, nan%, 0.00%), (SP22175B, nan, nan%, 0.00%), (SP22174B, nan, nan%, 0.00%), (XP22175B, nan, nan%, 0.00%)</t>
  </si>
  <si>
    <t>(AVGO, 4,114, 3.13%, 0.00%), (META, 1,461, 2.84%, 0.00%), (BRK/B, 1,700, 2.00%, 0.00%), (GOOGL, 3,917, 1.98%, 0.00%), (LIN, 1,461, 1.74%, 0.00%), (CSCO, 10,323, 1.70%, 0.00%), (GOOG, 3,190, 1.62%, 0.00%), (TSLA, 1,956, 1.61%, 0.00%), (JPM, 2,153, 1.55%, 0.00%), (AMT, 2,963, 1.52%, 0.00%), (V, 1,603, 1.36%, 0.00%), (CB, 1,635, 1.11%, 0.00%), (MA, 760, 1.09%, 0.00%), (XOM, 4,011, 1.06%, 0.00%), (WM, 1,832, 1.03%, 0.00%), (GE, 1,525, 1.01%, 0.00%), (ORCL, 1,534, 0.95%, 0.00%), (LLY, 514, 0.90%, 0.00%), (NFLX, 287, 0.88%, 0.00%), (NEE, 4,705, 0.87%, 0.00%), (PLTR, 1,956, 0.86%, 0.00%), (JNJ, 1,875, 0.82%, 0.00%), (UNH, 1,141, 0.82%, 0.00%), (WMT, 3,122, 0.78%, 0.00%), (COST, 319, 0.77%, 0.00%), (CVX, 1,982, 0.77%, 0.00%), (PG, 1,973, 0.75%, 0.00%), (RTX, 1,875, 0.72%, 0.00%), (MCD, 932, 0.71%, 0.00%), (ABT, 2,151, 0.70%, 0.00%), (ABBV, 1,376, 0.70%, 0.00%), (HD, 705, 0.69%, 0.00%), (CAT, 680, 0.69%, 0.00%), (AMD, 1,429, 0.63%, 0.00%), (KO, 3,568, 0.62%, 0.00%), (BA, 1,053, 0.61%, 0.00%), (BAC, 5,105, 0.59%, 0.00%), (PM, 1,431, 0.59%, 0.00%), (SO, 2,507, 0.59%, 0.00%), (BKNG, 43, 0.58%, 0.00%), (NKE, 3,048, 0.58%, 0.00%), (CRM, 912, 0.55%, 0.00%), (DUK, 1,768, 0.54%, 0.00%), (GS, 291, 0.53%, 0.00%), (IBM, 882, 0.53%, 0.00%), (ISRG, 442, 0.52%, 0.00%), (UBER, 2,268, 0.52%, 0.00%), (WFC, 2,546, 0.49%, 0.00%), (MET, 2,537, 0.49%, 0.00%), (ETN, 557, 0.49%, 0.00%), (INTU, 268, 0.48%, 0.00%), (PEP, 1,263, 0.47%, 0.00%), (HON, 816, 0.44%, 0.00%), (DE, 358, 0.43%, 0.00%), (T, 6,075, 0.43%, 0.00%), (NOW, 197, 0.42%, 0.00%), (MS, 1,151, 0.41%, 0.00%), (MRK, 1,970, 0.41%, 0.00%), (SPGI, 294, 0.41%, 0.00%), (AXP, 516, 0.39%, 0.00%), (VZ, 3,564, 0.39%, 0.00%), (TXN, 803, 0.38%, 0.00%), (BLK, 135, 0.38%, 0.00%), (QCOM, 979, 0.38%, 0.00%), (MDT, 1,591, 0.37%, 0.00%), (ADBE, 420, 0.37%, 0.00%), (ACN, 596, 0.36%, 0.00%), (COP, 1,534, 0.36%, 0.00%), (UNP, 653, 0.36%, 0.00%), (TMO, 298, 0.36%, 0.00%), (DIS, 1,214, 0.35%, 0.00%), (C, 1,446, 0.34%, 0.00%), (SCHW, 1,387, 0.33%, 0.00%), (LMT, 297, 0.32%, 0.00%), (AMGN, 419, 0.31%, 0.00%), (AMAT, 726, 0.29%, 0.00%), (MMM, 767, 0.29%, 0.00%), (GILD, 971, 0.29%, 0.00%), (PFE, 4,414, 0.27%, 0.00%), (SBUX, 1,175, 0.26%, 0.00%), (TJX, 801, 0.26%, 0.00%), (CVS, 1,561, 0.26%, 0.00%), (DHR, 501, 0.26%, 0.00%), (MO, 1,560, 0.25%, 0.00%), (LOW, 403, 0.25%, 0.00%), (INTC, 3,799, 0.22%, 0.00%), (ELV, 288, 0.22%, 0.00%), (CMCSA, 2,559, 0.21%, 0.00%), (EMR, 603, 0.20%, 0.00%), (MDLZ, 1,230, 0.19%, 0.00%), (BMY, 1,580, 0.19%, 0.00%), (UPS, 788, 0.17%, 0.00%), (PYPL, 930, 0.16%, 0.00%), (CL, 684, 0.14%, 0.00%), (FDX, 242, 0.14%, 0.00%), (USB, 1,193, 0.14%, 0.00%), (TGT, 331, 0.08%, 0.00%), (SC28181B, nan, nan%, 0.00%), (SC28183B, nan, nan%, 0.00%), (SP28182B, nan, nan%, 0.00%), (SP28185B, nan, nan%, 0.00%), (SP28184B, nan, nan%, 0.00%), (XP28185B, nan, nan%, 0.00%)</t>
  </si>
  <si>
    <t>(AVGO, 4,472, 3.16%, 0.00%), (META, 1,589, 2.87%, 0.00%), (BRK/B, 1,848, 2.02%, 0.00%), (GOOGL, 4,258, 2.00%, 0.00%), (LIN, 1,588, 1.75%, 0.00%), (CSCO, 11,221, 1.71%, 0.00%), (GOOG, 3,468, 1.63%, 0.00%), (TSLA, 2,126, 1.62%, 0.00%), (JPM, 2,340, 1.56%, 0.00%), (AMT, 3,221, 1.53%, 0.00%), (XOM, 5,664, 1.39%, 0.00%), (V, 1,742, 1.38%, 0.00%), (CB, 1,778, 1.12%, 0.00%), (MA, 826, 1.11%, 0.00%), (WM, 1,991, 1.04%, 0.00%), (GE, 1,657, 1.02%, 0.00%), (ORCL, 1,667, 0.96%, 0.00%), (NFLX, 311, 0.88%, 0.00%), (NEE, 5,115, 0.88%, 0.00%), (PLTR, 2,126, 0.87%, 0.00%), (UNH, 1,241, 0.83%, 0.00%), (JNJ, 2,038, 0.83%, 0.00%), (WMT, 3,393, 0.78%, 0.00%), (COST, 346, 0.78%, 0.00%), (CVX, 2,154, 0.78%, 0.00%), (PG, 2,145, 0.76%, 0.00%), (LLY, 467, 0.76%, 0.00%), (RTX, 2,038, 0.72%, 0.00%), (MCD, 1,013, 0.72%, 0.00%), (ABT, 2,338, 0.71%, 0.00%), (ABBV, 1,496, 0.71%, 0.00%), (HD, 767, 0.70%, 0.00%), (CAT, 739, 0.70%, 0.00%), (AMD, 1,554, 0.63%, 0.00%), (KO, 3,878, 0.63%, 0.00%), (BA, 1,145, 0.62%, 0.00%), (BAC, 5,549, 0.60%, 0.00%), (PM, 1,555, 0.60%, 0.00%), (BKNG, 47, 0.59%, 0.00%), (SO, 2,725, 0.59%, 0.00%), (NKE, 3,313, 0.58%, 0.00%), (CRM, 992, 0.55%, 0.00%), (DUK, 1,921, 0.54%, 0.00%), (GS, 316, 0.53%, 0.00%), (IBM, 959, 0.53%, 0.00%), (ISRG, 480, 0.53%, 0.00%), (UBER, 2,466, 0.52%, 0.00%), (HON, 996, 0.50%, 0.00%), (WFC, 2,768, 0.49%, 0.00%), (MET, 2,758, 0.49%, 0.00%), (ETN, 605, 0.49%, 0.00%), (INTU, 291, 0.48%, 0.00%), (PEP, 1,372, 0.47%, 0.00%), (DE, 390, 0.44%, 0.00%), (T, 6,604, 0.44%, 0.00%), (NOW, 214, 0.43%, 0.00%), (MS, 1,251, 0.42%, 0.00%), (MRK, 2,142, 0.41%, 0.00%), (SPGI, 320, 0.41%, 0.00%), (AXP, 561, 0.39%, 0.00%), (VZ, 3,874, 0.39%, 0.00%), (TXN, 873, 0.39%, 0.00%), (BLK, 147, 0.39%, 0.00%), (QCOM, 1,064, 0.38%, 0.00%), (MDT, 1,729, 0.37%, 0.00%), (ADBE, 457, 0.37%, 0.00%), (ACN, 648, 0.37%, 0.00%), (COP, 1,667, 0.37%, 0.00%), (UNP, 710, 0.36%, 0.00%), (TMO, 324, 0.36%, 0.00%), (DIS, 1,320, 0.35%, 0.00%), (C, 1,572, 0.34%, 0.00%), (SCHW, 1,507, 0.33%, 0.00%), (LMT, 323, 0.32%, 0.00%), (AMGN, 455, 0.31%, 0.00%), (AMAT, 789, 0.29%, 0.00%), (MMM, 834, 0.29%, 0.00%), (GILD, 1,055, 0.29%, 0.00%), (PFE, 4,798, 0.28%, 0.00%), (TJX, 871, 0.27%, 0.00%), (CVS, 1,697, 0.27%, 0.00%), (DHR, 544, 0.26%, 0.00%), (MO, 1,695, 0.26%, 0.00%), (LOW, 438, 0.25%, 0.00%), (SBUX, 1,203, 0.25%, 0.00%), (INTC, 4,129, 0.22%, 0.00%), (ELV, 313, 0.22%, 0.00%), (CMCSA, 2,781, 0.21%, 0.00%), (EMR, 673, 0.20%, 0.00%), (MDLZ, 1,338, 0.19%, 0.00%), (BMY, 1,717, 0.19%, 0.00%), (UPS, 856, 0.17%, 0.00%), (PYPL, 1,011, 0.16%, 0.00%), (CL, 744, 0.15%, 0.00%), (FDX, 263, 0.14%, 0.00%), (USB, 1,297, 0.14%, 0.00%), (TGT, 360, 0.09%, 0.00%), (SC13481B, nan, nan%, 0.00%), (SC13483B, nan, nan%, 0.00%), (SP13482B, nan, nan%, 0.00%), (SP13485B, nan, nan%, 0.00%), (SP13484B, nan, nan%, 0.00%), (XP13485B, nan, nan%, 0.00%)</t>
  </si>
  <si>
    <t>(AVGO, 8,415, 3.28%, 0.00%), (META, 2,989, 2.97%, 0.00%), (BRK/B, 3,478, 2.10%, 0.00%), (GOOGL, 8,012, 2.07%, 0.00%), (LIN, 2,987, 1.82%, 0.00%), (CSCO, 21,115, 1.78%, 0.00%), (GOOG, 6,526, 1.69%, 0.00%), (TSLA, 4,000, 1.68%, 0.00%), (JPM, 4,403, 1.62%, 0.00%), (AMT, 6,061, 1.59%, 0.00%), (V, 3,279, 1.43%, 0.00%), (CB, 3,345, 1.16%, 0.00%), (MA, 1,555, 1.15%, 0.00%), (XOM, 8,159, 1.11%, 0.00%), (WM, 3,747, 1.08%, 0.00%), (GE, 3,119, 1.06%, 0.00%), (ORCL, 3,137, 0.99%, 0.00%), (NFLX, 586, 0.92%, 0.00%), (NEE, 9,624, 0.91%, 0.00%), (PLTR, 4,001, 0.90%, 0.00%), (UNH, 2,335, 0.87%, 0.00%), (JNJ, 3,836, 0.86%, 0.00%), (LLY, 955, 0.85%, 0.00%), (WMT, 6,385, 0.81%, 0.00%), (COST, 652, 0.81%, 0.00%), (CVX, 4,053, 0.81%, 0.00%), (PG, 4,036, 0.79%, 0.00%), (RTX, 3,835, 0.75%, 0.00%), (MCD, 1,907, 0.75%, 0.00%), (ABT, 4,400, 0.74%, 0.00%), (ABBV, 2,815, 0.73%, 0.00%), (HD, 1,443, 0.73%, 0.00%), (CAT, 1,391, 0.72%, 0.00%), (AMD, 2,924, 0.66%, 0.00%), (KO, 7,297, 0.65%, 0.00%), (BA, 2,154, 0.64%, 0.00%), (BAC, 10,441, 0.62%, 0.00%), (PM, 2,926, 0.62%, 0.00%), (SO, 5,128, 0.61%, 0.00%), (BKNG, 88, 0.61%, 0.00%), (NKE, 6,234, 0.60%, 0.00%), (CRM, 1,866, 0.57%, 0.00%), (DUK, 3,615, 0.56%, 0.00%), (GS, 596, 0.55%, 0.00%), (IBM, 1,805, 0.55%, 0.00%), (ISRG, 904, 0.55%, 0.00%), (UBER, 4,640, 0.54%, 0.00%), (HON, 1,874, 0.52%, 0.00%), (WFC, 5,208, 0.51%, 0.00%), (MET, 5,189, 0.51%, 0.00%), (ETN, 1,139, 0.51%, 0.00%), (INTU, 547, 0.50%, 0.00%), (PEP, 2,582, 0.49%, 0.00%), (DE, 733, 0.46%, 0.00%), (T, 12,426, 0.45%, 0.00%), (NOW, 402, 0.44%, 0.00%), (MS, 2,353, 0.43%, 0.00%), (MRK, 4,030, 0.43%, 0.00%), (SPGI, 602, 0.43%, 0.00%), (AXP, 1,056, 0.41%, 0.00%), (VZ, 7,290, 0.41%, 0.00%), (TXN, 1,643, 0.40%, 0.00%), (QCOM, 2,002, 0.40%, 0.00%), (BLK, 276, 0.40%, 0.00%), (MDT, 3,253, 0.38%, 0.00%), (ADBE, 859, 0.38%, 0.00%), (ACN, 1,220, 0.38%, 0.00%), (COP, 3,137, 0.38%, 0.00%), (TMO, 609, 0.38%, 0.00%), (UNP, 1,336, 0.38%, 0.00%), (DIS, 2,483, 0.36%, 0.00%), (C, 2,958, 0.35%, 0.00%), (SCHW, 2,836, 0.35%, 0.00%), (LMT, 608, 0.34%, 0.00%), (AMGN, 856, 0.32%, 0.00%), (AMAT, 1,485, 0.31%, 0.00%), (MMM, 1,569, 0.30%, 0.00%), (GILD, 1,985, 0.30%, 0.00%), (PFE, 9,028, 0.29%, 0.00%), (TJX, 1,638, 0.28%, 0.00%), (CVS, 3,192, 0.28%, 0.00%), (DHR, 1,024, 0.27%, 0.00%), (SBUX, 2,316, 0.27%, 0.00%), (MO, 3,190, 0.27%, 0.00%), (LOW, 824, 0.26%, 0.00%), (INTC, 7,770, 0.23%, 0.00%), (ELV, 588, 0.23%, 0.00%), (CMCSA, 5,234, 0.22%, 0.00%), (EMR, 1,243, 0.21%, 0.00%), (MDLZ, 2,517, 0.20%, 0.00%), (BMY, 3,231, 0.20%, 0.00%), (UPS, 1,612, 0.18%, 0.00%), (PYPL, 1,902, 0.17%, 0.00%), (CL, 1,400, 0.15%, 0.00%), (FDX, 495, 0.14%, 0.00%), (USB, 2,440, 0.14%, 0.00%), (TGT, 678, 0.09%, 0.00%), (SC26771B, nan, nan%, 0.00%), (SC26773B, nan, nan%, 0.00%), (SP26772B, nan, nan%, 0.00%), (SP26775B, nan, nan%, 0.00%), (SP26774B, nan, nan%, 0.00%), (XP26775B, nan, nan%, 0.00%)</t>
  </si>
  <si>
    <t>EBAY, META, BK, MSFT, GOOGL, MLI, BLK, JPM, EA, BKNG, RJF</t>
  </si>
  <si>
    <t>(PHM, 8,176, 1.93%, 0.00%), (EWBC, 9,960, 1.87%, 0.01%), (HIG, 7,715, 1.84%, 0.00%), (AXP, 3,250, 1.84%, 0.00%), (V, 2,881, 1.82%, 0.00%), (NVDA, 5,383, 1.80%, 0.00%), (TRV, 3,666, 1.79%, 0.00%), (ROST, 6,419, 1.73%, 0.00%), (ADP, 3,078, 1.72%, 0.00%), (SNA, 2,873, 1.71%, 0.01%), (AMAT, 5,520, 1.66%, 0.00%), (KLAC, 1,019, 1.66%, 0.00%), (PCAR, 9,112, 1.65%, 0.00%), (LEN, 6,802, 1.65%, 0.00%), (UNM, 12,962, 1.64%, 0.01%), (CB, 3,251, 1.63%, 0.00%), (SYF, 12,032, 1.59%, 0.00%), (WSM, 4,074, 1.51%, 0.00%), (CTSH, 11,645, 1.50%, 0.00%), (CRM, 3,301, 1.48%, 0.00%), (PAYC, 3,525, 1.46%, 0.01%), (DHI, 4,520, 1.38%, 0.00%), (QCOM, 4,648, 1.36%, 0.00%), (BKR, 17,137, 1.35%, 0.00%), (AAPL, 3,001, 1.28%, 0.00%), (ACN, 2,746, 1.26%, 0.00%), (ELV, 2,207, 1.26%, 0.00%), (AFL, 6,365, 1.24%, 0.00%), (MPWR, 735, 1.15%, 0.00%), (ODFL, 3,948, 1.09%, 0.00%), (LRCX, 5,936, 1.08%, 0.00%), (CSCO, 8,621, 1.06%, 0.00%), (GE, 2,080, 1.03%, 0.00%), (STT, 4,778, 0.98%, 0.00%), (PNC, 2,559, 0.91%, 0.00%), (MTB, 2,543, 0.89%, 0.00%), (AMP, 931, 0.87%, 0.00%), (COST, 478, 0.86%, 0.00%), (CF, 5,461, 0.85%, 0.00%), (ABT, 3,440, 0.83%, 0.00%), (XOM, 4,000, 0.79%, 0.00%), (EOG, 3,599, 0.78%, 0.00%), (CSL, 1,071, 0.75%, 0.00%), (EG, 1,210, 0.74%, 0.00%), (GEV, 487, 0.56%, 0.00%), (NTRS, 2,218, 0.52%, 0.00%), (MA, 463, 0.50%, 0.00%), (JNJ, 1,485, 0.48%, 0.00%), (CRBG, 7,620, 0.48%, 0.00%), (ACM, 2,098, 0.46%, 0.00%), (LNC, 6,066, 0.45%, 0.00%), (MTG, 8,715, 0.44%, 0.00%), (JXN, 2,504, 0.43%, 0.00%), (CINF, 1,543, 0.43%, 0.00%), (WTFC, 1,787, 0.42%, 0.00%), (DOV, 1,297, 0.42%, 0.00%), (EQH, 4,300, 0.42%, 0.00%), (ALL, 1,098, 0.42%, 0.00%), (ADM, 3,693, 0.41%, 0.00%), (SLM, 7,121, 0.40%, 0.00%), (MCK, 320, 0.40%, 0.00%), (NUE, 1,483, 0.40%, 0.00%), (NKE, 2,703, 0.39%, 0.00%), (PGR, 809, 0.37%, 0.00%), (FANG, 1,154, 0.30%, 0.00%), (SC13N61B, nan, nan%, 0.00%), (SC13N63B, nan, nan%, 0.00%), (SP13N62B, nan, nan%, 0.00%), (SP13N65B, nan, nan%, 0.00%), (SP13N64B, nan, nan%, 0.00%), (SPX Index, nan, nan%, 0.00%), (XP13N65B, nan, nan%, 0.00%)</t>
  </si>
  <si>
    <t>MSFT, NVDA, AAPL</t>
  </si>
  <si>
    <t>(AMZN, 6,258, 4.16%, 0.00%), (AVGO, 3,873, 3.40%, 0.00%), (META, 1,376, 3.04%, 0.00%), (BRK/B, 1,601, 2.21%, 0.00%), (GOOGL, 3,688, 2.16%, 0.00%), (LIN, 1,375, 1.90%, 0.00%), (CSCO, 9,720, 1.87%, 0.00%), (GOOG, 3,004, 1.76%, 0.00%), (JPM, 2,027, 1.70%, 0.00%), (AMT, 2,790, 1.64%, 0.00%), (XOM, 4,907, 1.51%, 0.00%), (V, 1,509, 1.49%, 0.00%), (TSLA, 1,341, 1.28%, 0.00%), (CB, 1,540, 1.21%, 0.00%), (MA, 716, 1.20%, 0.00%), (LLY, 578, 1.16%, 0.00%), (WM, 1,725, 1.12%, 0.00%), (GE, 1,436, 1.11%, 0.00%), (ORCL, 1,444, 1.03%, 0.00%), (NEE, 4,430, 0.96%, 0.00%), (NFLX, 270, 0.96%, 0.00%), (UNH, 1,075, 0.95%, 0.00%), (PLTR, 1,842, 0.92%, 0.00%), (JNJ, 1,766, 0.90%, 0.00%), (KO, 4,259, 0.85%, 0.00%), (WMT, 2,939, 0.85%, 0.00%), (COST, 300, 0.84%, 0.00%), (CVX, 1,866, 0.84%, 0.00%), (PG, 1,858, 0.83%, 0.00%), (RTX, 1,766, 0.79%, 0.00%), (MCD, 878, 0.78%, 0.00%), (ABBV, 1,296, 0.77%, 0.00%), (ABT, 2,025, 0.76%, 0.00%), (CAT, 640, 0.76%, 0.00%), (HD, 664, 0.75%, 0.00%), (AMD, 1,346, 0.68%, 0.00%), (BA, 992, 0.66%, 0.00%), (BAC, 4,806, 0.66%, 0.00%), (BKNG, 41, 0.65%, 0.00%), (PM, 1,347, 0.65%, 0.00%), (NKE, 2,870, 0.64%, 0.00%), (SO, 2,361, 0.63%, 0.00%), (CRM, 859, 0.60%, 0.00%), (DUK, 1,664, 0.58%, 0.00%), (ISRG, 416, 0.58%, 0.00%), (UBER, 2,136, 0.58%, 0.00%), (GS, 274, 0.58%, 0.00%), (IBM, 831, 0.57%, 0.00%), (HON, 863, 0.54%, 0.00%), (MET, 2,389, 0.54%, 0.00%), (WFC, 2,397, 0.53%, 0.00%), (ETN, 524, 0.53%, 0.00%), (INTU, 252, 0.52%, 0.00%), (PEP, 1,189, 0.51%, 0.00%), (DE, 338, 0.48%, 0.00%), (T, 5,720, 0.48%, 0.00%), (NOW, 185, 0.47%, 0.00%), (MS, 1,083, 0.45%, 0.00%), (MRK, 1,855, 0.45%, 0.00%), (SPGI, 277, 0.44%, 0.00%), (AXP, 486, 0.43%, 0.00%), (VZ, 3,356, 0.43%, 0.00%), (TXN, 757, 0.42%, 0.00%), (QCOM, 921, 0.42%, 0.00%), (BLK, 127, 0.42%, 0.00%), (ADBE, 396, 0.41%, 0.00%), (ACN, 561, 0.40%, 0.00%), (TMO, 281, 0.39%, 0.00%), (COP, 1,444, 0.39%, 0.00%), (UNP, 615, 0.39%, 0.00%), (DIS, 1,143, 0.38%, 0.00%), (C, 1,362, 0.37%, 0.00%), (SBUX, 1,388, 0.37%, 0.00%), (SCHW, 1,306, 0.36%, 0.00%), (LMT, 280, 0.35%, 0.00%), (AMGN, 394, 0.33%, 0.00%), (AMAT, 684, 0.32%, 0.00%), (MMM, 722, 0.32%, 0.00%), (GILD, 914, 0.31%, 0.00%), (PFE, 4,156, 0.30%, 0.00%), (CVS, 1,470, 0.30%, 0.00%), (MDT, 1,098, 0.29%, 0.00%), (TJX, 754, 0.29%, 0.00%), (EMR, 756, 0.29%, 0.00%), (DHR, 471, 0.28%, 0.00%), (MO, 1,468, 0.28%, 0.00%), (LOW, 379, 0.27%, 0.00%), (INTC, 3,577, 0.24%, 0.00%), (ELV, 271, 0.24%, 0.00%), (CMCSA, 2,409, 0.23%, 0.00%), (FDX, 328, 0.21%, 0.00%), (MDLZ, 1,159, 0.21%, 0.00%), (BMY, 1,487, 0.21%, 0.00%), (UPS, 742, 0.19%, 0.00%), (PYPL, 876, 0.17%, 0.00%), (CL, 644, 0.16%, 0.00%), (USB, 1,123, 0.15%, 0.00%), (TGT, 312, 0.09%, 0.00%), (SC31761B, nan, nan%, 0.00%), (SC31763B, nan, nan%, 0.00%), (SP31762B, nan, nan%, 0.00%), (SP31765B, nan, nan%, 0.00%), (SP31764B, nan, nan%, 0.00%), (XP31765B, nan, nan%, 0.00%)</t>
  </si>
  <si>
    <t>(AMZN, 4,113, 4.04%, 0.00%), (AVGO, 2,546, 3.30%, 0.00%), (META, 904, 2.95%, 0.00%), (BRK/B, 1,052, 2.14%, 0.00%), (GOOGL, 2,424, 2.09%, 0.00%), (LIN, 904, 1.84%, 0.00%), (CSCO, 6,388, 1.81%, 0.00%), (GOOG, 1,974, 1.71%, 0.00%), (JPM, 1,332, 1.65%, 0.00%), (AMT, 1,833, 1.59%, 0.00%), (XOM, 3,224, 1.46%, 0.00%), (V, 992, 1.45%, 0.00%), (TSLA, 910, 1.28%, 0.00%), (CB, 1,012, 1.18%, 0.00%), (MA, 470, 1.17%, 0.00%), (LLY, 380, 1.13%, 0.00%), (WM, 1,133, 1.08%, 0.00%), (GE, 943, 1.07%, 0.00%), (ORCL, 949, 1.00%, 0.00%), (NEE, 2,912, 0.94%, 0.00%), (NFLX, 177, 0.93%, 0.00%), (UNH, 706, 0.92%, 0.00%), (PLTR, 1,210, 0.89%, 0.00%), (JNJ, 1,160, 0.87%, 0.00%), (KO, 2,808, 0.83%, 0.00%), (WMT, 1,932, 0.82%, 0.00%), (COST, 197, 0.82%, 0.00%), (CVX, 1,226, 0.81%, 0.00%), (PG, 1,221, 0.81%, 0.00%), (RTX, 1,160, 0.77%, 0.00%), (MCD, 577, 0.76%, 0.00%), (ABBV, 852, 0.75%, 0.00%), (CAT, 421, 0.74%, 0.00%), (ABT, 1,331, 0.74%, 0.00%), (HD, 437, 0.73%, 0.00%), (AMD, 884, 0.66%, 0.00%), (BA, 652, 0.64%, 0.00%), (BAC, 3,159, 0.64%, 0.00%), (BKNG, 27, 0.64%, 0.00%), (PM, 885, 0.63%, 0.00%), (NKE, 1,886, 0.62%, 0.00%), (SO, 1,551, 0.61%, 0.00%), (CRM, 565, 0.58%, 0.00%), (DUK, 1,094, 0.57%, 0.00%), (UBER, 1,404, 0.56%, 0.00%), (GS, 180, 0.56%, 0.00%), (ISRG, 273, 0.56%, 0.00%), (IBM, 546, 0.56%, 0.00%), (HON, 567, 0.52%, 0.00%), (MET, 1,570, 0.52%, 0.00%), (WFC, 1,575, 0.52%, 0.00%), (ETN, 345, 0.52%, 0.00%), (INTU, 166, 0.51%, 0.00%), (PEP, 781, 0.50%, 0.00%), (NOW, 122, 0.46%, 0.00%), (T, 3,759, 0.46%, 0.00%), (DE, 222, 0.46%, 0.00%), (MS, 712, 0.44%, 0.00%), (MRK, 1,219, 0.44%, 0.00%), (SPGI, 182, 0.43%, 0.00%), (VZ, 2,205, 0.42%, 0.00%), (AXP, 319, 0.42%, 0.00%), (TXN, 497, 0.41%, 0.00%), (QCOM, 606, 0.41%, 0.00%), (BLK, 84, 0.41%, 0.00%), (ADBE, 260, 0.39%, 0.00%), (ACN, 369, 0.39%, 0.00%), (TMO, 184, 0.38%, 0.00%), (COP, 949, 0.38%, 0.00%), (UNP, 404, 0.38%, 0.00%), (DIS, 751, 0.37%, 0.00%), (C, 895, 0.36%, 0.00%), (SBUX, 912, 0.36%, 0.00%), (SCHW, 858, 0.35%, 0.00%), (LMT, 184, 0.34%, 0.00%), (AMGN, 259, 0.32%, 0.00%), (AMAT, 449, 0.31%, 0.00%), (MMM, 475, 0.31%, 0.00%), (MDT, 784, 0.31%, 0.00%), (GILD, 601, 0.30%, 0.00%), (PFE, 2,731, 0.29%, 0.00%), (CVS, 966, 0.29%, 0.00%), (TJX, 496, 0.28%, 0.00%), (EMR, 497, 0.28%, 0.00%), (DHR, 310, 0.27%, 0.00%), (MO, 965, 0.27%, 0.00%), (LOW, 249, 0.26%, 0.00%), (INTC, 2,351, 0.24%, 0.00%), (ELV, 178, 0.23%, 0.00%), (CMCSA, 1,583, 0.22%, 0.00%), (BMY, 977, 0.20%, 0.00%), (MDLZ, 761, 0.20%, 0.00%), (UPS, 488, 0.18%, 0.00%), (PYPL, 575, 0.17%, 0.00%), (CL, 424, 0.15%, 0.00%), (FDX, 150, 0.15%, 0.00%), (USB, 738, 0.14%, 0.00%), (TGT, 205, 0.09%, 0.00%), (SC9061B, nan, nan%, 0.00%), (SC9063B, nan, nan%, 0.00%), (SP9062B, nan, nan%, 0.00%), (SP9065B, nan, nan%, 0.00%), (SP9064B, nan, nan%, 0.00%), (XP9065B, nan, nan%, 0.00%)</t>
  </si>
  <si>
    <t>MSFT, NVDA, AAPL, AMZN</t>
  </si>
  <si>
    <t>(AVGO, 2,435, 3.00%, 0.00%), (META, 865, 2.69%, 0.00%), (BRK/B, 1,006, 1.95%, 0.00%), (GOOGL, 2,319, 1.91%, 0.00%), (LIN, 865, 1.68%, 0.00%), (CSCO, 6,111, 1.65%, 0.00%), (GOOG, 1,889, 1.56%, 0.00%), (JPM, 1,275, 1.50%, 0.00%), (AMT, 1,754, 1.44%, 0.00%), (XOM, 3,085, 1.33%, 0.00%), (V, 949, 1.32%, 0.00%), (TSLA, 858, 1.15%, 0.00%), (CB, 968, 1.07%, 0.00%), (MA, 450, 1.06%, 0.00%), (LLY, 363, 1.02%, 0.00%), (WM, 1,084, 0.98%, 0.00%), (GE, 903, 0.98%, 0.00%), (ORCL, 908, 0.91%, 0.00%), (NFLX, 170, 0.86%, 0.00%), (NEE, 2,786, 0.85%, 0.00%), (UNH, 676, 0.84%, 0.00%), (PLTR, 1,158, 0.81%, 0.00%), (JNJ, 1,110, 0.79%, 0.00%), (COST, 189, 0.75%, 0.00%), (WMT, 1,848, 0.75%, 0.00%), (CVX, 1,173, 0.74%, 0.00%), (PG, 1,168, 0.73%, 0.00%), (KO, 2,612, 0.73%, 0.00%), (RTX, 1,110, 0.70%, 0.00%), (MCD, 552, 0.69%, 0.00%), (ABBV, 815, 0.68%, 0.00%), (CAT, 403, 0.67%, 0.00%), (ABT, 1,274, 0.67%, 0.00%), (HD, 418, 0.67%, 0.00%), (AMD, 846, 0.60%, 0.00%), (BA, 623, 0.59%, 0.00%), (BAC, 3,022, 0.58%, 0.00%), (PM, 847, 0.57%, 0.00%), (NKE, 1,804, 0.56%, 0.00%), (BKNG, 25, 0.56%, 0.00%), (SO, 1,484, 0.56%, 0.00%), (CRM, 540, 0.53%, 0.00%), (DUK, 1,046, 0.51%, 0.00%), (GS, 172, 0.51%, 0.00%), (UBER, 1,343, 0.51%, 0.00%), (ISRG, 262, 0.51%, 0.00%), (IBM, 522, 0.51%, 0.00%), (HON, 542, 0.47%, 0.00%), (MET, 1,502, 0.47%, 0.00%), (WFC, 1,507, 0.47%, 0.00%), (ETN, 330, 0.47%, 0.00%), (INTU, 158, 0.46%, 0.00%), (PEP, 747, 0.45%, 0.00%), (T, 3,596, 0.42%, 0.00%), (DE, 212, 0.42%, 0.00%), (NOW, 116, 0.42%, 0.00%), (MS, 681, 0.40%, 0.00%), (MRK, 1,166, 0.40%, 0.00%), (SPGI, 174, 0.39%, 0.00%), (VZ, 2,110, 0.38%, 0.00%), (AXP, 306, 0.38%, 0.00%), (TXN, 476, 0.37%, 0.00%), (QCOM, 579, 0.37%, 0.00%), (BLK, 80, 0.37%, 0.00%), (ADBE, 249, 0.36%, 0.00%), (ACN, 353, 0.35%, 0.00%), (MDT, 942, 0.35%, 0.00%), (TMO, 176, 0.35%, 0.00%), (COP, 908, 0.35%, 0.00%), (UNP, 387, 0.34%, 0.00%), (DIS, 719, 0.34%, 0.00%), (C, 856, 0.33%, 0.00%), (SBUX, 873, 0.32%, 0.00%), (SCHW, 821, 0.32%, 0.00%), (LMT, 176, 0.31%, 0.00%), (AMGN, 248, 0.29%, 0.00%), (AMAT, 430, 0.28%, 0.00%), (MMM, 454, 0.28%, 0.00%), (GILD, 575, 0.27%, 0.00%), (PFE, 2,613, 0.26%, 0.00%), (CVS, 924, 0.26%, 0.00%), (TJX, 474, 0.25%, 0.00%), (EMR, 476, 0.25%, 0.00%), (DHR, 296, 0.25%, 0.00%), (MO, 923, 0.25%, 0.00%), (LOW, 239, 0.24%, 0.00%), (INTC, 2,249, 0.21%, 0.00%), (ELV, 170, 0.21%, 0.00%), (CMCSA, 1,515, 0.20%, 0.00%), (BMY, 935, 0.18%, 0.00%), (MDLZ, 728, 0.18%, 0.00%), (UPS, 466, 0.16%, 0.00%), (PYPL, 551, 0.15%, 0.00%), (CL, 405, 0.14%, 0.00%), (FDX, 143, 0.13%, 0.00%), (USB, 706, 0.13%, 0.00%), (TGT, 196, 0.08%, 0.00%), (SC28781H, nan, nan%, 0.00%), (SC28783H, nan, nan%, 0.00%), (SP28782H, nan, nan%, 0.00%), (SP28785B, nan, nan%, 0.00%), (SP28784H, nan, nan%, 0.00%), (XP28785B, nan, nan%, 0.00%)</t>
  </si>
  <si>
    <t>(AVGO, 1,615, 3.21%, 0.00%), (META, 574, 2.87%, 0.00%), (BRK/B, 667, 2.08%, 0.00%), (GOOGL, 1,537, 2.03%, 0.00%), (LIN, 573, 1.79%, 0.00%), (CSCO, 4,052, 1.76%, 0.00%), (GOOG, 1,252, 1.66%, 0.00%), (JPM, 845, 1.60%, 0.00%), (AMT, 1,163, 1.54%, 0.00%), (XOM, 2,045, 1.42%, 0.00%), (V, 629, 1.40%, 0.00%), (TSLA, 568, 1.23%, 0.00%), (CB, 642, 1.14%, 0.00%), (MA, 298, 1.13%, 0.00%), (LLY, 241, 1.09%, 0.00%), (WM, 719, 1.05%, 0.00%), (GE, 598, 1.04%, 0.00%), (ORCL, 602, 0.97%, 0.00%), (NFLX, 112, 0.91%, 0.00%), (NEE, 1,847, 0.91%, 0.00%), (UNH, 448, 0.90%, 0.00%), (PLTR, 768, 0.87%, 0.00%), (JNJ, 736, 0.85%, 0.00%), (WMT, 1,225, 0.80%, 0.00%), (COST, 125, 0.80%, 0.00%), (CVX, 778, 0.79%, 0.00%), (PG, 774, 0.78%, 0.00%), (KO, 1,700, 0.77%, 0.00%), (RTX, 736, 0.74%, 0.00%), (MCD, 366, 0.73%, 0.00%), (ABBV, 540, 0.73%, 0.00%), (ABT, 844, 0.72%, 0.00%), (CAT, 267, 0.71%, 0.00%), (HD, 277, 0.71%, 0.00%), (AMD, 561, 0.64%, 0.00%), (BA, 413, 0.62%, 0.00%), (BAC, 2,004, 0.62%, 0.00%), (BKNG, 17, 0.61%, 0.00%), (PM, 562, 0.61%, 0.00%), (NKE, 1,196, 0.60%, 0.00%), (SO, 984, 0.60%, 0.00%), (CRM, 358, 0.57%, 0.00%), (DUK, 694, 0.55%, 0.00%), (GS, 114, 0.54%, 0.00%), (ISRG, 173, 0.54%, 0.00%), (UBER, 890, 0.54%, 0.00%), (IBM, 346, 0.54%, 0.00%), (HON, 360, 0.51%, 0.00%), (MET, 996, 0.50%, 0.00%), (WFC, 999, 0.50%, 0.00%), (ETN, 219, 0.50%, 0.00%), (INTU, 105, 0.49%, 0.00%), (PEP, 496, 0.48%, 0.00%), (DE, 141, 0.45%, 0.00%), (T, 2,384, 0.45%, 0.00%), (NOW, 77, 0.45%, 0.00%), (MS, 452, 0.43%, 0.00%), (MRK, 773, 0.42%, 0.00%), (SPGI, 116, 0.42%, 0.00%), (VZ, 1,399, 0.40%, 0.00%), (AXP, 203, 0.40%, 0.00%), (TXN, 315, 0.40%, 0.00%), (QCOM, 384, 0.40%, 0.00%), (BLK, 53, 0.39%, 0.00%), (ADBE, 165, 0.38%, 0.00%), (ACN, 234, 0.38%, 0.00%), (TMO, 117, 0.37%, 0.00%), (COP, 602, 0.37%, 0.00%), (UNP, 256, 0.37%, 0.00%), (DIS, 476, 0.36%, 0.00%), (C, 568, 0.35%, 0.00%), (SBUX, 579, 0.35%, 0.00%), (SCHW, 544, 0.34%, 0.00%), (LMT, 117, 0.34%, 0.00%), (AMGN, 164, 0.31%, 0.00%), (AMAT, 285, 0.30%, 0.00%), (MMM, 301, 0.30%, 0.00%), (GILD, 381, 0.29%, 0.00%), (PFE, 1,732, 0.28%, 0.00%), (CVS, 613, 0.28%, 0.00%), (TJX, 314, 0.27%, 0.00%), (EMR, 315, 0.27%, 0.00%), (DHR, 197, 0.27%, 0.00%), (MO, 612, 0.26%, 0.00%), (LOW, 158, 0.26%, 0.00%), (MDT, 424, 0.25%, 0.00%), (INTC, 1,491, 0.23%, 0.00%), (ELV, 113, 0.23%, 0.00%), (CMCSA, 1,004, 0.22%, 0.00%), (MDLZ, 483, 0.19%, 0.00%), (BMY, 620, 0.19%, 0.00%), (UPS, 309, 0.17%, 0.00%), (PYPL, 365, 0.16%, 0.00%), (CL, 269, 0.15%, 0.00%), (FDX, 95, 0.14%, 0.00%), (USB, 468, 0.14%, 0.00%), (TGT, 130, 0.09%, 0.00%), (SC8071B, nan, nan%, 0.00%), (SC8073B, nan, nan%, 0.00%), (SP8072B, nan, nan%, 0.00%), (SP8075B, nan, nan%, 0.00%), (SP8074B, nan, nan%, 0.00%), (XP8075B, nan, nan%, 0.00%)</t>
  </si>
  <si>
    <t>(AVGO, 16,840, 3.06%, 0.00%), (META, 5,982, 2.74%, 0.00%), (BRK/B, 6,959, 1.99%, 0.00%), (GOOGL, 16,033, 1.94%, 0.00%), (LIN, 5,979, 1.71%, 0.00%), (CSCO, 42,258, 1.68%, 0.00%), (GOOG, 13,060, 1.59%, 0.00%), (JPM, 8,813, 1.53%, 0.00%), (AMT, 12,129, 1.47%, 0.00%), (XOM, 21,331, 1.36%, 0.00%), (V, 6,561, 1.34%, 0.00%), (TSLA, 5,705, 1.13%, 0.00%), (CB, 6,694, 1.09%, 0.00%), (MA, 3,112, 1.08%, 0.00%), (LLY, 2,512, 1.04%, 0.00%), (WM, 7,498, 1.01%, 0.00%), (GE, 6,241, 1.00%, 0.00%), (ORCL, 6,279, 0.93%, 0.00%), (NFLX, 1,173, 0.87%, 0.00%), (NEE, 19,261, 0.87%, 0.00%), (UNH, 4,672, 0.86%, 0.00%), (PLTR, 8,008, 0.83%, 0.00%), (JNJ, 7,676, 0.81%, 0.00%), (KO, 18,804, 0.78%, 0.00%), (WMT, 12,778, 0.76%, 0.00%), (COST, 1,304, 0.76%, 0.00%), (CVX, 8,112, 0.75%, 0.00%), (PG, 8,077, 0.75%, 0.00%), (RTX, 7,676, 0.71%, 0.00%), (MCD, 3,816, 0.70%, 0.00%), (ABBV, 5,634, 0.69%, 0.00%), (ABT, 8,806, 0.68%, 0.00%), (CAT, 2,784, 0.68%, 0.00%), (HD, 2,888, 0.68%, 0.00%), (AMD, 5,851, 0.61%, 0.00%), (BA, 4,311, 0.60%, 0.00%), (BAC, 20,895, 0.59%, 0.00%), (PM, 5,857, 0.58%, 0.00%), (BKNG, 176, 0.58%, 0.00%), (NKE, 12,476, 0.58%, 0.00%), (SO, 10,263, 0.57%, 0.00%), (CRM, 3,735, 0.54%, 0.00%), (DUK, 7,235, 0.53%, 0.00%), (GS, 1,192, 0.52%, 0.00%), (UBER, 9,286, 0.52%, 0.00%), (ISRG, 1,808, 0.52%, 0.00%), (IBM, 3,612, 0.52%, 0.00%), (HON, 3,750, 0.48%, 0.00%), (MET, 10,386, 0.48%, 0.00%), (WFC, 10,422, 0.48%, 0.00%), (ETN, 2,279, 0.48%, 0.00%), (INTU, 1,095, 0.47%, 0.00%), (PEP, 5,168, 0.46%, 0.00%), (DE, 1,467, 0.43%, 0.00%), (T, 24,868, 0.43%, 0.00%), (NOW, 805, 0.43%, 0.00%), (MS, 4,710, 0.41%, 0.00%), (MRK, 8,065, 0.40%, 0.00%), (SPGI, 1,206, 0.40%, 0.00%), (VZ, 14,590, 0.39%, 0.00%), (AXP, 2,113, 0.39%, 0.00%), (TXN, 3,289, 0.38%, 0.00%), (QCOM, 4,006, 0.38%, 0.00%), (BLK, 553, 0.37%, 0.00%), (ADBE, 1,720, 0.37%, 0.00%), (ACN, 2,441, 0.36%, 0.00%), (MDT, 6,511, 0.36%, 0.00%), (TMO, 1,220, 0.35%, 0.00%), (COP, 6,278, 0.35%, 0.00%), (UNP, 2,673, 0.35%, 0.00%), (DIS, 4,969, 0.34%, 0.00%), (C, 5,920, 0.33%, 0.00%), (SBUX, 6,037, 0.33%, 0.00%), (SCHW, 5,676, 0.33%, 0.00%), (LMT, 1,217, 0.32%, 0.00%), (AMGN, 1,714, 0.30%, 0.00%), (AMAT, 2,972, 0.29%, 0.00%), (MMM, 3,140, 0.29%, 0.00%), (GILD, 3,973, 0.28%, 0.00%), (PFE, 18,068, 0.27%, 0.00%), (CVS, 6,389, 0.27%, 0.00%), (TJX, 3,279, 0.26%, 0.00%), (EMR, 3,288, 0.26%, 0.00%), (DHR, 2,049, 0.25%, 0.00%), (MO, 6,384, 0.25%, 0.00%), (LOW, 1,649, 0.25%, 0.00%), (INTC, 15,551, 0.22%, 0.00%), (ELV, 1,177, 0.22%, 0.00%), (CMCSA, 10,474, 0.21%, 0.00%), (BMY, 6,466, 0.19%, 0.00%), (MDLZ, 5,037, 0.19%, 0.00%), (FDX, 1,291, 0.18%, 0.00%), (UPS, 3,225, 0.17%, 0.00%), (PYPL, 3,807, 0.16%, 0.00%), (CL, 2,802, 0.14%, 0.00%), (USB, 4,883, 0.13%, 0.00%), (TGT, 1,356, 0.08%, 0.00%), (SC26771B, nan, nan%, 0.00%), (SC26773B, nan, nan%, 0.00%), (SP26772B, nan, nan%, 0.00%), (SP26774B, nan, nan%, 0.00%), (SP26775T, nan, nan%, 0.00%), (XP26775T, nan, nan%, 0.00%)</t>
  </si>
  <si>
    <t>(AMZN, 23,552, 4.00%, 0.00%), (AVGO, 14,578, 3.27%, 0.00%), (META, 5,178, 2.92%, 0.00%), (BRK/B, 6,025, 2.12%, 0.00%), (GOOGL, 13,879, 2.07%, 0.00%), (LIN, 5,175, 1.82%, 0.00%), (CSCO, 36,581, 1.79%, 0.00%), (GOOG, 11,305, 1.69%, 0.00%), (JPM, 7,629, 1.63%, 0.00%), (AMT, 10,500, 1.57%, 0.00%), (XOM, 18,466, 1.45%, 0.00%), (V, 5,680, 1.43%, 0.00%), (TSLA, 4,929, 1.20%, 0.00%), (CB, 5,795, 1.16%, 0.00%), (MA, 2,694, 1.16%, 0.00%), (LLY, 2,175, 1.11%, 0.00%), (WM, 6,491, 1.07%, 0.00%), (GE, 5,403, 1.06%, 0.00%), (ORCL, 5,435, 0.99%, 0.00%), (NEE, 16,673, 0.93%, 0.00%), (NFLX, 1,015, 0.93%, 0.00%), (UNH, 4,045, 0.91%, 0.00%), (PLTR, 6,932, 0.89%, 0.00%), (JNJ, 6,645, 0.86%, 0.00%), (KO, 16,342, 0.83%, 0.00%), (WMT, 11,061, 0.81%, 0.00%), (COST, 1,129, 0.81%, 0.00%), (CVX, 7,022, 0.80%, 0.00%), (PG, 6,992, 0.80%, 0.00%), (RTX, 6,645, 0.76%, 0.00%), (MCD, 3,304, 0.75%, 0.00%), (ABBV, 4,877, 0.74%, 0.00%), (ABT, 7,623, 0.73%, 0.00%), (CAT, 2,410, 0.73%, 0.00%), (HD, 2,500, 0.72%, 0.00%), (AMD, 5,065, 0.65%, 0.00%), (BA, 3,732, 0.64%, 0.00%), (BAC, 18,088, 0.63%, 0.00%), (BKNG, 153, 0.62%, 0.00%), (PM, 5,070, 0.62%, 0.00%), (NKE, 10,800, 0.61%, 0.00%), (SO, 8,884, 0.61%, 0.00%), (CRM, 3,233, 0.58%, 0.00%), (DUK, 6,263, 0.56%, 0.00%), (GS, 1,032, 0.55%, 0.00%), (UBER, 8,038, 0.55%, 0.00%), (ISRG, 1,565, 0.55%, 0.00%), (IBM, 3,127, 0.55%, 0.00%), (HON, 3,246, 0.52%, 0.00%), (MET, 8,990, 0.51%, 0.00%), (WFC, 9,022, 0.51%, 0.00%), (ETN, 1,973, 0.51%, 0.00%), (INTU, 948, 0.50%, 0.00%), (PEP, 4,474, 0.49%, 0.00%), (DE, 1,270, 0.46%, 0.00%), (T, 21,527, 0.46%, 0.00%), (NOW, 697, 0.45%, 0.00%), (MS, 4,077, 0.43%, 0.00%), (MRK, 6,982, 0.43%, 0.00%), (SPGI, 1,044, 0.42%, 0.00%), (VZ, 12,630, 0.41%, 0.00%), (AXP, 1,829, 0.41%, 0.00%), (TXN, 2,847, 0.41%, 0.00%), (QCOM, 3,468, 0.40%, 0.00%), (BLK, 479, 0.40%, 0.00%), (ADBE, 1,489, 0.39%, 0.00%), (ACN, 2,113, 0.39%, 0.00%), (MDT, 5,636, 0.38%, 0.00%), (TMO, 1,056, 0.38%, 0.00%), (COP, 5,435, 0.38%, 0.00%), (UNP, 2,314, 0.37%, 0.00%), (DIS, 4,302, 0.37%, 0.00%), (C, 5,125, 0.35%, 0.00%), (SBUX, 5,226, 0.35%, 0.00%), (SCHW, 4,913, 0.35%, 0.00%), (LMT, 1,053, 0.34%, 0.00%), (AMGN, 1,484, 0.32%, 0.00%), (AMAT, 2,573, 0.31%, 0.00%), (MMM, 2,719, 0.30%, 0.00%), (GILD, 3,440, 0.30%, 0.00%), (PFE, 15,640, 0.29%, 0.00%), (CVS, 5,531, 0.28%, 0.00%), (TJX, 2,838, 0.28%, 0.00%), (EMR, 2,847, 0.28%, 0.00%), (DHR, 1,774, 0.27%, 0.00%), (MO, 5,526, 0.27%, 0.00%), (LOW, 1,428, 0.26%, 0.00%), (INTC, 13,462, 0.23%, 0.00%), (ELV, 1,019, 0.23%, 0.00%), (CMCSA, 9,067, 0.22%, 0.00%), (BMY, 5,598, 0.20%, 0.00%), (MDLZ, 4,360, 0.20%, 0.00%), (UPS, 2,792, 0.18%, 0.00%), (FDX, 1,058, 0.18%, 0.00%), (PYPL, 3,295, 0.17%, 0.00%), (CL, 2,426, 0.15%, 0.00%), (USB, 4,227, 0.14%, 0.00%), (TGT, 1,174, 0.09%, 0.00%), (SC23471B, nan, nan%, 0.00%), (SC23473B, nan, nan%, 0.00%), (SP23472B, nan, nan%, 0.00%), (SP23475B, nan, nan%, 0.00%), (SP23474B, nan, nan%, 0.00%), (XP23475B, nan, nan%, 0.00%)</t>
  </si>
  <si>
    <t>(AMZN, 17,547, 3.98%, 0.00%), (AVGO, 10,861, 3.25%, 0.00%), (META, 3,858, 2.91%, 0.00%), (BRK/B, 4,489, 2.11%, 0.00%), (GOOGL, 10,341, 2.07%, 0.00%), (LIN, 3,856, 1.82%, 0.00%), (CSCO, 27,255, 1.79%, 0.00%), (GOOG, 8,423, 1.69%, 0.00%), (JPM, 5,684, 1.63%, 0.00%), (AMT, 7,823, 1.57%, 0.00%), (XOM, 13,758, 1.44%, 0.00%), (V, 4,232, 1.43%, 0.00%), (TSLA, 3,863, 1.26%, 0.00%), (CB, 4,317, 1.16%, 0.00%), (MA, 2,007, 1.15%, 0.00%), (LLY, 1,620, 1.11%, 0.00%), (WM, 4,836, 1.07%, 0.00%), (GE, 4,026, 1.06%, 0.00%), (ORCL, 4,050, 0.99%, 0.00%), (NFLX, 757, 0.92%, 0.00%), (NEE, 12,423, 0.92%, 0.00%), (UNH, 3,013, 0.91%, 0.00%), (PLTR, 5,165, 0.88%, 0.00%), (JNJ, 4,951, 0.86%, 0.00%), (KO, 12,119, 0.82%, 0.00%), (WMT, 8,241, 0.81%, 0.00%), (COST, 841, 0.81%, 0.00%), (CVX, 5,232, 0.80%, 0.00%), (PG, 5,209, 0.80%, 0.00%), (RTX, 4,951, 0.76%, 0.00%), (MCD, 2,461, 0.75%, 0.00%), (ABBV, 3,634, 0.74%, 0.00%), (CAT, 1,796, 0.73%, 0.00%), (ABT, 5,679, 0.73%, 0.00%), (HD, 1,862, 0.72%, 0.00%), (AMD, 3,774, 0.65%, 0.00%), (BA, 2,781, 0.64%, 0.00%), (BAC, 13,477, 0.63%, 0.00%), (BKNG, 114, 0.62%, 0.00%), (PM, 3,777, 0.62%, 0.00%), (NKE, 8,047, 0.61%, 0.00%), (SO, 6,619, 0.61%, 0.00%), (CRM, 2,409, 0.58%, 0.00%), (DUK, 4,667, 0.56%, 0.00%), (GS, 769, 0.55%, 0.00%), (UBER, 5,989, 0.55%, 0.00%), (ISRG, 1,166, 0.55%, 0.00%), (IBM, 2,330, 0.55%, 0.00%), (HON, 2,419, 0.52%, 0.00%), (MET, 6,698, 0.51%, 0.00%), (WFC, 6,722, 0.51%, 0.00%), (ETN, 1,470, 0.51%, 0.00%), (INTU, 706, 0.50%, 0.00%), (PEP, 3,333, 0.49%, 0.00%), (DE, 946, 0.46%, 0.00%), (T, 16,039, 0.46%, 0.00%), (NOW, 519, 0.45%, 0.00%), (MS, 3,038, 0.43%, 0.00%), (MRK, 5,202, 0.43%, 0.00%), (SPGI, 778, 0.42%, 0.00%), (VZ, 9,410, 0.41%, 0.00%), (AXP, 1,363, 0.41%, 0.00%), (TXN, 2,121, 0.40%, 0.00%), (QCOM, 2,584, 0.40%, 0.00%), (BLK, 357, 0.40%, 0.00%), (ADBE, 1,109, 0.39%, 0.00%), (ACN, 1,574, 0.38%, 0.00%), (MDT, 4,199, 0.38%, 0.00%), (TMO, 787, 0.38%, 0.00%), (COP, 4,049, 0.37%, 0.00%), (UNP, 1,724, 0.37%, 0.00%), (DIS, 3,205, 0.37%, 0.00%), (C, 3,818, 0.35%, 0.00%), (SBUX, 3,893, 0.35%, 0.00%), (SCHW, 3,661, 0.35%, 0.00%), (LMT, 785, 0.34%, 0.00%), (AMGN, 1,105, 0.32%, 0.00%), (AMAT, 1,917, 0.31%, 0.00%), (MMM, 2,025, 0.30%, 0.00%), (GILD, 2,563, 0.30%, 0.00%), (PFE, 11,653, 0.29%, 0.00%), (CVS, 4,121, 0.28%, 0.00%), (TJX, 2,115, 0.28%, 0.00%), (EMR, 2,121, 0.27%, 0.00%), (DHR, 1,322, 0.27%, 0.00%), (MO, 4,117, 0.27%, 0.00%), (LOW, 1,064, 0.26%, 0.00%), (INTC, 10,030, 0.23%, 0.00%), (ELV, 759, 0.23%, 0.00%), (CMCSA, 6,756, 0.22%, 0.00%), (BMY, 4,171, 0.20%, 0.00%), (MDLZ, 3,249, 0.20%, 0.00%), (FDX, 839, 0.19%, 0.00%), (UPS, 2,080, 0.18%, 0.00%), (PYPL, 2,455, 0.17%, 0.00%), (CL, 1,807, 0.15%, 0.00%), (USB, 3,149, 0.14%, 0.00%), (TGT, 875, 0.09%, 0.00%), (SC22171B, nan, nan%, 0.00%), (SC22173B, nan, nan%, 0.00%), (SP22172B, nan, nan%, 0.00%), (SP22175B, nan, nan%, 0.00%), (SP22174B, nan, nan%, 0.00%), (XP22175B, nan, nan%, 0.00%)</t>
  </si>
  <si>
    <t>(AVGO, 4,100, 3.10%, 0.00%), (META, 1,456, 2.77%, 0.00%), (BRK/B, 1,694, 2.01%, 0.00%), (GOOGL, 3,904, 1.97%, 0.00%), (LIN, 1,456, 1.73%, 0.00%), (CSCO, 10,288, 1.70%, 0.00%), (TSLA, 1,949, 1.61%, 0.00%), (GOOG, 3,180, 1.61%, 0.00%), (JPM, 2,146, 1.55%, 0.00%), (AMT, 2,953, 1.49%, 0.00%), (XOM, 5,194, 1.37%, 0.00%), (V, 1,597, 1.36%, 0.00%), (CB, 1,630, 1.10%, 0.00%), (MA, 758, 1.10%, 0.00%), (LLY, 612, 1.06%, 0.00%), (WM, 1,826, 1.02%, 0.00%), (GE, 1,520, 1.01%, 0.00%), (ORCL, 1,529, 0.94%, 0.00%), (NEE, 4,689, 0.88%, 0.00%), (NFLX, 286, 0.88%, 0.00%), (UNH, 1,138, 0.87%, 0.00%), (PLTR, 1,950, 0.84%, 0.00%), (JNJ, 1,869, 0.82%, 0.00%), (WMT, 3,111, 0.77%, 0.00%), (COST, 318, 0.77%, 0.00%), (CVX, 1,975, 0.76%, 0.00%), (PG, 1,966, 0.76%, 0.00%), (KO, 4,356, 0.75%, 0.00%), (RTX, 1,869, 0.72%, 0.00%), (MCD, 929, 0.71%, 0.00%), (ABBV, 1,372, 0.70%, 0.00%), (ABT, 2,144, 0.69%, 0.00%), (CAT, 678, 0.69%, 0.00%), (HD, 703, 0.69%, 0.00%), (AMD, 1,425, 0.62%, 0.00%), (BA, 1,050, 0.60%, 0.00%), (BAC, 5,087, 0.60%, 0.00%), (BKNG, 43, 0.59%, 0.00%), (PM, 1,426, 0.59%, 0.00%), (NKE, 3,038, 0.58%, 0.00%), (SO, 2,499, 0.58%, 0.00%), (CRM, 909, 0.55%, 0.00%), (DUK, 1,762, 0.53%, 0.00%), (UBER, 2,261, 0.53%, 0.00%), (GS, 290, 0.52%, 0.00%), (ISRG, 440, 0.52%, 0.00%), (IBM, 879, 0.52%, 0.00%), (HON, 913, 0.49%, 0.00%), (MET, 2,529, 0.49%, 0.00%), (WFC, 2,537, 0.49%, 0.00%), (ETN, 555, 0.49%, 0.00%), (INTU, 267, 0.47%, 0.00%), (PEP, 1,258, 0.47%, 0.00%), (NOW, 196, 0.43%, 0.00%), (T, 6,055, 0.43%, 0.00%), (DE, 357, 0.43%, 0.00%), (MS, 1,147, 0.41%, 0.00%), (MRK, 1,964, 0.41%, 0.00%), (SPGI, 294, 0.40%, 0.00%), (VZ, 3,552, 0.39%, 0.00%), (AXP, 514, 0.39%, 0.00%), (TXN, 801, 0.39%, 0.00%), (QCOM, 975, 0.38%, 0.00%), (BLK, 135, 0.38%, 0.00%), (ADBE, 419, 0.37%, 0.00%), (ACN, 594, 0.37%, 0.00%), (MDT, 1,585, 0.36%, 0.00%), (TMO, 297, 0.36%, 0.00%), (COP, 1,529, 0.36%, 0.00%), (UNP, 651, 0.35%, 0.00%), (DIS, 1,210, 0.35%, 0.00%), (C, 1,441, 0.34%, 0.00%), (SBUX, 1,470, 0.34%, 0.00%), (SCHW, 1,382, 0.33%, 0.00%), (LMT, 296, 0.32%, 0.00%), (AMGN, 417, 0.30%, 0.00%), (AMAT, 724, 0.29%, 0.00%), (MMM, 765, 0.29%, 0.00%), (GILD, 967, 0.28%, 0.00%), (PFE, 4,399, 0.27%, 0.00%), (CVS, 1,555, 0.27%, 0.00%), (TJX, 798, 0.26%, 0.00%), (EMR, 801, 0.26%, 0.00%), (DHR, 499, 0.26%, 0.00%), (MO, 1,554, 0.25%, 0.00%), (LOW, 402, 0.25%, 0.00%), (INTC, 3,786, 0.22%, 0.00%), (ELV, 287, 0.22%, 0.00%), (CMCSA, 2,550, 0.21%, 0.00%), (FDX, 341, 0.19%, 0.00%), (BMY, 1,574, 0.19%, 0.00%), (MDLZ, 1,226, 0.19%, 0.00%), (UPS, 785, 0.17%, 0.00%), (PYPL, 927, 0.16%, 0.00%), (CL, 682, 0.14%, 0.00%), (USB, 1,189, 0.14%, 0.00%), (TGT, 330, 0.08%, 0.00%), (SC28181B, nan, nan%, 0.00%), (SC28183B, nan, nan%, 0.00%), (SP28182B, nan, nan%, 0.00%), (SP28185B, nan, nan%, 0.00%), (SP28184B, nan, nan%, 0.00%), (XP28185B, nan, nan%, 0.00%)</t>
  </si>
  <si>
    <t>(AVGO, 4,466, 3.14%, 0.00%), (META, 1,587, 2.81%, 0.00%), (BRK/B, 1,846, 2.04%, 0.00%), (GOOGL, 4,252, 1.99%, 0.00%), (LIN, 1,586, 1.75%, 0.00%), (CSCO, 11,208, 1.72%, 0.00%), (GOOG, 3,464, 1.63%, 0.00%), (JPM, 2,337, 1.57%, 0.00%), (AMT, 3,217, 1.51%, 0.00%), (XOM, 5,658, 1.39%, 0.00%), (V, 1,740, 1.37%, 0.00%), (TSLA, 1,623, 1.24%, 0.00%), (CB, 1,775, 1.12%, 0.00%), (MA, 825, 1.11%, 0.00%), (LLY, 666, 1.07%, 0.00%), (WM, 1,989, 1.03%, 0.00%), (GE, 1,655, 1.02%, 0.00%), (ORCL, 1,665, 0.95%, 0.00%), (NEE, 5,108, 0.89%, 0.00%), (NFLX, 311, 0.89%, 0.00%), (UNH, 1,239, 0.88%, 0.00%), (PLTR, 2,124, 0.85%, 0.00%), (JNJ, 2,036, 0.83%, 0.00%), (WMT, 3,389, 0.78%, 0.00%), (COST, 346, 0.78%, 0.00%), (CVX, 2,151, 0.77%, 0.00%), (PG, 2,142, 0.77%, 0.00%), (KO, 4,773, 0.76%, 0.00%), (RTX, 2,036, 0.73%, 0.00%), (MCD, 1,012, 0.72%, 0.00%), (ABBV, 1,494, 0.71%, 0.00%), (ABT, 2,335, 0.70%, 0.00%), (CAT, 738, 0.70%, 0.00%), (HD, 766, 0.69%, 0.00%), (AMD, 1,552, 0.63%, 0.00%), (BA, 1,143, 0.61%, 0.00%), (BAC, 5,542, 0.61%, 0.00%), (BKNG, 47, 0.60%, 0.00%), (PM, 1,553, 0.60%, 0.00%), (NKE, 3,309, 0.59%, 0.00%), (SO, 2,722, 0.58%, 0.00%), (CRM, 991, 0.56%, 0.00%), (DUK, 1,919, 0.54%, 0.00%), (ISRG, 480, 0.53%, 0.00%), (UBER, 2,463, 0.53%, 0.00%), (GS, 316, 0.53%, 0.00%), (IBM, 958, 0.53%, 0.00%), (HON, 995, 0.50%, 0.00%), (MET, 2,754, 0.49%, 0.00%), (WFC, 2,764, 0.49%, 0.00%), (ETN, 604, 0.49%, 0.00%), (INTU, 290, 0.48%, 0.00%), (PEP, 1,371, 0.47%, 0.00%), (DE, 389, 0.44%, 0.00%), (T, 6,595, 0.44%, 0.00%), (NOW, 213, 0.43%, 0.00%), (MS, 1,249, 0.42%, 0.00%), (MRK, 2,139, 0.41%, 0.00%), (SPGI, 320, 0.41%, 0.00%), (AXP, 560, 0.40%, 0.00%), (VZ, 3,869, 0.40%, 0.00%), (TXN, 872, 0.39%, 0.00%), (QCOM, 1,062, 0.39%, 0.00%), (BLK, 147, 0.39%, 0.00%), (ADBE, 456, 0.37%, 0.00%), (ACN, 647, 0.37%, 0.00%), (MDT, 1,727, 0.37%, 0.00%), (TMO, 323, 0.36%, 0.00%), (COP, 1,665, 0.36%, 0.00%), (UNP, 709, 0.36%, 0.00%), (DIS, 1,318, 0.35%, 0.00%), (C, 1,570, 0.34%, 0.00%), (SBUX, 1,601, 0.34%, 0.00%), (SCHW, 1,505, 0.33%, 0.00%), (LMT, 323, 0.33%, 0.00%), (AMGN, 455, 0.31%, 0.00%), (AMAT, 788, 0.30%, 0.00%), (MMM, 833, 0.29%, 0.00%), (GILD, 1,054, 0.29%, 0.00%), (PFE, 4,792, 0.28%, 0.00%), (CVS, 1,694, 0.27%, 0.00%), (TJX, 870, 0.27%, 0.00%), (EMR, 872, 0.26%, 0.00%), (DHR, 544, 0.26%, 0.00%), (MO, 1,693, 0.26%, 0.00%), (LOW, 437, 0.25%, 0.00%), (INTC, 4,124, 0.22%, 0.00%), (ELV, 312, 0.22%, 0.00%), (CMCSA, 2,778, 0.21%, 0.00%), (BMY, 1,715, 0.19%, 0.00%), (MDLZ, 1,336, 0.19%, 0.00%), (FDX, 363, 0.19%, 0.00%), (UPS, 855, 0.17%, 0.00%), (PYPL, 1,010, 0.16%, 0.00%), (CL, 743, 0.14%, 0.00%), (USB, 1,295, 0.14%, 0.00%), (TGT, 360, 0.09%, 0.00%), (SC13481B, nan, nan%, 0.00%), (SC13483B, nan, nan%, 0.00%), (SP13482B, nan, nan%, 0.00%), (SP13485B, nan, nan%, 0.00%), (SP13484B, nan, nan%, 0.00%), (XP13485B, nan, nan%, 0.00%)</t>
  </si>
  <si>
    <t>(AVGO, 8,398, 3.25%, 0.00%), (META, 2,983, 2.91%, 0.00%), (BRK/B, 3,471, 2.11%, 0.00%), (GOOGL, 7,996, 2.06%, 0.00%), (LIN, 2,982, 1.82%, 0.00%), (CSCO, 21,074, 1.79%, 0.00%), (GOOG, 6,513, 1.69%, 0.00%), (JPM, 4,395, 1.63%, 0.00%), (AMT, 6,049, 1.56%, 0.00%), (XOM, 10,638, 1.44%, 0.00%), (V, 3,272, 1.42%, 0.00%), (TSLA, 3,092, 1.31%, 0.00%), (CB, 3,338, 1.16%, 0.00%), (MA, 1,552, 1.15%, 0.00%), (LLY, 1,253, 1.11%, 0.00%), (WM, 3,739, 1.07%, 0.00%), (GE, 3,113, 1.06%, 0.00%), (ORCL, 3,131, 0.99%, 0.00%), (NFLX, 585, 0.92%, 0.00%), (NEE, 9,606, 0.92%, 0.00%), (UNH, 2,330, 0.91%, 0.00%), (PLTR, 3,994, 0.88%, 0.00%), (JNJ, 3,828, 0.86%, 0.00%), (WMT, 6,372, 0.81%, 0.00%), (COST, 650, 0.81%, 0.00%), (CVX, 4,045, 0.80%, 0.00%), (PG, 4,028, 0.80%, 0.00%), (KO, 8,983, 0.79%, 0.00%), (RTX, 3,828, 0.76%, 0.00%), (MCD, 1,903, 0.75%, 0.00%), (ABBV, 2,810, 0.74%, 0.00%), (CAT, 1,389, 0.73%, 0.00%), (ABT, 4,391, 0.73%, 0.00%), (HD, 1,440, 0.72%, 0.00%), (AMD, 2,918, 0.65%, 0.00%), (BA, 2,150, 0.63%, 0.00%), (BAC, 10,421, 0.63%, 0.00%), (BKNG, 88, 0.62%, 0.00%), (PM, 2,921, 0.62%, 0.00%), (NKE, 6,222, 0.61%, 0.00%), (SO, 5,118, 0.60%, 0.00%), (CRM, 1,863, 0.58%, 0.00%), (DUK, 3,608, 0.56%, 0.00%), (GS, 594, 0.55%, 0.00%), (UBER, 4,631, 0.55%, 0.00%), (ISRG, 902, 0.55%, 0.00%), (IBM, 1,801, 0.55%, 0.00%), (HON, 1,870, 0.51%, 0.00%), (MET, 5,179, 0.51%, 0.00%), (WFC, 5,198, 0.51%, 0.00%), (ETN, 1,137, 0.51%, 0.00%), (INTU, 546, 0.50%, 0.00%), (PEP, 2,577, 0.49%, 0.00%), (DE, 732, 0.46%, 0.00%), (T, 12,402, 0.46%, 0.00%), (NOW, 401, 0.45%, 0.00%), (MS, 2,349, 0.43%, 0.00%), (MRK, 4,022, 0.43%, 0.00%), (SPGI, 601, 0.42%, 0.00%), (VZ, 7,276, 0.41%, 0.00%), (AXP, 1,054, 0.41%, 0.00%), (TXN, 1,640, 0.40%, 0.00%), (QCOM, 1,998, 0.40%, 0.00%), (BLK, 276, 0.40%, 0.00%), (ADBE, 858, 0.39%, 0.00%), (ACN, 1,217, 0.38%, 0.00%), (TMO, 608, 0.38%, 0.00%), (COP, 3,131, 0.37%, 0.00%), (UNP, 1,333, 0.37%, 0.00%), (DIS, 2,478, 0.37%, 0.00%), (C, 2,952, 0.35%, 0.00%), (SBUX, 3,010, 0.35%, 0.00%), (SCHW, 2,831, 0.35%, 0.00%), (LMT, 607, 0.34%, 0.00%), (AMGN, 855, 0.32%, 0.00%), (AMAT, 1,482, 0.31%, 0.00%), (MMM, 1,566, 0.30%, 0.00%), (MDT, 2,547, 0.30%, 0.00%), (GILD, 1,982, 0.30%, 0.00%), (PFE, 9,011, 0.29%, 0.00%), (CVS, 3,186, 0.28%, 0.00%), (TJX, 1,635, 0.28%, 0.00%), (EMR, 1,640, 0.27%, 0.00%), (DHR, 1,022, 0.27%, 0.00%), (MO, 3,184, 0.27%, 0.00%), (LOW, 822, 0.26%, 0.00%), (INTC, 7,755, 0.23%, 0.00%), (ELV, 587, 0.23%, 0.00%), (CMCSA, 5,224, 0.22%, 0.00%), (BMY, 3,225, 0.20%, 0.00%), (MDLZ, 2,512, 0.20%, 0.00%), (UPS, 1,608, 0.18%, 0.00%), (FDX, 594, 0.17%, 0.00%), (PYPL, 1,898, 0.17%, 0.00%), (CL, 1,397, 0.15%, 0.00%), (USB, 2,435, 0.14%, 0.00%), (TGT, 676, 0.09%, 0.00%), (SC26771B, nan, nan%, 0.00%), (SC26773B, nan, nan%, 0.00%), (SP26772B, nan, nan%, 0.00%), (SP26775B, nan, nan%, 0.00%), (SP26774B, nan, nan%, 0.00%), (XP26775B, nan, nan%, 0.00%)</t>
  </si>
  <si>
    <t>EBAY, META, BK, MSFT, GOOGL, MLI, EA, BLK, JPM, BKNG, PHM</t>
  </si>
  <si>
    <t>(RJF, 6,438, 1.94%, 0.00%), (HIG, 7,715, 1.86%, 0.00%), (EWBC, 9,960, 1.85%, 0.01%), (AXP, 3,250, 1.82%, 0.00%), (V, 2,881, 1.81%, 0.00%), (TRV, 3,666, 1.81%, 0.00%), (ROST, 6,419, 1.74%, 0.00%), (NVDA, 5,383, 1.73%, 0.00%), (ADP, 3,078, 1.72%, 0.00%), (SNA, 2,873, 1.71%, 0.01%), (LEN, 6,802, 1.67%, 0.00%), (PCAR, 9,112, 1.66%, 0.00%), (UNM, 12,962, 1.64%, 0.01%), (AMAT, 5,520, 1.64%, 0.00%), (KLAC, 1,019, 1.64%, 0.00%), (CB, 3,251, 1.63%, 0.00%), (SYF, 12,032, 1.58%, 0.00%), (WSM, 4,074, 1.51%, 0.00%), (CTSH, 11,645, 1.51%, 0.00%), (CRM, 3,301, 1.49%, 0.00%), (PAYC, 3,525, 1.47%, 0.01%), (DHI, 4,520, 1.39%, 0.00%), (BKR, 17,137, 1.35%, 0.00%), (QCOM, 4,648, 1.33%, 0.00%), (ACN, 2,746, 1.29%, 0.00%), (AAPL, 3,001, 1.27%, 0.00%), (ELV, 2,207, 1.26%, 0.00%), (AFL, 6,365, 1.25%, 0.00%), (MPWR, 735, 1.14%, 0.00%), (ODFL, 3,948, 1.12%, 0.00%), (LRCX, 5,936, 1.09%, 0.00%), (CSCO, 8,621, 1.05%, 0.00%), (GE, 2,080, 1.01%, 0.00%), (STT, 4,778, 0.97%, 0.00%), (PNC, 2,559, 0.90%, 0.00%), (MTB, 2,543, 0.89%, 0.00%), (AMP, 931, 0.86%, 0.00%), (COST, 478, 0.86%, 0.00%), (CF, 5,461, 0.84%, 0.00%), (ABT, 3,440, 0.83%, 0.00%), (XOM, 4,000, 0.79%, 0.00%), (EOG, 3,599, 0.77%, 0.00%), (CSL, 1,071, 0.76%, 0.00%), (EG, 1,210, 0.75%, 0.00%), (GEV, 487, 0.54%, 0.00%), (NTRS, 2,218, 0.52%, 0.00%), (MA, 463, 0.50%, 0.00%), (JNJ, 1,485, 0.48%, 0.00%), (CRBG, 7,620, 0.48%, 0.00%), (ACM, 2,098, 0.46%, 0.00%), (LNC, 6,066, 0.45%, 0.00%), (JXN, 2,504, 0.44%, 0.00%), (MTG, 8,715, 0.44%, 0.00%), (CINF, 1,543, 0.43%, 0.00%), (DOV, 1,297, 0.43%, 0.00%), (ALL, 1,098, 0.42%, 0.00%), (WTFC, 1,787, 0.42%, 0.00%), (EQH, 4,300, 0.41%, 0.00%), (ADM, 3,693, 0.41%, 0.00%), (MCK, 320, 0.40%, 0.00%), (NUE, 1,483, 0.40%, 0.00%), (SLM, 7,121,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</si>
  <si>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3.31%, 0.00%), (META, 1,376, 3.00%, 0.00%), (BRK/B, 1,601, 2.24%, 0.00%), (GOOGL, 3,688, 2.15%, 0.00%), (LIN, 1,375, 1.91%, 0.00%), (CSCO, 9,720, 1.87%, 0.00%), (GOOG, 3,004, 1.76%, 0.00%), (TSLA, 1,841, 1.75%, 0.00%), (JPM, 2,027, 1.70%, 0.00%), (AMT, 2,790, 1.67%, 0.00%), (XOM, 4,907, 1.52%, 0.00%), (V, 1,509, 1.50%, 0.00%), (CB, 1,540, 1.22%, 0.00%), (MA, 716, 1.21%, 0.00%), (LLY, 578, 1.17%, 0.00%), (WM, 1,725, 1.14%, 0.00%), (GE, 1,436, 1.11%, 0.00%), (ORCL, 1,444, 0.98%, 0.00%), (NEE, 4,430, 0.98%, 0.00%), (NFLX, 270, 0.95%, 0.00%), (UNH, 1,075, 0.94%, 0.00%), (JNJ, 1,766, 0.91%, 0.00%), (WMT, 2,939, 0.86%, 0.00%), (COST, 300, 0.85%, 0.00%), (PG, 1,858, 0.85%, 0.00%), (PLTR, 1,842, 0.84%, 0.00%), (CVX, 1,866, 0.82%, 0.00%), (MCD, 878, 0.79%, 0.00%), (RTX, 1,766, 0.79%, 0.00%), (HD, 664, 0.78%, 0.00%), (ABBV, 1,296, 0.77%, 0.00%), (ABT, 2,025, 0.77%, 0.00%), (CAT, 640, 0.77%, 0.00%), (KO, 3,359, 0.68%, 0.00%), (BAC, 4,806, 0.67%, 0.00%), (BKNG, 41, 0.66%, 0.00%), (PM, 1,347, 0.66%, 0.00%), (AMD, 1,346, 0.65%, 0.00%), (BA, 992, 0.65%, 0.00%), (SO, 2,361, 0.64%, 0.00%), (NKE, 2,870, 0.64%, 0.00%), (CRM, 859, 0.61%, 0.00%), (DUK, 1,664, 0.60%, 0.00%), (UBER, 2,136, 0.59%, 0.00%), (IBM, 831, 0.58%, 0.00%), (ISRG, 416, 0.58%, 0.00%), (GS, 274, 0.57%, 0.00%), (MET, 2,389, 0.55%, 0.00%), (HON, 863, 0.54%, 0.00%), (WFC, 2,397, 0.54%, 0.00%), (ETN, 524, 0.53%, 0.00%), (PEP, 1,189, 0.52%, 0.00%), (INTU, 252, 0.51%, 0.00%), (T, 5,720, 0.48%, 0.00%), (DE, 338, 0.48%, 0.00%), (NOW, 185, 0.47%, 0.00%), (MRK, 1,855, 0.45%, 0.00%), (MS, 1,083, 0.45%, 0.00%), (SPGI, 277, 0.44%, 0.00%), (VZ, 3,356, 0.44%, 0.00%), (AXP, 486, 0.43%, 0.00%), (TXN, 757, 0.43%, 0.00%), (QCOM, 921, 0.42%, 0.00%), (BLK, 127, 0.42%, 0.00%), (ADBE, 396, 0.41%, 0.00%), (ACN, 561, 0.41%, 0.00%), (TMO, 281, 0.40%, 0.00%), (UNP, 615, 0.40%, 0.00%), (COP, 1,444, 0.39%, 0.00%), (MDT, 1,498, 0.39%, 0.00%), (DIS, 1,143, 0.38%, 0.00%), (C, 1,362, 0.37%, 0.00%), (SBUX, 1,388, 0.36%, 0.00%), (SCHW, 1,306, 0.36%, 0.00%), (LMT, 280, 0.36%, 0.00%), (AMGN, 394, 0.34%, 0.00%), (MMM, 722, 0.32%, 0.00%), (AMAT, 684, 0.32%, 0.00%), (GILD, 914, 0.31%, 0.00%), (PFE, 4,156, 0.30%, 0.00%), (CVS, 1,470, 0.30%, 0.00%), (TJX, 754, 0.29%, 0.00%), (DHR, 471, 0.29%, 0.00%), (EMR, 756, 0.29%, 0.00%), (MO, 1,468, 0.28%, 0.00%), (LOW, 379, 0.28%, 0.00%), (INTC, 3,577, 0.26%, 0.00%), (ELV, 271, 0.25%, 0.00%), (CMCSA, 2,409, 0.24%, 0.00%), (MDLZ, 1,159, 0.21%, 0.00%), (BMY, 1,487, 0.21%, 0.00%), (UPS, 742, 0.19%, 0.00%), (PYPL, 876, 0.17%, 0.00%), (CL, 644, 0.16%, 0.00%), (FDX, 228, 0.15%, 0.00%), (USB, 1,123, 0.15%, 0.00%), (TGT, 312, 0.09%, 0.00%), (SC31761B, nan, nan%, 0.00%), (SC31763B, nan, nan%, 0.00%), (SP31762B, nan, nan%, 0.00%), (SP31765B, nan, nan%, 0.00%), (SP31764B, nan, nan%, 0.00%), (XP31765B, nan, nan%, 0.00%)</t>
  </si>
  <si>
    <t>(AVGO, 2,546, 3.21%, 0.00%), (META, 904, 2.91%, 0.00%), (BRK/B, 1,052, 2.17%, 0.00%), (GOOGL, 2,424, 2.09%, 0.00%), (LIN, 904, 1.86%, 0.00%), (CSCO, 6,388, 1.82%, 0.00%), (GOOG, 1,974, 1.71%, 0.00%), (TSLA, 1,210, 1.70%, 0.00%), (JPM, 1,332, 1.65%, 0.00%), (AMT, 1,833, 1.62%, 0.00%), (XOM, 3,224, 1.48%, 0.00%), (V, 992, 1.45%, 0.00%), (CB, 1,012, 1.19%, 0.00%), (MA, 470, 1.18%, 0.00%), (LLY, 380, 1.14%, 0.00%), (WM, 1,133, 1.11%, 0.00%), (GE, 943, 1.07%, 0.00%), (ORCL, 949, 0.95%, 0.00%), (NEE, 2,912, 0.95%, 0.00%), (NFLX, 177, 0.92%, 0.00%), (UNH, 706, 0.92%, 0.00%), (JNJ, 1,160, 0.88%, 0.00%), (WMT, 1,932, 0.83%, 0.00%), (PG, 1,221, 0.82%, 0.00%), (COST, 197, 0.82%, 0.00%), (PLTR, 1,210, 0.82%, 0.00%), (CVX, 1,226, 0.80%, 0.00%), (MCD, 577, 0.76%, 0.00%), (RTX, 1,160, 0.76%, 0.00%), (HD, 437, 0.76%, 0.00%), (ABBV, 852, 0.75%, 0.00%), (CAT, 421, 0.75%, 0.00%), (ABT, 1,331, 0.75%, 0.00%), (KO, 2,208, 0.66%, 0.00%), (BKNG, 27, 0.65%, 0.00%), (BAC, 3,159, 0.65%, 0.00%), (PM, 885, 0.64%, 0.00%), (AMD, 884, 0.63%, 0.00%), (BA, 652, 0.63%, 0.00%), (SO, 1,551, 0.62%, 0.00%), (NKE, 1,886, 0.62%, 0.00%), (CRM, 565, 0.59%, 0.00%), (DUK, 1,094, 0.58%, 0.00%), (UBER, 1,404, 0.57%, 0.00%), (IBM, 546, 0.56%, 0.00%), (ISRG, 273, 0.56%, 0.00%), (GS, 180, 0.55%, 0.00%), (MET, 1,570, 0.53%, 0.00%), (HON, 567, 0.53%, 0.00%), (WFC, 1,575, 0.52%, 0.00%), (ETN, 345, 0.51%, 0.00%), (PEP, 781, 0.51%, 0.00%), (INTU, 166, 0.50%, 0.00%), (T, 3,759, 0.47%, 0.00%), (NOW, 122, 0.46%, 0.00%), (DE, 222, 0.46%, 0.00%), (MRK, 1,219, 0.44%, 0.00%), (MS, 712, 0.44%, 0.00%), (SPGI, 182, 0.43%, 0.00%), (VZ, 2,205, 0.42%, 0.00%), (AXP, 319, 0.42%, 0.00%), (TXN, 497, 0.42%, 0.00%), (BLK, 84, 0.41%, 0.00%), (QCOM, 606, 0.40%, 0.00%), (ACN, 369, 0.40%, 0.00%), (ADBE, 260, 0.40%, 0.00%), (TMO, 184, 0.39%, 0.00%), (UNP, 404, 0.39%, 0.00%), (COP, 949, 0.38%, 0.00%), (MDT, 984, 0.38%, 0.00%), (DIS, 751, 0.37%, 0.00%), (C, 895, 0.36%, 0.00%), (SBUX, 912, 0.35%, 0.00%), (SCHW, 858, 0.35%, 0.00%), (LMT, 184, 0.35%, 0.00%), (AMGN, 259, 0.33%, 0.00%), (MMM, 475, 0.31%, 0.00%), (AMAT, 449, 0.31%, 0.00%), (GILD, 601, 0.30%, 0.00%), (PFE, 2,731, 0.29%, 0.00%), (CVS, 966, 0.29%, 0.00%), (TJX, 496, 0.28%, 0.00%), (DHR, 310, 0.28%, 0.00%), (EMR, 497, 0.28%, 0.00%), (MO, 965, 0.27%, 0.00%), (LOW, 249, 0.27%, 0.00%), (INTC, 2,351, 0.25%, 0.00%), (ELV, 178, 0.24%, 0.00%), (CMCSA, 1,583, 0.23%, 0.00%), (MDLZ, 761, 0.20%, 0.00%), (BMY, 977, 0.20%, 0.00%), (UPS, 488, 0.18%, 0.00%), (PYPL, 575, 0.17%, 0.00%), (CL, 424, 0.16%, 0.00%), (FDX, 150, 0.15%, 0.00%), (USB, 738, 0.15%, 0.00%), (TGT, 205, 0.09%, 0.00%), (SC9061B, nan, nan%, 0.00%), (SC9063B, nan, nan%, 0.00%), (SP9062B, nan, nan%, 0.00%), (SP9065B, nan, nan%, 0.00%), (SP9064B, nan, nan%, 0.00%), (XP9065B, nan, nan%, 0.00%)</t>
  </si>
  <si>
    <t>(META, 865, 2.64%, 0.00%), (BRK/B, 1,006, 1.98%, 0.00%), (GOOGL, 2,319, 1.90%, 0.00%), (LIN, 865, 1.69%, 0.00%), (CSCO, 6,111, 1.65%, 0.00%), (GOOG, 1,889, 1.55%, 0.00%), (TSLA, 1,158, 1.54%, 0.00%), (JPM, 1,275, 1.50%, 0.00%), (AMT, 1,754, 1.47%, 0.00%), (XOM, 3,085, 1.34%, 0.00%), (V, 949, 1.32%, 0.00%), (CB, 968, 1.08%, 0.00%), (MA, 450, 1.07%, 0.00%), (LLY, 363, 1.03%, 0.00%), (WM, 1,084, 1.01%, 0.00%), (GE, 903, 0.98%, 0.00%), (ORCL, 908, 0.87%, 0.00%), (NEE, 2,786, 0.86%, 0.00%), (NFLX, 170, 0.84%, 0.00%), (UNH, 676, 0.83%, 0.00%), (JNJ, 1,110, 0.80%, 0.00%), (WMT, 1,848, 0.75%, 0.00%), (COST, 189, 0.75%, 0.00%), (PG, 1,168, 0.75%, 0.00%), (PLTR, 1,158, 0.74%, 0.00%), (CVX, 1,173, 0.73%, 0.00%), (MCD, 552, 0.70%, 0.00%), (RTX, 1,110, 0.69%, 0.00%), (HD, 418, 0.69%, 0.00%), (ABBV, 815, 0.68%, 0.00%), (CAT, 403, 0.68%, 0.00%), (ABT, 1,274, 0.68%, 0.00%), (KO, 2,112, 0.60%, 0.00%), (BAC, 3,022, 0.59%, 0.00%), (PM, 847, 0.58%, 0.00%), (AMD, 846, 0.57%, 0.00%), (BA, 623, 0.57%, 0.00%), (BKNG, 25, 0.57%, 0.00%), (SO, 1,484, 0.57%, 0.00%), (NKE, 1,804, 0.56%, 0.00%), (CRM, 540, 0.54%, 0.00%), (DUK, 1,046, 0.53%, 0.00%), (UBER, 1,343, 0.52%, 0.00%), (IBM, 522, 0.51%, 0.00%), (ISRG, 262, 0.51%, 0.00%), (GS, 172, 0.50%, 0.00%), (MET, 1,502, 0.48%, 0.00%), (HON, 542, 0.48%, 0.00%), (WFC, 1,507, 0.47%, 0.00%), (ETN, 330, 0.47%, 0.00%), (PEP, 747, 0.46%, 0.00%), (INTU, 158, 0.45%, 0.00%), (T, 3,596, 0.42%, 0.00%), (DE, 212, 0.42%, 0.00%), (NOW, 116, 0.42%, 0.00%), (MRK, 1,166, 0.40%, 0.00%), (MS, 681, 0.40%, 0.00%), (SPGI, 174, 0.39%, 0.00%), (VZ, 2,110, 0.38%, 0.00%), (AXP, 306, 0.38%, 0.00%), (TXN, 476, 0.38%, 0.00%), (QCOM, 579, 0.37%, 0.00%), (BLK, 80, 0.37%, 0.00%), (ACN, 353, 0.36%, 0.00%), (ADBE, 249, 0.36%, 0.00%), (TMO, 176, 0.36%, 0.00%), (UNP, 387, 0.35%, 0.00%), (COP, 908, 0.35%, 0.00%), (MDT, 942, 0.34%, 0.00%), (DIS, 719, 0.34%, 0.00%), (C, 856, 0.33%, 0.00%), (SBUX, 873, 0.32%, 0.00%), (SCHW, 821, 0.32%, 0.00%), (LMT, 176, 0.32%, 0.00%), (AMGN, 248, 0.30%, 0.00%), (MMM, 454, 0.28%, 0.00%), (AMAT, 430, 0.28%, 0.00%), (GILD, 575, 0.28%, 0.00%), (PFE, 2,613, 0.27%, 0.00%), (CVS, 924, 0.27%, 0.00%), (TJX, 474, 0.26%, 0.00%), (EMR, 476, 0.25%, 0.00%), (DHR, 296, 0.25%, 0.00%), (MO, 923, 0.25%, 0.00%), (LOW, 239, 0.25%, 0.00%), (INTC, 2,249, 0.23%, 0.00%), (ELV, 170, 0.22%, 0.00%), (CMCSA, 1,515, 0.21%, 0.00%), (MDLZ, 728, 0.18%, 0.00%), (BMY, 935, 0.18%, 0.00%), (UPS, 466, 0.17%, 0.00%), (PYPL, 551, 0.15%, 0.00%), (CL, 405, 0.14%, 0.00%), (FDX, 143, 0.14%, 0.00%), (USB, 706, 0.13%, 0.00%), (TGT, 196, 0.08%, 0.00%), (SC28781H, nan, nan%, 0.00%), (SC28783H, nan, nan%, 0.00%), (SP28782H, nan, nan%, 0.00%), (SP28785B, nan, nan%, 0.00%), (SP28784H, nan, nan%, 0.00%), (XP28785B, nan, nan%, 0.00%)</t>
  </si>
  <si>
    <t>(AVGO, 1,615, 3.12%, 0.00%), (META, 574, 2.82%, 0.00%), (BRK/B, 667, 2.11%, 0.00%), (GOOGL, 1,537, 2.02%, 0.00%), (LIN, 573, 1.80%, 0.00%), (CSCO, 4,052, 1.76%, 0.00%), (GOOG, 1,252, 1.66%, 0.00%), (TSLA, 768, 1.65%, 0.00%), (JPM, 845, 1.60%, 0.00%), (AMT, 1,163, 1.57%, 0.00%), (XOM, 2,045, 1.43%, 0.00%), (V, 629, 1.41%, 0.00%), (CB, 642, 1.15%, 0.00%), (MA, 298, 1.14%, 0.00%), (LLY, 241, 1.10%, 0.00%), (WM, 719, 1.08%, 0.00%), (GE, 598, 1.04%, 0.00%), (ORCL, 602, 0.92%, 0.00%), (NEE, 1,847, 0.92%, 0.00%), (NFLX, 112, 0.89%, 0.00%), (UNH, 448, 0.89%, 0.00%), (JNJ, 736, 0.86%, 0.00%), (WMT, 1,225, 0.81%, 0.00%), (COST, 125, 0.80%, 0.00%), (PG, 774, 0.80%, 0.00%), (PLTR, 768, 0.79%, 0.00%), (CVX, 778, 0.77%, 0.00%), (MCD, 366, 0.74%, 0.00%), (RTX, 736, 0.74%, 0.00%), (HD, 277, 0.73%, 0.00%), (ABBV, 540, 0.73%, 0.00%), (ABT, 844, 0.72%, 0.00%), (CAT, 267, 0.72%, 0.00%), (KO, 1,400, 0.64%, 0.00%), (BAC, 2,004, 0.63%, 0.00%), (BKNG, 17, 0.62%, 0.00%), (PM, 562, 0.62%, 0.00%), (AMD, 561, 0.61%, 0.00%), (BA, 413, 0.61%, 0.00%), (SO, 984, 0.61%, 0.00%), (NKE, 1,196, 0.60%, 0.00%), (CRM, 358, 0.57%, 0.00%), (DUK, 694, 0.56%, 0.00%), (UBER, 890, 0.55%, 0.00%), (IBM, 346, 0.54%, 0.00%), (ISRG, 173, 0.54%, 0.00%), (GS, 114, 0.54%, 0.00%), (MET, 996, 0.51%, 0.00%), (HON, 360, 0.51%, 0.00%), (WFC, 999, 0.51%, 0.00%), (ETN, 219, 0.50%, 0.00%), (PEP, 496, 0.49%, 0.00%), (INTU, 105, 0.48%, 0.00%), (DE, 141, 0.45%, 0.00%), (T, 2,384, 0.45%, 0.00%), (NOW, 77, 0.45%, 0.00%), (MRK, 773, 0.43%, 0.00%), (MS, 452, 0.43%, 0.00%), (SPGI, 116, 0.42%, 0.00%), (VZ, 1,399, 0.41%, 0.00%), (AXP, 203, 0.40%, 0.00%), (TXN, 315, 0.40%, 0.00%), (QCOM, 384, 0.39%, 0.00%), (BLK, 53, 0.39%, 0.00%), (ADBE, 165, 0.39%, 0.00%), (ACN, 234, 0.39%, 0.00%), (TMO, 117, 0.38%, 0.00%), (UNP, 256, 0.37%, 0.00%), (COP, 602, 0.37%, 0.00%), (MDT, 624, 0.37%, 0.00%), (DIS, 476, 0.36%, 0.00%), (C, 568, 0.35%, 0.00%), (SBUX, 579, 0.34%, 0.00%), (SCHW, 544, 0.34%, 0.00%), (LMT, 117, 0.34%, 0.00%), (AMGN, 164, 0.32%, 0.00%), (MMM, 301, 0.30%, 0.00%), (AMAT, 285, 0.30%, 0.00%), (GILD, 381, 0.29%, 0.00%), (PFE, 1,732, 0.29%, 0.00%), (CVS, 613, 0.28%, 0.00%), (TJX, 314, 0.27%, 0.00%), (DHR, 197, 0.27%, 0.00%), (EMR, 315, 0.27%, 0.00%), (MO, 612, 0.27%, 0.00%), (LOW, 158, 0.27%, 0.00%), (INTC, 1,491, 0.24%, 0.00%), (ELV, 113, 0.23%, 0.00%), (CMCSA, 1,004, 0.22%, 0.00%), (MDLZ, 483, 0.20%, 0.00%), (BMY, 620, 0.20%, 0.00%), (UPS, 309, 0.18%, 0.00%), (PYPL, 365, 0.16%, 0.00%), (CL, 269, 0.15%, 0.00%), (FDX, 95, 0.15%, 0.00%), (USB, 468, 0.14%, 0.00%), (TGT, 130, 0.09%, 0.00%), (SC8071B, nan, nan%, 0.00%), (SC8073B, nan, nan%, 0.00%), (SP8072B, nan, nan%, 0.00%), (SP8075B, nan, nan%, 0.00%), (SP8074B, nan, nan%, 0.00%), (XP8075B, nan, nan%, 0.00%)</t>
  </si>
  <si>
    <t>(META, 5,982, 2.70%, 0.00%), (BRK/B, 6,959, 2.02%, 0.00%), (GOOGL, 16,033, 1.94%, 0.00%), (LIN, 5,979, 1.72%, 0.00%), (CSCO, 42,258, 1.69%, 0.00%), (GOOG, 13,060, 1.58%, 0.00%), (TSLA, 8,005, 1.57%, 0.00%), (JPM, 8,813, 1.53%, 0.00%), (AMT, 12,129, 1.50%, 0.00%), (XOM, 21,331, 1.37%, 0.00%), (V, 6,561, 1.35%, 0.00%), (CB, 6,694, 1.10%, 0.00%), (MA, 3,112, 1.09%, 0.00%), (LLY, 2,512, 1.06%, 0.00%), (WM, 7,498, 1.03%, 0.00%), (GE, 6,241, 0.99%, 0.00%), (ORCL, 6,279, 0.88%, 0.00%), (NEE, 19,261, 0.88%, 0.00%), (NFLX, 1,173, 0.85%, 0.00%), (UNH, 4,672, 0.85%, 0.00%), (JNJ, 7,676, 0.82%, 0.00%), (WMT, 12,778, 0.77%, 0.00%), (COST, 1,304, 0.76%, 0.00%), (PG, 8,077, 0.76%, 0.00%), (PLTR, 8,008, 0.76%, 0.00%), (CVX, 8,112, 0.74%, 0.00%), (MCD, 3,816, 0.71%, 0.00%), (RTX, 7,676, 0.71%, 0.00%), (HD, 2,888, 0.70%, 0.00%), (ABBV, 5,634, 0.70%, 0.00%), (ABT, 8,806, 0.69%, 0.00%), (CAT, 2,784, 0.69%, 0.00%), (KO, 14,604, 0.61%, 0.00%), (BAC, 20,895, 0.60%, 0.00%), (PM, 5,857, 0.59%, 0.00%), (AMD, 5,851, 0.58%, 0.00%), (BA, 4,311, 0.58%, 0.00%), (BKNG, 176, 0.58%, 0.00%), (SO, 10,263, 0.58%, 0.00%), (NKE, 12,476, 0.57%, 0.00%), (CRM, 3,735, 0.55%, 0.00%), (DUK, 7,235, 0.54%, 0.00%), (UBER, 9,286, 0.53%, 0.00%), (IBM, 3,612, 0.52%, 0.00%), (ISRG, 1,808, 0.52%, 0.00%), (GS, 1,192, 0.52%, 0.00%), (MET, 10,386, 0.49%, 0.00%), (HON, 3,750, 0.49%, 0.00%), (WFC, 10,422, 0.48%, 0.00%), (ETN, 2,279, 0.48%, 0.00%), (PEP, 5,168, 0.47%, 0.00%), (INTU, 1,095, 0.46%, 0.00%), (T, 24,868, 0.43%, 0.00%), (DE, 1,467, 0.43%, 0.00%), (NOW, 805, 0.43%, 0.00%), (MRK, 8,065, 0.41%, 0.00%), (MS, 4,710, 0.41%, 0.00%), (SPGI, 1,206, 0.40%, 0.00%), (VZ, 14,590, 0.39%, 0.00%), (AXP, 2,113, 0.39%, 0.00%), (TXN, 3,289, 0.38%, 0.00%), (QCOM, 4,006, 0.37%, 0.00%), (BLK, 553, 0.37%, 0.00%), (ACN, 2,441, 0.37%, 0.00%), (ADBE, 1,720, 0.37%, 0.00%), (TMO, 1,220, 0.36%, 0.00%), (UNP, 2,673, 0.36%, 0.00%), (COP, 6,278, 0.35%, 0.00%), (MDT, 6,511, 0.35%, 0.00%), (DIS, 4,969, 0.35%, 0.00%), (C, 5,920, 0.33%, 0.00%), (SBUX, 6,037, 0.33%, 0.00%), (SCHW, 5,676, 0.33%, 0.00%), (LMT, 1,217, 0.32%, 0.00%), (AMGN, 1,714, 0.30%, 0.00%), (MMM, 3,140, 0.29%, 0.00%), (AMAT, 2,972, 0.29%, 0.00%), (GILD, 3,973, 0.28%, 0.00%), (PFE, 18,068, 0.27%, 0.00%), (CVS, 6,389, 0.27%, 0.00%), (TJX, 3,279, 0.26%, 0.00%), (DHR, 2,049, 0.26%, 0.00%), (EMR, 3,288, 0.26%, 0.00%), (MO, 6,384, 0.25%, 0.00%), (LOW, 1,649, 0.25%, 0.00%), (INTC, 15,551, 0.23%, 0.00%), (ELV, 1,177, 0.22%, 0.00%), (CMCSA, 10,474, 0.21%, 0.00%), (MDLZ, 5,037, 0.19%, 0.00%), (BMY, 6,466, 0.19%, 0.00%), (UPS, 3,225, 0.17%, 0.00%), (PYPL, 3,807, 0.16%, 0.00%), (CL, 2,802, 0.14%, 0.00%), (FDX, 991, 0.14%, 0.00%), (USB, 4,883, 0.14%, 0.00%), (TGT, 1,356, 0.08%, 0.00%), (SC26771B, nan, nan%, 0.00%), (SC26773B, nan, nan%, 0.00%), (SP26772B, nan, nan%, 0.00%), (SP26774B, nan, nan%, 0.00%), (SP26775T, nan, nan%, 0.00%), (XP26775T, nan, nan%, 0.00%)</t>
  </si>
  <si>
    <t>(AVGO, 14,578, 3.18%, 0.00%), (META, 5,178, 2.88%, 0.00%), (BRK/B, 6,025, 2.15%, 0.00%), (GOOGL, 13,879, 2.07%, 0.00%), (LIN, 5,175, 1.84%, 0.00%), (CSCO, 36,581, 1.80%, 0.00%), (GOOG, 11,305, 1.69%, 0.00%), (TSLA, 6,929, 1.68%, 0.00%), (JPM, 7,629, 1.64%, 0.00%), (AMT, 10,500, 1.61%, 0.00%), (XOM, 18,466, 1.46%, 0.00%), (V, 5,680, 1.44%, 0.00%), (CB, 5,795, 1.17%, 0.00%), (MA, 2,694, 1.16%, 0.00%), (LLY, 2,175, 1.13%, 0.00%), (WM, 6,491, 1.10%, 0.00%), (GE, 5,403, 1.06%, 0.00%), (ORCL, 5,435, 0.94%, 0.00%), (NEE, 16,673, 0.94%, 0.00%), (NFLX, 1,015, 0.91%, 0.00%), (UNH, 4,045, 0.91%, 0.00%), (JNJ, 6,645, 0.87%, 0.00%), (WMT, 11,061, 0.82%, 0.00%), (COST, 1,129, 0.82%, 0.00%), (PG, 6,992, 0.81%, 0.00%), (PLTR, 6,932, 0.81%, 0.00%), (CVX, 7,022, 0.79%, 0.00%), (MCD, 3,304, 0.76%, 0.00%), (RTX, 6,645, 0.75%, 0.00%), (HD, 2,500, 0.75%, 0.00%), (ABBV, 4,877, 0.74%, 0.00%), (ABT, 7,623, 0.74%, 0.00%), (CAT, 2,410, 0.74%, 0.00%), (KO, 12,642, 0.65%, 0.00%), (BAC, 18,088, 0.64%, 0.00%), (BKNG, 153, 0.63%, 0.00%), (PM, 5,070, 0.63%, 0.00%), (AMD, 5,065, 0.62%, 0.00%), (BA, 3,732, 0.62%, 0.00%), (SO, 8,884, 0.62%, 0.00%), (NKE, 10,800, 0.61%, 0.00%), (CRM, 3,233, 0.58%, 0.00%), (DUK, 6,263, 0.57%, 0.00%), (UBER, 8,038, 0.56%, 0.00%), (IBM, 3,127, 0.56%, 0.00%), (ISRG, 1,565, 0.55%, 0.00%), (GS, 1,032, 0.55%, 0.00%), (MET, 8,990, 0.52%, 0.00%), (HON, 3,246, 0.52%, 0.00%), (WFC, 9,022, 0.52%, 0.00%), (ETN, 1,973, 0.51%, 0.00%), (PEP, 4,474, 0.50%, 0.00%), (INTU, 948, 0.49%, 0.00%), (T, 21,527, 0.46%, 0.00%), (DE, 1,270, 0.46%, 0.00%), (NOW, 697, 0.45%, 0.00%), (MRK, 6,982, 0.44%, 0.00%), (MS, 4,077, 0.43%, 0.00%), (SPGI, 1,044, 0.43%, 0.00%), (VZ, 12,630, 0.42%, 0.00%), (AXP, 1,829, 0.41%, 0.00%), (TXN, 2,847, 0.41%, 0.00%), (QCOM, 3,468, 0.40%, 0.00%), (BLK, 479, 0.40%, 0.00%), (ACN, 2,113, 0.40%, 0.00%), (ADBE, 1,489, 0.40%, 0.00%), (TMO, 1,056, 0.39%, 0.00%), (UNP, 2,314, 0.38%, 0.00%), (COP, 5,435, 0.38%, 0.00%), (MDT, 5,636, 0.37%, 0.00%), (DIS, 4,302, 0.37%, 0.00%), (C, 5,125, 0.35%, 0.00%), (SBUX, 5,226, 0.35%, 0.00%), (SCHW, 4,913, 0.35%, 0.00%), (LMT, 1,053, 0.34%, 0.00%), (AMGN, 1,484, 0.32%, 0.00%), (MMM, 2,719, 0.31%, 0.00%), (AMAT, 2,573, 0.31%, 0.00%), (GILD, 3,440, 0.30%, 0.00%), (PFE, 15,640, 0.29%, 0.00%), (CVS, 5,531, 0.29%, 0.00%), (TJX, 2,838, 0.28%, 0.00%), (DHR, 1,774, 0.28%, 0.00%), (EMR, 2,847, 0.28%, 0.00%), (MO, 5,526, 0.27%, 0.00%), (LOW, 1,428, 0.27%, 0.00%), (INTC, 13,462, 0.25%, 0.00%), (ELV, 1,019, 0.24%, 0.00%), (CMCSA, 9,067, 0.23%, 0.00%), (MDLZ, 4,360, 0.20%, 0.00%), (BMY, 5,598, 0.20%, 0.00%), (UPS, 2,792, 0.18%, 0.00%), (PYPL, 3,295, 0.17%, 0.00%), (CL, 2,426, 0.15%, 0.00%), (FDX, 858, 0.15%, 0.00%), (USB, 4,227, 0.14%, 0.00%), (TGT, 1,174, 0.09%, 0.00%), (SC23471B, nan, nan%, 0.00%), (SC23473B, nan, nan%, 0.00%), (SP23472B, nan, nan%, 0.00%), (SP23475B, nan, nan%, 0.00%), (SP23474B, nan, nan%, 0.00%), (XP23475B, nan, nan%, 0.00%)</t>
  </si>
  <si>
    <t>(AVGO, 10,861, 3.16%, 0.00%), (META, 3,858, 2.87%, 0.00%), (BRK/B, 4,489, 2.14%, 0.00%), (GOOGL, 10,341, 2.06%, 0.00%), (LIN, 3,856, 1.83%, 0.00%), (CSCO, 27,255, 1.79%, 0.00%), (GOOG, 8,423, 1.68%, 0.00%), (TSLA, 5,163, 1.67%, 0.00%), (JPM, 5,684, 1.63%, 0.00%), (AMT, 7,823, 1.60%, 0.00%), (XOM, 13,758, 1.46%, 0.00%), (V, 4,232, 1.43%, 0.00%), (CB, 4,317, 1.17%, 0.00%), (MA, 2,007, 1.16%, 0.00%), (LLY, 1,620, 1.12%, 0.00%), (WM, 4,836, 1.09%, 0.00%), (GE, 4,026, 1.06%, 0.00%), (ORCL, 4,050, 0.94%, 0.00%), (NEE, 12,423, 0.94%, 0.00%), (NFLX, 757, 0.91%, 0.00%), (UNH, 3,013, 0.90%, 0.00%), (JNJ, 4,951, 0.87%, 0.00%), (WMT, 8,241, 0.82%, 0.00%), (COST, 841, 0.81%, 0.00%), (PG, 5,209, 0.81%, 0.00%), (PLTR, 5,165, 0.81%, 0.00%), (CVX, 5,232, 0.79%, 0.00%), (MCD, 2,461, 0.75%, 0.00%), (RTX, 4,951, 0.75%, 0.00%), (HD, 1,862, 0.75%, 0.00%), (ABBV, 3,634, 0.74%, 0.00%), (CAT, 1,796, 0.74%, 0.00%), (ABT, 5,679, 0.74%, 0.00%), (KO, 9,419, 0.65%, 0.00%), (BAC, 13,477, 0.64%, 0.00%), (BKNG, 114, 0.63%, 0.00%), (PM, 3,777, 0.63%, 0.00%), (AMD, 3,774, 0.62%, 0.00%), (BA, 2,781, 0.62%, 0.00%), (SO, 6,619, 0.62%, 0.00%), (NKE, 8,047, 0.61%, 0.00%), (CRM, 2,409, 0.58%, 0.00%), (DUK, 4,667, 0.57%, 0.00%), (UBER, 5,989, 0.56%, 0.00%), (IBM, 2,330, 0.55%, 0.00%), (ISRG, 1,166, 0.55%, 0.00%), (GS, 769, 0.55%, 0.00%), (MET, 6,698, 0.52%, 0.00%), (HON, 2,419, 0.52%, 0.00%), (WFC, 6,722, 0.51%, 0.00%), (ETN, 1,470, 0.51%, 0.00%), (PEP, 3,333, 0.50%, 0.00%), (INTU, 706, 0.49%, 0.00%), (T, 16,039, 0.46%, 0.00%), (DE, 946, 0.46%, 0.00%), (NOW, 519, 0.45%, 0.00%), (MRK, 5,202, 0.43%, 0.00%), (MS, 3,038, 0.43%, 0.00%), (SPGI, 778, 0.43%, 0.00%), (VZ, 9,410, 0.42%, 0.00%), (AXP, 1,363, 0.41%, 0.00%), (TXN, 2,121, 0.41%, 0.00%), (QCOM, 2,584, 0.40%, 0.00%), (BLK, 357, 0.40%, 0.00%), (ADBE, 1,109, 0.39%, 0.00%), (ACN, 1,574, 0.39%, 0.00%), (TMO, 787, 0.39%, 0.00%), (UNP, 1,724, 0.38%, 0.00%), (COP, 4,049, 0.38%, 0.00%), (MDT, 4,199, 0.37%, 0.00%), (DIS, 3,205, 0.37%, 0.00%), (C, 3,818, 0.35%, 0.00%), (SBUX, 3,893, 0.35%, 0.00%), (SCHW, 3,661, 0.35%, 0.00%), (LMT, 785, 0.34%, 0.00%), (AMGN, 1,105, 0.32%, 0.00%), (MMM, 2,025, 0.31%, 0.00%), (AMAT, 1,917, 0.31%, 0.00%), (GILD, 2,563, 0.30%, 0.00%), (PFE, 11,653, 0.29%, 0.00%), (CVS, 4,121, 0.29%, 0.00%), (TJX, 2,115, 0.28%, 0.00%), (DHR, 1,322, 0.28%, 0.00%), (EMR, 2,121, 0.28%, 0.00%), (MO, 4,117, 0.27%, 0.00%), (LOW, 1,064, 0.27%, 0.00%), (INTC, 10,030, 0.25%, 0.00%), (ELV, 759, 0.23%, 0.00%), (CMCSA, 6,756, 0.23%, 0.00%), (MDLZ, 3,249, 0.20%, 0.00%), (BMY, 4,171, 0.20%, 0.00%), (UPS, 2,080, 0.18%, 0.00%), (PYPL, 2,455, 0.17%, 0.00%), (CL, 1,807, 0.15%, 0.00%), (FDX, 639, 0.15%, 0.00%), (USB, 3,149, 0.14%, 0.00%), (TGT, 875, 0.09%, 0.00%), (SC22171B, nan, nan%, 0.00%), (SC22173B, nan, nan%, 0.00%), (SP22172B, nan, nan%, 0.00%), (SP22175B, nan, nan%, 0.00%), (SP22174B, nan, nan%, 0.00%), (XP22175B, nan, nan%, 0.00%)</t>
  </si>
  <si>
    <t>(META, 1,456, 2.73%, 0.00%), (BRK/B, 1,694, 2.04%, 0.00%), (GOOGL, 3,904, 1.96%, 0.00%), (LIN, 1,456, 1.74%, 0.00%), (CSCO, 10,288, 1.71%, 0.00%), (GOOG, 3,180, 1.60%, 0.00%), (TSLA, 1,949, 1.59%, 0.00%), (JPM, 2,146, 1.55%, 0.00%), (AMT, 2,953, 1.52%, 0.00%), (XOM, 5,194, 1.39%, 0.00%), (V, 1,597, 1.36%, 0.00%), (CB, 1,630, 1.11%, 0.00%), (MA, 758, 1.10%, 0.00%), (LLY, 612, 1.07%, 0.00%), (WM, 1,826, 1.04%, 0.00%), (GE, 1,520, 1.01%, 0.00%), (ORCL, 1,529, 0.89%, 0.00%), (NEE, 4,689, 0.89%, 0.00%), (NFLX, 286, 0.86%, 0.00%), (UNH, 1,138, 0.86%, 0.00%), (JNJ, 1,869, 0.83%, 0.00%), (WMT, 3,111, 0.78%, 0.00%), (COST, 318, 0.77%, 0.00%), (PG, 1,966, 0.77%, 0.00%), (PLTR, 1,950, 0.77%, 0.00%), (CVX, 1,975, 0.75%, 0.00%), (MCD, 929, 0.72%, 0.00%), (RTX, 1,869, 0.72%, 0.00%), (HD, 703, 0.71%, 0.00%), (ABBV, 1,372, 0.70%, 0.00%), (ABT, 2,144, 0.70%, 0.00%), (CAT, 678, 0.70%, 0.00%), (KO, 3,556, 0.62%, 0.00%), (BAC, 5,087, 0.61%, 0.00%), (BKNG, 43, 0.60%, 0.00%), (PM, 1,426, 0.60%, 0.00%), (AMD, 1,425, 0.59%, 0.00%), (BA, 1,050, 0.59%, 0.00%), (SO, 2,499, 0.59%, 0.00%), (NKE, 3,038, 0.58%, 0.00%), (CRM, 909, 0.55%, 0.00%), (DUK, 1,762, 0.54%, 0.00%), (UBER, 2,261, 0.53%, 0.00%), (IBM, 879, 0.53%, 0.00%), (ISRG, 440, 0.52%, 0.00%), (GS, 290, 0.52%, 0.00%), (MET, 2,529, 0.50%, 0.00%), (HON, 913, 0.49%, 0.00%), (WFC, 2,537, 0.49%, 0.00%), (ETN, 555, 0.48%, 0.00%), (PEP, 1,258, 0.48%, 0.00%), (INTU, 267, 0.46%, 0.00%), (T, 6,055, 0.44%, 0.00%), (DE, 357, 0.43%, 0.00%), (NOW, 196, 0.43%, 0.00%), (MRK, 1,964, 0.41%, 0.00%), (MS, 1,147, 0.41%, 0.00%), (SPGI, 294, 0.41%, 0.00%), (VZ, 3,552, 0.40%, 0.00%), (AXP, 514, 0.39%, 0.00%), (TXN, 801, 0.39%, 0.00%), (BLK, 135, 0.38%, 0.00%), (QCOM, 975, 0.38%, 0.00%), (ACN, 594, 0.38%, 0.00%), (ADBE, 419, 0.38%, 0.00%), (TMO, 297, 0.37%, 0.00%), (UNP, 651, 0.36%, 0.00%), (COP, 1,529, 0.36%, 0.00%), (MDT, 1,585, 0.36%, 0.00%), (DIS, 1,210, 0.35%, 0.00%), (C, 1,441, 0.34%, 0.00%), (SBUX, 1,470, 0.33%, 0.00%), (SCHW, 1,382, 0.33%, 0.00%), (LMT, 296, 0.32%, 0.00%), (AMGN, 417, 0.31%, 0.00%), (MMM, 765, 0.29%, 0.00%), (AMAT, 724, 0.29%, 0.00%), (GILD, 967, 0.28%, 0.00%), (PFE, 4,399, 0.28%, 0.00%), (CVS, 1,555, 0.27%, 0.00%), (TJX, 798, 0.27%, 0.00%), (DHR, 499, 0.26%, 0.00%), (EMR, 801, 0.26%, 0.00%), (MO, 1,554, 0.26%, 0.00%), (LOW, 402, 0.26%, 0.00%), (INTC, 3,786, 0.24%, 0.00%), (ELV, 287, 0.22%, 0.00%), (CMCSA, 2,550, 0.21%, 0.00%), (MDLZ, 1,226, 0.19%, 0.00%), (BMY, 1,574, 0.19%, 0.00%), (UPS, 785, 0.17%, 0.00%), (PYPL, 927, 0.16%, 0.00%), (CL, 682, 0.15%, 0.00%), (FDX, 241, 0.14%, 0.00%), (USB, 1,189, 0.14%, 0.00%), (TGT, 330, 0.09%, 0.00%), (SC28181B, nan, nan%, 0.00%), (SC28183B, nan, nan%, 0.00%), (SP28182B, nan, nan%, 0.00%), (SP28185B, nan, nan%, 0.00%), (SP28184B, nan, nan%, 0.00%), (XP28185B, nan, nan%, 0.00%)</t>
  </si>
  <si>
    <t>(AVGO, 4,466, 3.05%, 0.00%), (META, 1,587, 2.76%, 0.00%), (BRK/B, 1,846, 2.07%, 0.00%), (GOOGL, 4,252, 1.98%, 0.00%), (LIN, 1,586, 1.76%, 0.00%), (CSCO, 11,208, 1.73%, 0.00%), (GOOG, 3,464, 1.62%, 0.00%), (TSLA, 2,123, 1.61%, 0.00%), (JPM, 2,337, 1.57%, 0.00%), (AMT, 3,217, 1.54%, 0.00%), (XOM, 5,658, 1.41%, 0.00%), (V, 1,740, 1.38%, 0.00%), (CB, 1,775, 1.13%, 0.00%), (MA, 825, 1.12%, 0.00%), (LLY, 666, 1.08%, 0.00%), (WM, 1,989, 1.05%, 0.00%), (GE, 1,655, 1.02%, 0.00%), (ORCL, 1,665, 0.91%, 0.00%), (NEE, 5,108, 0.90%, 0.00%), (NFLX, 311, 0.87%, 0.00%), (UNH, 1,239, 0.87%, 0.00%), (JNJ, 2,036, 0.84%, 0.00%), (WMT, 3,389, 0.79%, 0.00%), (COST, 346, 0.78%, 0.00%), (PG, 2,142, 0.78%, 0.00%), (PLTR, 2,124, 0.78%, 0.00%), (CVX, 2,151, 0.76%, 0.00%), (MCD, 1,012, 0.73%, 0.00%), (RTX, 2,036, 0.72%, 0.00%), (HD, 766, 0.72%, 0.00%), (ABBV, 1,494, 0.71%, 0.00%), (ABT, 2,335, 0.71%, 0.00%), (CAT, 738, 0.71%, 0.00%), (KO, 3,873, 0.63%, 0.00%), (BAC, 5,542, 0.61%, 0.00%), (BKNG, 47, 0.61%, 0.00%), (PM, 1,553, 0.61%, 0.00%), (AMD, 1,552, 0.60%, 0.00%), (BA, 1,143, 0.60%, 0.00%), (SO, 2,722, 0.59%, 0.00%), (NKE, 3,309, 0.59%, 0.00%), (CRM, 991, 0.56%, 0.00%), (DUK, 1,919, 0.55%, 0.00%), (UBER, 2,463, 0.54%, 0.00%), (IBM, 958, 0.53%, 0.00%), (ISRG, 480, 0.53%, 0.00%), (GS, 316, 0.53%, 0.00%), (MET, 2,754, 0.50%, 0.00%), (HON, 995, 0.50%, 0.00%), (WFC, 2,764, 0.50%, 0.00%), (ETN, 604, 0.49%, 0.00%), (PEP, 1,371, 0.48%, 0.00%), (INTU, 290, 0.47%, 0.00%), (T, 6,595, 0.44%, 0.00%), (DE, 389, 0.44%, 0.00%), (NOW, 213, 0.43%, 0.00%), (MRK, 2,139, 0.42%, 0.00%), (MS, 1,249, 0.42%, 0.00%), (SPGI, 320, 0.41%, 0.00%), (VZ, 3,869, 0.40%, 0.00%), (AXP, 560, 0.40%, 0.00%), (TXN, 872, 0.39%, 0.00%), (BLK, 147, 0.38%, 0.00%), (QCOM, 1,062, 0.38%, 0.00%), (ADBE, 456, 0.38%, 0.00%), (ACN, 647, 0.38%, 0.00%), (TMO, 323, 0.37%, 0.00%), (UNP, 709, 0.37%, 0.00%), (COP, 1,665, 0.36%, 0.00%), (MDT, 1,727, 0.36%, 0.00%), (DIS, 1,318, 0.35%, 0.00%), (C, 1,570, 0.34%, 0.00%), (SBUX, 1,601, 0.34%, 0.00%), (SCHW, 1,505, 0.33%, 0.00%), (LMT, 323, 0.33%, 0.00%), (AMGN, 455, 0.31%, 0.00%), (MMM, 833, 0.30%, 0.00%), (AMAT, 788, 0.30%, 0.00%), (GILD, 1,054, 0.29%, 0.00%), (PFE, 4,792, 0.28%, 0.00%), (CVS, 1,694, 0.28%, 0.00%), (TJX, 870, 0.27%, 0.00%), (DHR, 544, 0.27%, 0.00%), (EMR, 872, 0.27%, 0.00%), (MO, 1,693, 0.26%, 0.00%), (LOW, 437, 0.26%, 0.00%), (INTC, 4,124, 0.24%, 0.00%), (ELV, 312, 0.23%, 0.00%), (CMCSA, 2,778, 0.22%, 0.00%), (MDLZ, 1,336, 0.19%, 0.00%), (BMY, 1,715, 0.19%, 0.00%), (UPS, 855, 0.17%, 0.00%), (PYPL, 1,010, 0.16%, 0.00%), (CL, 743, 0.15%, 0.00%), (FDX, 263, 0.14%, 0.00%), (USB, 1,295, 0.14%, 0.00%), (TGT, 360, 0.09%, 0.00%), (SC13481B, nan, nan%, 0.00%), (SC13483B, nan, nan%, 0.00%), (SP13482B, nan, nan%, 0.00%), (SP13485B, nan, nan%, 0.00%), (SP13484B, nan, nan%, 0.00%), (XP13485B, nan, nan%, 0.00%)</t>
  </si>
  <si>
    <t>(AVGO, 8,398, 3.16%, 0.00%), (META, 2,983, 2.86%, 0.00%), (BRK/B, 3,471, 2.14%, 0.00%), (GOOGL, 7,996, 2.06%, 0.00%), (LIN, 2,982, 1.83%, 0.00%), (CSCO, 21,074, 1.79%, 0.00%), (GOOG, 6,513, 1.68%, 0.00%), (TSLA, 3,992, 1.67%, 0.00%), (JPM, 4,395, 1.63%, 0.00%), (AMT, 6,049, 1.60%, 0.00%), (XOM, 10,638, 1.46%, 0.00%), (V, 3,272, 1.43%, 0.00%), (CB, 3,338, 1.17%, 0.00%), (MA, 1,552, 1.16%, 0.00%), (LLY, 1,253, 1.12%, 0.00%), (WM, 3,739, 1.09%, 0.00%), (GE, 3,113, 1.06%, 0.00%), (ORCL, 3,131, 0.94%, 0.00%), (NEE, 9,606, 0.94%, 0.00%), (NFLX, 585, 0.91%, 0.00%), (UNH, 2,330, 0.90%, 0.00%), (JNJ, 3,828, 0.87%, 0.00%), (WMT, 6,372, 0.82%, 0.00%), (COST, 650, 0.81%, 0.00%), (PG, 4,028, 0.81%, 0.00%), (PLTR, 3,994, 0.80%, 0.00%), (CVX, 4,045, 0.79%, 0.00%), (MCD, 1,903, 0.75%, 0.00%), (RTX, 3,828, 0.75%, 0.00%), (HD, 1,440, 0.75%, 0.00%), (ABBV, 2,810, 0.74%, 0.00%), (CAT, 1,389, 0.74%, 0.00%), (ABT, 4,391, 0.74%, 0.00%), (KO, 7,283, 0.65%, 0.00%), (BAC, 10,421, 0.64%, 0.00%), (BKNG, 88, 0.63%, 0.00%), (PM, 2,921, 0.63%, 0.00%), (AMD, 2,918, 0.62%, 0.00%), (BA, 2,150, 0.62%, 0.00%), (SO, 5,118, 0.61%, 0.00%), (NKE, 6,222, 0.61%, 0.00%), (CRM, 1,863, 0.58%, 0.00%), (DUK, 3,608, 0.57%, 0.00%), (UBER, 4,631, 0.56%, 0.00%), (IBM, 1,801, 0.55%, 0.00%), (ISRG, 902, 0.55%, 0.00%), (GS, 594, 0.55%, 0.00%), (MET, 5,179, 0.52%, 0.00%), (HON, 1,870, 0.52%, 0.00%), (WFC, 5,198, 0.51%, 0.00%), (ETN, 1,137, 0.51%, 0.00%), (PEP, 2,577, 0.50%, 0.00%), (INTU, 546, 0.49%, 0.00%), (T, 12,402, 0.46%, 0.00%), (DE, 732, 0.46%, 0.00%), (NOW, 401, 0.45%, 0.00%), (MRK, 4,022, 0.43%, 0.00%), (MS, 2,349, 0.43%, 0.00%), (SPGI, 601, 0.43%, 0.00%), (VZ, 7,276, 0.42%, 0.00%), (AXP, 1,054, 0.41%, 0.00%), (TXN, 1,640, 0.41%, 0.00%), (QCOM, 1,998, 0.40%, 0.00%), (BLK, 276, 0.40%, 0.00%), (ACN, 1,217, 0.39%, 0.00%), (ADBE, 858, 0.39%, 0.00%), (TMO, 608, 0.39%, 0.00%), (UNP, 1,333, 0.38%, 0.00%), (COP, 3,131, 0.37%, 0.00%), (MDT, 3,247, 0.37%, 0.00%), (DIS, 2,478, 0.37%, 0.00%), (C, 2,952, 0.35%, 0.00%), (SBUX, 3,010, 0.35%, 0.00%), (SCHW, 2,831, 0.35%, 0.00%), (LMT, 607, 0.34%, 0.00%), (AMGN, 855, 0.32%, 0.00%), (MMM, 1,566, 0.31%, 0.00%), (AMAT, 1,482, 0.31%, 0.00%), (GILD, 1,982, 0.30%, 0.00%), (PFE, 9,011, 0.29%, 0.00%), (CVS, 3,186, 0.29%, 0.00%), (TJX, 1,635, 0.28%, 0.00%), (DHR, 1,022, 0.28%, 0.00%), (EMR, 1,640, 0.28%, 0.00%), (MO, 3,184, 0.27%, 0.00%), (LOW, 822, 0.27%, 0.00%), (INTC, 7,755, 0.25%, 0.00%), (ELV, 587, 0.23%, 0.00%), (CMCSA, 5,224, 0.23%, 0.00%), (MDLZ, 2,512, 0.20%, 0.00%), (BMY, 3,225, 0.20%, 0.00%), (UPS, 1,608, 0.18%, 0.00%), (PYPL, 1,898, 0.17%, 0.00%), (CL, 1,397, 0.15%, 0.00%), (FDX, 494, 0.15%, 0.00%), (USB, 2,435, 0.14%, 0.00%), (TGT, 676, 0.09%, 0.00%), (SC26771B, nan, nan%, 0.00%), (SC26773B, nan, nan%, 0.00%), (SP26772B, nan, nan%, 0.00%), (SP26775B, nan, nan%, 0.00%), (SP26774B, nan, nan%, 0.00%), (XP26775B, nan, nan%, 0.00%)</t>
  </si>
  <si>
    <t>EBAY, META, BK, MSFT, GOOGL, MLI, EA, JPM, BKNG, BLK, RJF, PHM</t>
  </si>
  <si>
    <t>(HIG, 7,715, 1.89%, 0.00%), (EWBC, 9,960, 1.85%, 0.01%), (TRV, 3,666, 1.84%, 0.00%), (AXP, 3,250, 1.84%, 0.00%), (V, 2,881, 1.81%, 0.00%), (ADP, 3,078, 1.74%, 0.00%), (NVDA, 5,383, 1.73%, 0.00%), (ROST, 6,419, 1.72%, 0.00%), (SNA, 2,873, 1.70%, 0.01%), (CB, 3,251, 1.66%, 0.00%), (UNM, 12,962, 1.65%, 0.01%), (KLAC, 1,019, 1.64%, 0.00%), (PCAR, 9,112, 1.64%, 0.00%), (AMAT, 5,520, 1.63%, 0.00%), (LEN, 6,802, 1.62%, 0.00%), (SYF, 12,032, 1.58%, 0.00%), (CTSH, 11,645, 1.50%, 0.00%), (CRM, 3,301, 1.49%, 0.00%), (WSM, 4,074, 1.49%, 0.00%), (PAYC, 3,525, 1.46%, 0.01%), (DHI, 4,520, 1.35%, 0.00%), (BKR, 17,137, 1.34%, 0.00%), (QCOM, 4,648, 1.32%, 0.00%), (ACN, 2,746, 1.28%, 0.00%), (AFL, 6,365, 1.26%, 0.00%), (ELV, 2,207, 1.25%, 0.00%), (AAPL, 3,001, 1.24%, 0.00%), (MPWR, 735, 1.11%, 0.00%), (ODFL, 3,948, 1.09%, 0.00%), (LRCX, 5,936, 1.08%, 0.00%), (CSCO, 8,621, 1.06%, 0.00%), (GE, 2,080, 1.01%, 0.00%), (STT, 4,778, 0.98%, 0.00%), (PNC, 2,559, 0.91%, 0.00%), (MTB, 2,543, 0.90%, 0.00%), (COST, 478, 0.87%, 0.00%), (AMP, 931, 0.86%, 0.00%), (CF, 5,461, 0.85%, 0.00%), (ABT, 3,440, 0.83%, 0.00%), (XOM, 4,000, 0.79%, 0.00%), (EOG, 3,599, 0.78%, 0.00%), (EG, 1,210, 0.76%, 0.00%), (CSL, 1,071, 0.75%, 0.00%), (GEV, 487, 0.54%, 0.00%), (NTRS, 2,218, 0.52%, 0.00%), (MA, 463, 0.50%, 0.00%), (JNJ, 1,485, 0.49%, 0.00%), (CRBG, 7,620, 0.48%, 0.00%), (ACM, 2,098, 0.46%, 0.00%), (LNC, 6,066, 0.45%, 0.00%), (JXN, 2,504, 0.44%, 0.00%), (MTG, 8,715, 0.44%, 0.00%), (CINF, 1,543, 0.43%, 0.00%), (ALL, 1,098, 0.43%, 0.00%), (DOV, 1,297, 0.42%, 0.00%), (WTFC, 1,787, 0.42%, 0.00%), (MCK, 320, 0.41%, 0.00%), (ADM, 3,693, 0.41%, 0.00%), (EQH, 4,300, 0.41%, 0.00%), (SLM, 7,121, 0.40%, 0.00%), (NUE, 1,483,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</si>
  <si>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3.27%, 0.00%), (META, 1,376, 2.99%, 0.00%), (BRK/B, 1,601, 2.25%, 0.00%), (GOOGL, 3,688, 2.13%, 0.00%), (LIN, 1,375, 1.93%, 0.00%), (CSCO, 9,720, 1.88%, 0.00%), (GOOG, 3,004, 1.74%, 0.00%), (TSLA, 1,841, 1.73%, 0.00%), (JPM, 2,027, 1.71%, 0.00%), (AMT, 2,790, 1.70%, 0.00%), (XOM, 4,907, 1.54%, 0.00%), (V, 1,509, 1.50%, 0.00%), (CB, 1,540, 1.25%, 0.00%), (MA, 716, 1.23%, 0.00%), (LLY, 578, 1.18%, 0.00%), (WM, 1,725, 1.15%, 0.00%), (GE, 1,436, 1.11%, 0.00%), (ORCL, 1,444, 0.99%, 0.00%), (NEE, 4,430, 0.98%, 0.00%), (NFLX, 270, 0.95%, 0.00%), (UNH, 1,075, 0.93%, 0.00%), (JNJ, 1,766, 0.91%, 0.00%), (WMT, 2,939, 0.87%, 0.00%), (COST, 300, 0.86%, 0.00%), (PG, 1,858, 0.85%, 0.00%), (PLTR, 1,842, 0.83%, 0.00%), (CVX, 1,866, 0.83%, 0.00%), (RTX, 1,766, 0.80%, 0.00%), (MCD, 878, 0.79%, 0.00%), (ABBV, 1,296, 0.78%, 0.00%), (ABT, 2,025, 0.78%, 0.00%), (CAT, 640, 0.77%, 0.00%), (HD, 664, 0.77%, 0.00%), (KO, 3,359, 0.69%, 0.00%), (BKNG, 41, 0.67%, 0.00%), (PM, 1,347, 0.67%, 0.00%), (BAC, 4,806, 0.67%, 0.00%), (BA, 992, 0.65%, 0.00%), (SO, 2,361, 0.65%, 0.00%), (AMD, 1,346, 0.65%, 0.00%), (NKE, 2,870, 0.63%, 0.00%), (CRM, 859, 0.61%, 0.00%), (DUK, 1,664, 0.60%, 0.00%), (IBM, 831, 0.58%, 0.00%), (ISRG, 416, 0.58%, 0.00%), (UBER, 2,136, 0.58%, 0.00%), (GS, 274, 0.57%, 0.00%), (MET, 2,389, 0.55%, 0.00%), (HON, 863, 0.54%, 0.00%), (WFC, 2,397, 0.54%, 0.00%), (ETN, 524, 0.53%, 0.00%), (PEP, 1,189, 0.52%, 0.00%), (INTU, 252, 0.51%, 0.00%), (T, 5,720, 0.48%, 0.00%), (DE, 338, 0.48%, 0.00%), (NOW, 185, 0.47%, 0.00%), (MRK, 1,855, 0.45%, 0.00%), (MS, 1,083, 0.45%, 0.00%), (SPGI, 277, 0.45%, 0.00%), (TXN, 757, 0.44%, 0.00%), (VZ, 3,356, 0.44%, 0.00%), (AXP, 486, 0.43%, 0.00%), (BLK, 127, 0.42%, 0.00%), (QCOM, 921, 0.41%, 0.00%), (ACN, 561, 0.41%, 0.00%), (ADBE, 396, 0.41%, 0.00%), (MDT, 1,498, 0.40%, 0.00%), (TMO, 281, 0.40%, 0.00%), (UNP, 615, 0.40%, 0.00%), (COP, 1,444, 0.40%, 0.00%), (DIS, 1,143, 0.39%, 0.00%), (C, 1,362, 0.37%, 0.00%), (SCHW, 1,306, 0.36%, 0.00%), (LMT, 280, 0.36%, 0.00%), (SBUX, 1,388, 0.36%, 0.00%), (AMGN, 394, 0.34%, 0.00%), (MMM, 722, 0.32%, 0.00%), (AMAT, 684, 0.32%, 0.00%), (GILD, 914, 0.31%, 0.00%), (PFE, 4,156, 0.30%, 0.00%), (CVS, 1,470, 0.30%, 0.00%), (TJX, 754, 0.30%, 0.00%), (DHR, 471, 0.29%, 0.00%), (EMR, 756, 0.29%, 0.00%), (MO, 1,468, 0.29%, 0.00%), (LOW, 379, 0.28%, 0.00%), (ELV, 271, 0.24%, 0.00%), (INTC, 3,577, 0.24%, 0.00%), (CMCSA, 2,409, 0.23%, 0.00%), (MDLZ, 1,159, 0.21%, 0.00%), (BMY, 1,487, 0.21%, 0.00%), (UPS, 742, 0.19%, 0.00%), (PYPL, 876, 0.17%,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</si>
  <si>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3.18%, 0.00%), (META, 907, 2.90%, 0.00%), (BRK/B, 1,056, 2.19%, 0.00%), (GOOGL, 2,432, 2.07%, 0.00%), (LIN, 907, 1.87%, 0.00%), (CSCO, 6,410, 1.83%, 0.00%), (GOOG, 1,981, 1.70%, 0.00%), (TSLA, 1,214, 1.68%, 0.00%), (JPM, 1,337, 1.67%, 0.00%), (AMT, 1,840, 1.65%, 0.00%), (XOM, 3,236, 1.50%, 0.00%), (V, 995, 1.46%, 0.00%), (CB, 1,015, 1.22%, 0.00%), (MA, 472, 1.19%, 0.00%), (LLY, 381, 1.15%, 0.00%), (WM, 1,137, 1.12%, 0.00%), (GE, 947, 1.08%, 0.00%), (ORCL, 952, 0.96%, 0.00%), (NEE, 2,922, 0.95%, 0.00%), (NFLX, 178, 0.92%, 0.00%), (UNH, 709, 0.91%, 0.00%), (JNJ, 1,164, 0.89%, 0.00%), (WMT, 1,938, 0.84%, 0.00%), (COST, 198, 0.83%, 0.00%), (PG, 1,225, 0.83%, 0.00%), (PLTR, 1,215, 0.81%, 0.00%), (CVX, 1,230, 0.81%, 0.00%), (RTX, 1,164, 0.78%, 0.00%), (MCD, 579, 0.77%, 0.00%), (ABBV, 855, 0.76%, 0.00%), (CAT, 422, 0.75%, 0.00%), (ABT, 1,336, 0.75%, 0.00%), (HD, 438, 0.75%, 0.00%), (KO, 2,215, 0.67%, 0.00%), (BKNG, 27, 0.65%, 0.00%), (BAC, 3,170, 0.65%, 0.00%), (PM, 888, 0.65%, 0.00%), (BA, 654, 0.63%, 0.00%), (SO, 1,557, 0.63%, 0.00%), (AMD, 888, 0.63%, 0.00%), (NKE, 1,892, 0.62%, 0.00%), (CRM, 567, 0.59%, 0.00%), (DUK, 1,098, 0.59%, 0.00%), (IBM, 548, 0.57%, 0.00%), (UBER, 1,409, 0.56%, 0.00%), (ISRG, 274, 0.56%, 0.00%), (GS, 181, 0.56%, 0.00%), (MET, 1,575, 0.53%, 0.00%), (HON, 569, 0.53%, 0.00%), (WFC, 1,581, 0.53%, 0.00%), (ETN, 346, 0.51%, 0.00%), (PEP, 784, 0.50%, 0.00%), (INTU, 166, 0.50%, 0.00%), (T, 3,772, 0.47%, 0.00%), (DE, 223, 0.47%, 0.00%), (NOW, 122, 0.47%, 0.00%), (MRK, 1,223, 0.44%, 0.00%), (MS, 714, 0.44%, 0.00%), (SPGI, 183, 0.43%, 0.00%), (TXN, 499, 0.43%, 0.00%), (VZ, 2,213, 0.43%, 0.00%), (AXP, 321, 0.42%, 0.00%), (BLK, 84, 0.41%, 0.00%), (QCOM, 608, 0.40%, 0.00%), (ACN, 370, 0.40%, 0.00%), (ADBE, 261, 0.39%, 0.00%), (MDT, 988, 0.39%, 0.00%), (UNP, 406, 0.39%, 0.00%), (TMO, 185, 0.39%, 0.00%), (COP, 952, 0.39%, 0.00%), (DIS, 754, 0.38%, 0.00%), (C, 898, 0.36%, 0.00%), (SCHW, 861, 0.35%, 0.00%), (SBUX, 916, 0.35%, 0.00%), (LMT, 185, 0.35%, 0.00%), (AMGN, 260, 0.33%, 0.00%), (MMM, 476, 0.31%, 0.00%), (AMAT, 451, 0.31%, 0.00%), (GILD, 603, 0.31%, 0.00%), (PFE, 2,741, 0.30%, 0.00%), (TJX, 497, 0.29%, 0.00%), (CVS, 969, 0.29%, 0.00%), (DHR, 311, 0.28%, 0.00%), (EMR, 499, 0.28%, 0.00%), (MO, 968, 0.28%, 0.00%), (LOW, 250, 0.27%, 0.00%), (ELV, 179, 0.24%, 0.00%), (INTC, 2,359, 0.24%, 0.00%), (CMCSA, 1,589, 0.23%, 0.00%), (MDLZ, 764, 0.21%, 0.00%), (BMY, 981, 0.20%, 0.00%), (UPS, 489, 0.18%, 0.00%), (PYPL, 577, 0.17%, 0.00%), (CL, 425, 0.16%, 0.00%), (USB, 741, 0.15%, 0.00%), (FDX, 150, 0.15%, 0.00%), (TGT, 206, 0.09%, 0.00%), (SC9061B, nan, nan%, 0.00%), (SC9063B, nan, nan%, 0.00%), (SP9062B, nan, nan%, 0.00%), (SP9065B, nan, nan%, 0.00%), (SP9064B, nan, nan%, 0.00%), (XP9065B, nan, nan%, 0.00%)</t>
  </si>
  <si>
    <t>(META, 867, 2.64%, 0.00%), (BRK/B, 1,009, 1.99%, 0.00%), (GOOGL, 2,325, 1.88%, 0.00%), (LIN, 867, 1.70%, 0.00%), (CSCO, 6,128, 1.67%, 0.00%), (GOOG, 1,894, 1.54%, 0.00%), (TSLA, 1,161, 1.53%, 0.00%), (JPM, 1,278, 1.51%, 0.00%), (AMT, 1,759, 1.50%, 0.00%), (XOM, 3,093, 1.36%, 0.00%), (V, 952, 1.33%, 0.00%), (CB, 971, 1.10%, 0.00%), (MA, 451, 1.08%, 0.00%), (LLY, 364, 1.04%, 0.00%), (WM, 1,087, 1.02%, 0.00%), (GE, 905, 0.98%, 0.00%), (ORCL, 911, 0.87%, 0.00%), (NEE, 2,793, 0.86%, 0.00%), (NFLX, 170, 0.84%, 0.00%), (UNH, 678, 0.83%, 0.00%), (JNJ, 1,113, 0.81%, 0.00%), (WMT, 1,853, 0.77%, 0.00%), (COST, 189, 0.76%, 0.00%), (PG, 1,171, 0.75%, 0.00%), (PLTR, 1,161, 0.74%, 0.00%), (CVX, 1,176, 0.73%, 0.00%), (RTX, 1,113, 0.71%, 0.00%), (MCD, 553, 0.70%, 0.00%), (ABBV, 817, 0.69%, 0.00%), (CAT, 404, 0.69%, 0.00%), (ABT, 1,277, 0.69%, 0.00%), (HD, 419, 0.68%, 0.00%), (KO, 2,118, 0.61%, 0.00%), (BKNG, 26, 0.60%, 0.00%), (PM, 849, 0.59%, 0.00%), (BAC, 3,030, 0.59%, 0.00%), (BA, 625, 0.57%, 0.00%), (SO, 1,488, 0.57%, 0.00%), (AMD, 849, 0.57%, 0.00%), (NKE, 1,809, 0.56%, 0.00%), (CRM, 542, 0.54%, 0.00%), (DUK, 1,049, 0.53%, 0.00%), (IBM, 524, 0.52%, 0.00%), (UBER, 1,347, 0.51%, 0.00%), (ISRG, 262, 0.51%, 0.00%), (GS, 173, 0.51%, 0.00%), (MET, 1,506, 0.48%, 0.00%), (HON, 544, 0.48%, 0.00%), (WFC, 1,511, 0.48%, 0.00%), (ETN, 331, 0.47%, 0.00%), (PEP, 749, 0.46%, 0.00%), (INTU, 159, 0.45%, 0.00%), (T, 3,606, 0.43%, 0.00%), (DE, 213, 0.42%, 0.00%), (NOW, 117, 0.42%, 0.00%), (MRK, 1,170, 0.40%, 0.00%), (MS, 683, 0.40%, 0.00%), (SPGI, 175, 0.40%, 0.00%), (TXN, 477, 0.39%, 0.00%), (VZ, 2,116, 0.39%, 0.00%), (AXP, 306, 0.38%, 0.00%), (BLK, 80, 0.37%, 0.00%), (QCOM, 581, 0.37%, 0.00%), (ACN, 354, 0.36%, 0.00%), (MDT, 944, 0.36%, 0.00%), (ADBE, 249, 0.36%, 0.00%), (TMO, 177, 0.36%, 0.00%), (UNP, 388, 0.35%, 0.00%), (COP, 910, 0.35%, 0.00%), (DIS, 721, 0.34%, 0.00%), (C, 859, 0.33%, 0.00%), (LMT, 176, 0.32%, 0.00%), (SCHW, 823, 0.32%, 0.00%), (SBUX, 875, 0.32%, 0.00%), (AMGN, 249, 0.30%, 0.00%), (MMM, 455, 0.29%, 0.00%), (AMAT, 431, 0.28%, 0.00%), (GILD, 576, 0.28%, 0.00%), (PFE, 2,620, 0.27%, 0.00%), (TJX, 476, 0.27%, 0.00%), (CVS, 926, 0.26%, 0.00%), (DHR, 297, 0.25%, 0.00%), (EMR, 477, 0.25%, 0.00%), (MO, 926, 0.25%, 0.00%), (LOW, 239, 0.25%, 0.00%), (ELV, 171, 0.22%, 0.00%), (INTC, 2,255, 0.22%, 0.00%), (CMCSA, 1,519, 0.21%, 0.00%), (MDLZ, 730, 0.19%, 0.00%), (BMY, 938, 0.18%, 0.00%), (UPS, 468, 0.17%, 0.00%), (PYPL, 552, 0.15%, 0.00%), (CL, 406, 0.14%, 0.00%), (USB, 708, 0.13%,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</si>
  <si>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3.09%, 0.00%), (META, 575, 2.82%, 0.00%), (BRK/B, 669, 2.13%, 0.00%), (GOOGL, 1,541, 2.01%, 0.00%), (LIN, 575, 1.82%, 0.00%), (CSCO, 4,063, 1.78%, 0.00%), (GOOG, 1,256, 1.65%, 0.00%), (TSLA, 770, 1.63%, 0.00%), (JPM, 847, 1.62%, 0.00%), (AMT, 1,166, 1.60%, 0.00%), (XOM, 2,051, 1.45%, 0.00%), (V, 631, 1.42%, 0.00%), (CB, 644, 1.18%, 0.00%), (MA, 299, 1.15%, 0.00%), (LLY, 242, 1.11%, 0.00%), (WM, 721, 1.09%, 0.00%), (GE, 600, 1.04%, 0.00%), (ORCL, 604, 0.93%, 0.00%), (NEE, 1,852, 0.92%, 0.00%), (NFLX, 113, 0.90%, 0.00%), (UNH, 449, 0.88%, 0.00%), (JNJ, 738, 0.86%, 0.00%), (WMT, 1,228, 0.82%, 0.00%), (COST, 125, 0.81%, 0.00%), (PG, 776, 0.81%, 0.00%), (PLTR, 770, 0.79%, 0.00%), (CVX, 780, 0.78%, 0.00%), (RTX, 738, 0.75%, 0.00%), (MCD, 367, 0.75%, 0.00%), (ABBV, 542, 0.74%, 0.00%), (ABT, 847, 0.73%, 0.00%), (CAT, 268, 0.73%, 0.00%), (HD, 278, 0.73%, 0.00%), (KO, 1,404, 0.65%, 0.00%), (PM, 563, 0.63%, 0.00%), (BAC, 2,009, 0.63%, 0.00%), (BKNG, 17, 0.63%, 0.00%), (SO, 987, 0.61%, 0.00%), (BA, 414, 0.61%, 0.00%), (AMD, 563, 0.61%, 0.00%), (NKE, 1,199, 0.60%, 0.00%), (CRM, 359, 0.58%, 0.00%), (DUK, 696, 0.57%, 0.00%), (IBM, 347, 0.55%, 0.00%), (ISRG, 174, 0.55%, 0.00%), (UBER, 893, 0.55%, 0.00%), (GS, 115, 0.54%, 0.00%), (MET, 998, 0.52%, 0.00%), (HON, 361, 0.51%, 0.00%), (WFC, 1,002, 0.51%, 0.00%), (ETN, 219, 0.50%, 0.00%), (PEP, 497, 0.49%, 0.00%), (INTU, 105, 0.48%, 0.00%), (T, 2,391, 0.46%, 0.00%), (DE, 141, 0.46%, 0.00%), (NOW, 77, 0.45%, 0.00%), (MRK, 775, 0.43%, 0.00%), (MS, 453, 0.43%, 0.00%), (SPGI, 116, 0.42%, 0.00%), (VZ, 1,403, 0.41%, 0.00%), (TXN, 316, 0.41%, 0.00%), (AXP, 203, 0.41%, 0.00%), (BLK, 53, 0.39%, 0.00%), (QCOM, 385, 0.39%, 0.00%), (ACN, 235, 0.39%, 0.00%), (ADBE, 165, 0.38%, 0.00%), (MDT, 626, 0.38%, 0.00%), (TMO, 117, 0.38%, 0.00%), (UNP, 257, 0.38%, 0.00%), (COP, 604, 0.37%, 0.00%), (DIS, 478, 0.36%, 0.00%), (C, 569, 0.35%, 0.00%), (LMT, 117, 0.34%, 0.00%), (SCHW, 546, 0.34%, 0.00%), (SBUX, 580, 0.34%, 0.00%), (AMGN, 165, 0.32%, 0.00%), (MMM, 302, 0.30%, 0.00%), (AMAT, 286, 0.30%, 0.00%), (GILD, 382, 0.30%, 0.00%), (PFE, 1,737, 0.29%, 0.00%), (CVS, 614, 0.28%, 0.00%), (TJX, 315, 0.28%, 0.00%), (DHR, 197, 0.27%, 0.00%), (EMR, 316, 0.27%, 0.00%), (MO, 614, 0.27%, 0.00%), (LOW, 159, 0.27%, 0.00%), (INTC, 1,495, 0.23%, 0.00%), (ELV, 113, 0.23%, 0.00%), (CMCSA, 1,007, 0.22%, 0.00%), (MDLZ, 484, 0.20%, 0.00%), (BMY, 622, 0.20%, 0.00%), (UPS, 310, 0.18%, 0.00%), (PYPL, 366, 0.16%, 0.00%), (CL, 269, 0.15%, 0.00%), (USB, 469, 0.14%, 0.00%), (FDX, 95, 0.14%, 0.00%), (TGT, 130, 0.08%, 0.00%), (SC8071B, nan, nan%, 0.00%), (SC8073B, nan, nan%, 0.00%), (SP8072B, nan, nan%, 0.00%), (SP8075B, nan, nan%, 0.00%), (SP8074B, nan, nan%, 0.00%), (XP8075B, nan, nan%, 0.00%)</t>
  </si>
  <si>
    <t>(META, 6,001, 2.69%, 0.00%), (BRK/B, 6,982, 2.03%, 0.00%), (GOOGL, 16,085, 1.92%, 0.00%), (LIN, 5,998, 1.74%, 0.00%), (CSCO, 42,393, 1.70%, 0.00%), (GOOG, 13,101, 1.57%, 0.00%), (TSLA, 8,030, 1.56%, 0.00%), (JPM, 8,841, 1.54%, 0.00%), (AMT, 12,168, 1.53%, 0.00%), (XOM, 21,400, 1.39%, 0.00%), (V, 6,582, 1.36%, 0.00%), (CB, 6,715, 1.13%, 0.00%), (MA, 3,122, 1.11%, 0.00%), (LLY, 2,520, 1.06%, 0.00%), (WM, 7,522, 1.04%, 0.00%), (GE, 6,261, 1.00%, 0.00%), (ORCL, 6,299, 0.89%, 0.00%), (NEE, 19,323, 0.88%, 0.00%), (NFLX, 1,177, 0.86%, 0.00%), (UNH, 4,687, 0.84%, 0.00%), (JNJ, 7,701, 0.82%, 0.00%), (WMT, 12,819, 0.78%, 0.00%), (COST, 1,308, 0.77%, 0.00%), (PG, 8,102, 0.77%, 0.00%), (PLTR, 8,033, 0.75%, 0.00%), (CVX, 8,138, 0.75%, 0.00%), (RTX, 7,700, 0.72%, 0.00%), (MCD, 3,829, 0.72%, 0.00%), (ABBV, 5,652, 0.71%, 0.00%), (CAT, 2,793, 0.70%, 0.00%), (ABT, 8,834, 0.70%, 0.00%), (HD, 2,897, 0.70%, 0.00%), (KO, 14,651, 0.62%, 0.00%), (PM, 5,875, 0.60%, 0.00%), (BAC, 20,962, 0.60%, 0.00%), (BKNG, 177, 0.59%, 0.00%), (BA, 4,325, 0.59%, 0.00%), (SO, 10,295, 0.58%, 0.00%), (AMD, 5,870, 0.58%, 0.00%), (NKE, 12,516, 0.57%, 0.00%), (CRM, 3,747, 0.55%, 0.00%), (DUK, 7,259, 0.54%, 0.00%), (IBM, 3,624, 0.53%, 0.00%), (UBER, 9,315, 0.52%, 0.00%), (ISRG, 1,814, 0.52%, 0.00%), (GS, 1,196, 0.52%, 0.00%), (MET, 10,419, 0.49%, 0.00%), (HON, 3,762, 0.49%, 0.00%), (WFC, 10,455, 0.49%, 0.00%), (ETN, 2,286, 0.47%, 0.00%), (PEP, 5,185, 0.47%, 0.00%), (INTU, 1,098, 0.46%, 0.00%), (T, 24,948, 0.44%, 0.00%), (DE, 1,472, 0.43%, 0.00%), (NOW, 807, 0.43%, 0.00%), (MRK, 8,091, 0.41%, 0.00%), (MS, 4,725, 0.41%, 0.00%), (SPGI, 1,209, 0.40%, 0.00%), (VZ, 14,636, 0.39%, 0.00%), (TXN, 3,300, 0.39%, 0.00%), (AXP, 2,120, 0.39%, 0.00%), (BLK, 555, 0.38%, 0.00%), (QCOM, 4,019, 0.37%, 0.00%), (ACN, 2,449, 0.37%, 0.00%), (ADBE, 1,725, 0.37%, 0.00%), (MDT, 6,532, 0.36%, 0.00%), (TMO, 1,223, 0.36%, 0.00%), (UNP, 2,682, 0.36%, 0.00%), (COP, 6,298, 0.36%, 0.00%), (DIS, 4,985, 0.35%, 0.00%), (C, 5,939, 0.33%, 0.00%), (SCHW, 5,694, 0.33%, 0.00%), (SBUX, 6,056, 0.32%, 0.00%), (LMT, 1,220, 0.32%, 0.00%), (AMGN, 1,719, 0.31%, 0.00%), (MMM, 3,150, 0.29%, 0.00%), (AMAT, 2,982, 0.29%, 0.00%), (GILD, 3,986, 0.28%, 0.00%), (PFE, 18,126, 0.27%, 0.00%), (CVS, 6,409, 0.27%, 0.00%), (TJX, 3,289, 0.27%, 0.00%), (DHR, 2,056, 0.26%, 0.00%), (EMR, 3,299, 0.26%, 0.00%), (MO, 6,404, 0.26%, 0.00%), (LOW, 1,655, 0.25%, 0.00%), (INTC, 15,600, 0.22%, 0.00%), (ELV, 1,181, 0.22%, 0.00%), (CMCSA, 10,508, 0.21%, 0.00%), (MDLZ, 5,053, 0.19%, 0.00%), (BMY, 6,487, 0.19%, 0.00%), (UPS, 3,235, 0.17%, 0.00%), (PYPL, 3,819, 0.16%, 0.00%), (CL, 2,811, 0.14%, 0.00%), (USB, 4,899, 0.14%, 0.00%), (FDX, 994, 0.14%, 0.00%), (TGT, 1,360, 0.08%, 0.00%), (SC26771B, nan, nan%, 0.00%), (SC26773B, nan, nan%, 0.00%), (SP26772B, nan, nan%, 0.00%), (SP26774B, nan, nan%, 0.00%), (SP26775T, nan, nan%, 0.00%), (XP26775T, nan, nan%, 0.00%)</t>
  </si>
  <si>
    <t>(AVGO, 14,620, 3.15%, 0.00%), (META, 5,193, 2.87%, 0.00%), (BRK/B, 6,042, 2.17%, 0.00%), (GOOGL, 13,919, 2.05%, 0.00%), (LIN, 5,190, 1.85%, 0.00%), (CSCO, 36,686, 1.81%, 0.00%), (GOOG, 11,338, 1.68%, 0.00%), (TSLA, 6,949, 1.66%, 0.00%), (JPM, 7,651, 1.65%, 0.00%), (AMT, 10,530, 1.63%, 0.00%), (XOM, 18,519, 1.48%, 0.00%), (V, 5,696, 1.45%, 0.00%), (CB, 5,811, 1.20%, 0.00%), (MA, 2,702, 1.18%, 0.00%), (LLY, 2,181, 1.14%, 0.00%), (WM, 6,509, 1.11%, 0.00%), (GE, 5,419, 1.07%, 0.00%), (ORCL, 5,451, 0.95%, 0.00%), (NEE, 16,721, 0.94%, 0.00%), (NFLX, 1,018, 0.91%, 0.00%), (UNH, 4,056, 0.90%, 0.00%), (JNJ, 6,664, 0.88%, 0.00%), (WMT, 11,093, 0.83%, 0.00%), (COST, 1,132, 0.83%, 0.00%), (PG, 7,012, 0.82%, 0.00%), (PLTR, 6,952, 0.80%, 0.00%), (CVX, 7,042, 0.80%, 0.00%), (RTX, 6,664, 0.77%, 0.00%), (MCD, 3,313, 0.76%, 0.00%), (ABBV, 4,891, 0.75%, 0.00%), (CAT, 2,417, 0.75%, 0.00%), (ABT, 7,645, 0.75%, 0.00%), (HD, 2,507, 0.74%, 0.00%), (KO, 12,678, 0.66%, 0.00%), (PM, 5,084, 0.64%, 0.00%), (BAC, 18,140, 0.64%, 0.00%), (BKNG, 153, 0.64%, 0.00%), (BA, 3,743, 0.63%, 0.00%), (SO, 8,909, 0.62%, 0.00%), (AMD, 5,080, 0.62%, 0.00%), (NKE, 10,831, 0.61%, 0.00%), (CRM, 3,242, 0.59%, 0.00%), (DUK, 6,281, 0.58%, 0.00%), (IBM, 3,136, 0.56%, 0.00%), (UBER, 8,061, 0.56%, 0.00%), (ISRG, 1,570, 0.56%, 0.00%), (GS, 1,035, 0.55%, 0.00%), (MET, 9,016, 0.53%, 0.00%), (HON, 3,255, 0.52%, 0.00%), (WFC, 9,048, 0.52%, 0.00%), (ETN, 1,979, 0.51%, 0.00%), (PEP, 4,487, 0.50%, 0.00%), (INTU, 951, 0.49%, 0.00%), (T, 21,589, 0.47%, 0.00%), (DE, 1,274, 0.46%, 0.00%), (NOW, 699, 0.46%, 0.00%), (MRK, 7,002, 0.44%, 0.00%), (MS, 4,089, 0.44%, 0.00%), (SPGI, 1,047, 0.43%, 0.00%), (VZ, 12,666, 0.42%, 0.00%), (TXN, 2,855, 0.42%, 0.00%), (AXP, 1,834, 0.42%, 0.00%), (BLK, 480, 0.40%, 0.00%), (QCOM, 3,478, 0.40%, 0.00%), (ACN, 2,119, 0.40%, 0.00%), (ADBE, 1,493, 0.39%, 0.00%), (MDT, 5,653, 0.39%, 0.00%), (TMO, 1,059, 0.39%, 0.00%), (UNP, 2,321, 0.38%, 0.00%), (COP, 5,450, 0.38%, 0.00%), (DIS, 4,314, 0.37%, 0.00%), (C, 5,139, 0.35%, 0.00%), (SCHW, 4,928, 0.35%, 0.00%), (LMT, 1,056, 0.35%, 0.00%), (SBUX, 5,241, 0.35%, 0.00%), (AMGN, 1,488, 0.33%, 0.00%), (MMM, 2,726, 0.31%, 0.00%), (AMAT, 2,580, 0.31%, 0.00%), (GILD, 3,449, 0.30%, 0.00%), (PFE, 15,685, 0.29%, 0.00%), (CVS, 5,546, 0.29%, 0.00%), (TJX, 2,847, 0.29%, 0.00%), (DHR, 1,779, 0.28%, 0.00%), (EMR, 2,855, 0.28%, 0.00%), (MO, 5,542, 0.28%, 0.00%), (LOW, 1,432, 0.27%, 0.00%), (INTC, 13,500, 0.23%, 0.00%), (ELV, 1,022, 0.23%, 0.00%), (CMCSA, 9,093, 0.22%, 0.00%), (MDLZ, 4,373, 0.20%, 0.00%), (BMY, 5,614, 0.20%, 0.00%), (UPS, 2,800, 0.18%, 0.00%), (PYPL, 3,305, 0.17%, 0.00%), (CL, 2,433, 0.15%, 0.00%), (USB, 4,239, 0.14%, 0.00%), (FDX, 861, 0.14%, 0.00%), (TGT, 1,177, 0.09%, 0.00%), (SC23471B, nan, nan%, 0.00%), (SC23473B, nan, nan%, 0.00%), (SP23472B, nan, nan%, 0.00%), (SP23475B, nan, nan%, 0.00%), (SP23474B, nan, nan%, 0.00%), (XP23475B, nan, nan%, 0.00%)</t>
  </si>
  <si>
    <t>(AVGO, 10,897, 3.14%, 0.00%), (META, 3,871, 2.86%, 0.00%), (BRK/B, 4,504, 2.16%, 0.00%), (GOOGL, 10,375, 2.04%, 0.00%), (LIN, 3,869, 1.85%, 0.00%), (CSCO, 27,345, 1.81%, 0.00%), (GOOG, 8,451, 1.67%, 0.00%), (TSLA, 5,180, 1.66%, 0.00%), (JPM, 5,703, 1.64%, 0.00%), (AMT, 7,849, 1.63%, 0.00%), (XOM, 13,804, 1.47%, 0.00%), (V, 4,246, 1.44%, 0.00%), (CB, 4,332, 1.20%, 0.00%), (MA, 2,014, 1.18%, 0.00%), (LLY, 1,626, 1.13%, 0.00%), (WM, 4,852, 1.10%, 0.00%), (GE, 4,039, 1.06%, 0.00%), (ORCL, 4,063, 0.94%, 0.00%), (NEE, 12,464, 0.94%, 0.00%), (NFLX, 759, 0.91%, 0.00%), (UNH, 3,023, 0.90%, 0.00%), (JNJ, 4,967, 0.88%, 0.00%), (WMT, 8,269, 0.83%, 0.00%), (COST, 844, 0.83%, 0.00%), (PG, 5,226, 0.82%, 0.00%), (PLTR, 5,182, 0.80%, 0.00%), (CVX, 5,249, 0.80%, 0.00%), (RTX, 4,967, 0.77%, 0.00%), (MCD, 2,470, 0.76%, 0.00%), (ABBV, 3,646, 0.75%, 0.00%), (CAT, 1,802, 0.74%, 0.00%), (ABT, 5,698, 0.74%, 0.00%), (HD, 1,869, 0.74%, 0.00%), (KO, 9,450, 0.66%, 0.00%), (PM, 3,790, 0.64%, 0.00%), (BAC, 13,522, 0.64%, 0.00%), (BKNG, 114, 0.64%, 0.00%), (BA, 2,790, 0.62%, 0.00%), (SO, 6,641, 0.62%, 0.00%), (AMD, 3,786, 0.62%, 0.00%), (NKE, 8,073, 0.61%, 0.00%), (CRM, 2,417, 0.59%, 0.00%), (DUK, 4,682, 0.58%, 0.00%), (IBM, 2,338, 0.56%, 0.00%), (ISRG, 1,170, 0.55%, 0.00%), (UBER, 6,009, 0.55%, 0.00%), (GS, 771, 0.55%, 0.00%), (MET, 6,721, 0.53%, 0.00%), (HON, 2,427, 0.52%, 0.00%), (WFC, 6,744, 0.52%, 0.00%), (ETN, 1,475, 0.51%, 0.00%), (PEP, 3,344, 0.50%, 0.00%), (INTU, 709, 0.49%, 0.00%), (T, 16,092, 0.46%, 0.00%), (DE, 950, 0.46%, 0.00%), (NOW, 521, 0.45%, 0.00%), (MRK, 5,219, 0.44%, 0.00%), (MS, 3,048, 0.43%, 0.00%), (SPGI, 780, 0.43%, 0.00%), (VZ, 9,441, 0.42%, 0.00%), (TXN, 2,128, 0.42%, 0.00%), (AXP, 1,367, 0.42%, 0.00%), (BLK, 358, 0.40%, 0.00%), (QCOM, 2,592, 0.40%, 0.00%), (ACN, 1,580, 0.39%, 0.00%), (ADBE, 1,113, 0.39%, 0.00%), (MDT, 4,213, 0.39%, 0.00%), (TMO, 789, 0.38%, 0.00%), (UNP, 1,730, 0.38%, 0.00%), (COP, 4,063, 0.38%, 0.00%), (DIS, 3,216, 0.37%, 0.00%), (C, 3,831, 0.35%, 0.00%), (SCHW, 3,673, 0.35%, 0.00%), (LMT, 787, 0.35%, 0.00%), (SBUX, 3,906, 0.35%, 0.00%), (AMGN, 1,109, 0.32%, 0.00%), (MMM, 2,032, 0.31%, 0.00%), (AMAT, 1,923, 0.31%, 0.00%), (GILD, 2,571, 0.30%, 0.00%), (PFE, 11,692, 0.29%, 0.00%), (CVS, 4,134, 0.29%, 0.00%), (TJX, 2,122, 0.29%, 0.00%), (DHR, 1,326, 0.28%, 0.00%), (EMR, 2,128, 0.28%, 0.00%), (MO, 4,131, 0.27%, 0.00%), (LOW, 1,067, 0.27%, 0.00%), (ELV, 762, 0.23%, 0.00%), (INTC, 10,063, 0.23%, 0.00%), (CMCSA, 6,778, 0.22%, 0.00%), (MDLZ, 3,259, 0.20%, 0.00%), (BMY, 4,184, 0.20%, 0.00%), (UPS, 2,087, 0.18%, 0.00%), (PYPL, 2,463, 0.17%, 0.00%), (CL, 1,813, 0.15%, 0.00%), (USB, 3,160, 0.14%, 0.00%), (FDX, 641, 0.14%, 0.00%), (TGT, 878, 0.09%, 0.00%), (SC22171B, nan, nan%, 0.00%), (SC22173B, nan, nan%, 0.00%), (SP22172B, nan, nan%, 0.00%), (SP22175B, nan, nan%, 0.00%), (SP22174B, nan, nan%, 0.00%), (XP22175B, nan, nan%, 0.00%)</t>
  </si>
  <si>
    <t>(META, 1,463, 2.73%, 0.00%), (BRK/B, 1,703, 2.06%, 0.00%), (GOOGL, 3,922, 1.95%, 0.00%), (LIN, 1,463, 1.76%, 0.00%), (CSCO, 10,338, 1.72%, 0.00%), (GOOG, 3,195, 1.59%, 0.00%), (TSLA, 1,958, 1.58%, 0.00%), (JPM, 2,156, 1.57%, 0.00%), (AMT, 2,967, 1.55%, 0.00%), (XOM, 5,219, 1.41%, 0.00%), (V, 1,605, 1.37%, 0.00%), (CB, 1,638, 1.14%, 0.00%), (MA, 761, 1.12%, 0.00%), (LLY, 615, 1.08%, 0.00%), (WM, 1,834, 1.05%, 0.00%), (GE, 1,527, 1.01%, 0.00%), (ORCL, 1,536, 0.90%, 0.00%), (NEE, 4,712, 0.89%, 0.00%), (NFLX, 287, 0.87%, 0.00%), (UNH, 1,143, 0.85%, 0.00%), (JNJ, 1,878, 0.84%, 0.00%), (WMT, 3,126, 0.79%, 0.00%), (COST, 319, 0.78%, 0.00%), (PG, 1,976, 0.78%, 0.00%), (PLTR, 1,959, 0.76%, 0.00%), (CVX, 1,984, 0.76%, 0.00%), (RTX, 1,878, 0.73%, 0.00%), (MCD, 934, 0.73%, 0.00%), (ABBV, 1,378, 0.72%, 0.00%), (ABT, 2,154, 0.71%, 0.00%), (CAT, 681, 0.71%, 0.00%), (HD, 706, 0.70%, 0.00%), (KO, 3,573, 0.63%, 0.00%), (PM, 1,433, 0.61%, 0.00%), (BAC, 5,112, 0.61%, 0.00%), (BKNG, 43, 0.60%, 0.00%), (BA, 1,055, 0.59%, 0.00%), (SO, 2,511, 0.59%, 0.00%), (AMD, 1,431, 0.59%, 0.00%), (NKE, 3,052, 0.58%, 0.00%), (CRM, 914, 0.56%, 0.00%), (DUK, 1,770, 0.55%, 0.00%), (IBM, 884, 0.53%, 0.00%), (UBER, 2,272, 0.53%, 0.00%), (ISRG, 442, 0.53%, 0.00%), (GS, 292, 0.52%, 0.00%), (MET, 2,541, 0.50%, 0.00%), (WFC, 2,550, 0.50%, 0.00%), (HON, 917, 0.50%, 0.00%), (ETN, 558, 0.48%, 0.00%), (PEP, 1,264, 0.47%, 0.00%), (INTU, 268, 0.46%, 0.00%), (T, 6,084, 0.44%, 0.00%), (DE, 359, 0.44%, 0.00%), (NOW, 197, 0.44%, 0.00%), (MRK, 1,973, 0.41%, 0.00%), (MS, 1,152, 0.41%, 0.00%), (SPGI, 295, 0.41%, 0.00%), (TXN, 805, 0.40%, 0.00%), (VZ, 3,569, 0.40%, 0.00%), (AXP, 517, 0.40%, 0.00%), (BLK, 135, 0.38%, 0.00%), (QCOM, 980, 0.38%, 0.00%), (ACN, 597, 0.38%, 0.00%), (ADBE, 421, 0.37%, 0.00%), (MDT, 1,593, 0.37%, 0.00%), (TMO, 298, 0.37%, 0.00%), (UNP, 654, 0.36%, 0.00%), (COP, 1,536, 0.36%, 0.00%), (DIS, 1,216, 0.35%, 0.00%), (C, 1,448, 0.34%, 0.00%), (SCHW, 1,389, 0.33%, 0.00%), (LMT, 298, 0.33%, 0.00%), (SBUX, 1,477, 0.33%, 0.00%), (AMGN, 419, 0.31%, 0.00%), (MMM, 768, 0.29%, 0.00%), (AMAT, 727, 0.29%, 0.00%), (GILD, 972, 0.29%, 0.00%), (PFE, 4,420, 0.28%, 0.00%), (CVS, 1,563, 0.27%, 0.00%), (TJX, 802, 0.27%, 0.00%), (DHR, 501, 0.26%, 0.00%), (EMR, 804, 0.26%, 0.00%), (MO, 1,562, 0.26%, 0.00%), (LOW, 403, 0.26%, 0.00%), (INTC, 3,804, 0.22%, 0.00%), (ELV, 288, 0.22%, 0.00%), (CMCSA, 2,562, 0.21%,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</si>
  <si>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3.02%, 0.00%), (META, 1,591, 2.76%, 0.00%), (BRK/B, 1,851, 2.09%, 0.00%), (GOOGL, 4,265, 1.97%, 0.00%), (LIN, 1,590, 1.78%, 0.00%), (CSCO, 11,240, 1.74%, 0.00%), (GOOG, 3,474, 1.61%, 0.00%), (TSLA, 2,129, 1.60%, 0.00%), (JPM, 2,344, 1.58%, 0.00%), (AMT, 3,226, 1.57%, 0.00%), (XOM, 5,674, 1.42%, 0.00%), (V, 1,745, 1.39%, 0.00%), (CB, 1,780, 1.16%, 0.00%), (MA, 828, 1.13%, 0.00%), (LLY, 668, 1.09%, 0.00%), (WM, 1,994, 1.06%, 0.00%), (GE, 1,660, 1.02%, 0.00%), (ORCL, 1,670, 0.91%, 0.00%), (NEE, 5,123, 0.90%, 0.00%), (NFLX, 312, 0.88%, 0.00%), (UNH, 1,243, 0.86%, 0.00%), (JNJ, 2,042, 0.84%, 0.00%), (WMT, 3,399, 0.80%, 0.00%), (COST, 347, 0.79%, 0.00%), (PG, 2,148, 0.79%, 0.00%), (PLTR, 2,130, 0.77%, 0.00%), (CVX, 2,157, 0.77%, 0.00%), (RTX, 2,042, 0.74%, 0.00%), (MCD, 1,015, 0.73%, 0.00%), (ABBV, 1,499, 0.73%, 0.00%), (CAT, 741, 0.72%, 0.00%), (ABT, 2,342, 0.72%, 0.00%), (HD, 768, 0.71%, 0.00%), (KO, 3,884, 0.64%, 0.00%), (PM, 1,558, 0.62%, 0.00%), (BAC, 5,558, 0.62%, 0.00%), (BKNG, 47, 0.62%, 0.00%), (BA, 1,147, 0.60%, 0.00%), (SO, 2,730, 0.60%, 0.00%), (AMD, 1,556, 0.60%, 0.00%), (NKE, 3,318, 0.59%, 0.00%), (CRM, 993, 0.57%, 0.00%), (DUK, 1,924, 0.56%, 0.00%), (IBM, 961, 0.54%, 0.00%), (UBER, 2,470, 0.54%, 0.00%), (ISRG, 481, 0.53%, 0.00%), (GS, 317, 0.53%, 0.00%), (MET, 2,762, 0.51%, 0.00%), (HON, 997, 0.50%, 0.00%), (WFC, 2,772, 0.50%, 0.00%), (ETN, 606, 0.49%, 0.00%), (PEP, 1,375, 0.48%, 0.00%), (INTU, 291, 0.47%, 0.00%), (T, 6,614, 0.45%, 0.00%), (DE, 390, 0.44%, 0.00%), (NOW, 214, 0.44%, 0.00%), (MRK, 2,145, 0.42%, 0.00%), (MS, 1,253, 0.42%, 0.00%), (SPGI, 321, 0.41%, 0.00%), (TXN, 875, 0.40%, 0.00%), (VZ, 3,881, 0.40%, 0.00%), (AXP, 562, 0.40%, 0.00%), (BLK, 147, 0.38%, 0.00%), (QCOM, 1,065, 0.38%, 0.00%), (ACN, 649, 0.38%, 0.00%), (ADBE, 457, 0.37%, 0.00%), (MDT, 1,732, 0.37%, 0.00%), (TMO, 324, 0.37%, 0.00%), (UNP, 711, 0.37%, 0.00%), (COP, 1,670, 0.37%, 0.00%), (DIS, 1,322, 0.36%, 0.00%), (C, 1,575, 0.34%, 0.00%), (SCHW, 1,510, 0.33%, 0.00%), (LMT, 324, 0.33%, 0.00%), (SBUX, 1,606, 0.33%, 0.00%), (AMGN, 456, 0.31%, 0.00%), (MMM, 835, 0.30%, 0.00%), (AMAT, 791, 0.29%, 0.00%), (GILD, 1,057, 0.29%, 0.00%), (PFE, 4,806, 0.28%, 0.00%), (CVS, 1,699, 0.28%, 0.00%), (TJX, 872, 0.28%, 0.00%), (DHR, 545, 0.27%, 0.00%), (EMR, 875, 0.27%, 0.00%), (MO, 1,698, 0.26%, 0.00%), (LOW, 439, 0.26%, 0.00%), (INTC, 4,136, 0.23%, 0.00%), (ELV, 313, 0.23%, 0.00%), (CMCSA, 2,786, 0.21%, 0.00%), (MDLZ, 1,340, 0.20%, 0.00%), (BMY, 1,720, 0.19%, 0.00%), (UPS, 858, 0.17%,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</si>
  <si>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3.13%, 0.00%), (META, 2,991, 2.86%, 0.00%), (BRK/B, 3,480, 2.16%, 0.00%), (GOOGL, 8,018, 2.04%, 0.00%), (LIN, 2,990, 1.84%, 0.00%), (CSCO, 21,132, 1.81%, 0.00%), (GOOG, 6,531, 1.67%, 0.00%), (TSLA, 4,003, 1.66%, 0.00%), (JPM, 4,407, 1.64%, 0.00%), (AMT, 6,065, 1.62%, 0.00%), (XOM, 10,667, 1.47%, 0.00%), (V, 3,281, 1.44%, 0.00%), (CB, 3,347, 1.20%, 0.00%), (MA, 1,556, 1.17%, 0.00%), (LLY, 1,256, 1.13%, 0.00%), (WM, 3,749, 1.10%, 0.00%), (GE, 3,121, 1.06%, 0.00%), (ORCL, 3,140, 0.94%, 0.00%), (NEE, 9,632, 0.94%, 0.00%), (NFLX, 587, 0.91%, 0.00%), (UNH, 2,336, 0.89%, 0.00%), (JNJ, 3,839, 0.88%, 0.00%), (WMT, 6,390, 0.83%, 0.00%), (COST, 652, 0.82%, 0.00%), (PG, 4,039, 0.82%, 0.00%), (PLTR, 4,004, 0.80%, 0.00%), (CVX, 4,056, 0.79%, 0.00%), (RTX, 3,838, 0.77%, 0.00%), (MCD, 1,908, 0.76%, 0.00%), (ABBV, 2,817, 0.75%, 0.00%), (CAT, 1,392, 0.74%, 0.00%), (ABT, 4,403, 0.74%, 0.00%), (HD, 1,444, 0.74%, 0.00%), (KO, 7,303, 0.66%, 0.00%), (PM, 2,929, 0.64%, 0.00%), (BAC, 10,449, 0.64%, 0.00%), (BKNG, 88, 0.63%, 0.00%), (BA, 2,156, 0.62%, 0.00%), (SO, 5,132, 0.62%, 0.00%), (AMD, 2,926, 0.62%, 0.00%), (NKE, 6,239, 0.61%, 0.00%), (CRM, 1,868, 0.59%, 0.00%), (DUK, 3,618, 0.58%, 0.00%), (IBM, 1,806, 0.56%, 0.00%), (UBER, 4,643, 0.55%, 0.00%), (ISRG, 904, 0.55%, 0.00%), (GS, 596, 0.55%, 0.00%), (MET, 5,193, 0.52%, 0.00%), (HON, 1,875, 0.52%, 0.00%), (WFC, 5,212, 0.52%, 0.00%), (ETN, 1,140, 0.50%, 0.00%), (PEP, 2,584, 0.50%, 0.00%), (INTU, 548, 0.49%, 0.00%), (T, 12,436, 0.46%, 0.00%), (DE, 734, 0.46%, 0.00%), (NOW, 402, 0.45%, 0.00%), (MRK, 4,033, 0.44%, 0.00%), (MS, 2,355, 0.43%, 0.00%), (SPGI, 603, 0.43%, 0.00%), (TXN, 1,645, 0.42%, 0.00%), (VZ, 7,296, 0.42%, 0.00%), (AXP, 1,057, 0.41%, 0.00%), (BLK, 276, 0.40%, 0.00%), (QCOM, 2,003, 0.40%, 0.00%), (ACN, 1,221, 0.39%, 0.00%), (ADBE, 860, 0.39%, 0.00%), (MDT, 3,256, 0.39%, 0.00%), (TMO, 610, 0.38%, 0.00%), (UNP, 1,337, 0.38%, 0.00%), (COP, 3,140, 0.38%, 0.00%), (DIS, 2,485, 0.37%, 0.00%), (C, 2,960, 0.35%, 0.00%), (SCHW, 2,838, 0.35%, 0.00%), (LMT, 608, 0.35%, 0.00%), (SBUX, 3,019, 0.34%, 0.00%), (AMGN, 857, 0.32%, 0.00%), (MMM, 1,570, 0.31%, 0.00%), (AMAT, 1,486, 0.31%, 0.00%), (GILD, 1,987, 0.30%, 0.00%), (PFE, 9,035, 0.29%, 0.00%), (CVS, 3,195, 0.29%, 0.00%), (TJX, 1,640, 0.29%, 0.00%), (DHR, 1,025, 0.28%, 0.00%), (EMR, 1,644, 0.27%, 0.00%), (MO, 3,192, 0.27%, 0.00%), (LOW, 825, 0.27%, 0.00%), (INTC, 7,776, 0.23%, 0.00%), (ELV, 589, 0.23%, 0.00%), (CMCSA, 5,238, 0.22%, 0.00%), (MDLZ, 2,519, 0.20%, 0.00%), (BMY, 3,234, 0.20%, 0.00%), (UPS, 1,613, 0.18%, 0.00%), (PYPL, 1,904, 0.17%, 0.00%), (CL, 1,401, 0.15%, 0.00%), (USB, 2,442, 0.14%, 0.00%), (FDX, 496, 0.14%, 0.00%), (TGT, 678, 0.09%, 0.00%), (SC26771B, nan, nan%, 0.00%), (SC26773B, nan, nan%, 0.00%), (SP26772B, nan, nan%, 0.00%), (SP26775B, nan, nan%, 0.00%), (SP26774B, nan, nan%, 0.00%), (XP26775B, nan, nan%, 0.00%)</t>
  </si>
  <si>
    <t>EBAY, BK, META, MSFT, GOOGL, BKNG, EA, JPM, MLI, BLK, RJF, HIG</t>
  </si>
  <si>
    <t>(PHM, 8,176, 1.88%, 0.00%), (TRV, 3,666, 1.85%, 0.00%), (EWBC, 9,960, 1.84%, 0.01%), (AXP, 3,250, 1.84%, 0.00%), (V, 2,881, 1.81%, 0.00%), (NVDA, 5,383, 1.73%, 0.00%), (ADP, 3,078, 1.72%, 0.00%), (ROST, 6,419, 1.71%, 0.00%), (SNA, 2,873, 1.69%, 0.01%), (CB, 3,251, 1.66%, 0.00%), (UNM, 12,962, 1.65%, 0.01%), (KLAC, 1,019, 1.63%, 0.00%), (PCAR, 9,112, 1.63%, 0.00%), (AMAT, 5,520, 1.62%, 0.00%), (LEN, 6,802, 1.61%, 0.00%), (SYF, 12,032, 1.57%, 0.00%), (CTSH, 11,645, 1.52%, 0.00%), (CRM, 3,301, 1.49%, 0.00%), (WSM, 4,074, 1.47%, 0.00%), (PAYC, 3,525, 1.46%, 0.01%), (BKR, 17,137, 1.36%, 0.00%), (DHI, 4,520, 1.34%, 0.00%), (QCOM, 4,648, 1.31%, 0.00%), (ACN, 2,746, 1.28%, 0.00%), (AFL, 6,365, 1.26%, 0.00%), (ELV, 2,207, 1.25%, 0.00%), (AAPL, 3,001, 1.24%, 0.00%), (MPWR, 735, 1.11%, 0.00%), (ODFL, 3,948, 1.08%, 0.00%), (LRCX, 5,936, 1.07%, 0.00%), (CSCO, 8,621, 1.06%, 0.00%), (GE, 2,080, 1.02%, 0.00%), (STT, 4,778, 0.98%, 0.00%), (PNC, 2,559, 0.91%, 0.00%), (MTB, 2,543, 0.90%, 0.00%), (CF, 5,461, 0.86%, 0.00%), (AMP, 931, 0.86%, 0.00%), (COST, 478, 0.85%, 0.00%), (ABT, 3,440, 0.83%, 0.00%), (XOM, 4,000, 0.80%, 0.00%), (EOG, 3,599, 0.78%, 0.00%), (EG, 1,210, 0.77%, 0.00%), (CSL, 1,071, 0.75%, 0.00%), (GEV, 487, 0.54%, 0.00%), (NTRS, 2,218, 0.52%, 0.00%), (MA, 463, 0.50%, 0.00%), (JNJ, 1,485, 0.49%, 0.00%), (CRBG, 7,620, 0.48%, 0.00%), (ACM, 2,098, 0.47%, 0.00%), (LNC, 6,066, 0.45%, 0.00%), (MTG, 8,715, 0.44%, 0.00%), (JXN, 2,504, 0.44%, 0.00%), (CINF, 1,543, 0.43%, 0.00%), (DOV, 1,297, 0.42%, 0.00%), (WTFC, 1,787, 0.42%, 0.00%), (ALL, 1,098, 0.42%, 0.00%), (MCK, 320, 0.41%, 0.00%), (ADM, 3,693, 0.41%, 0.00%), (EQH, 4,300, 0.41%, 0.00%), (SLM, 7,121, 0.40%, 0.00%), (NUE, 1,483, 0.39%, 0.00%), (NKE, 2,703, 0.38%, 0.00%), (PGR, 809, 0.37%, 0.00%), (FANG, 1,154, 0.29%, 0.00%), (SC13N61B, nan, nan%, 0.00%), (SC13N63B, nan, nan%, 0.00%), (SP13N62B, nan, nan%, 0.00%), (SP13N65B, nan, nan%, 0.00%), (SP13N64B, nan, nan%, 0.00%), (SPX Index, nan, nan%, 0.00%), (XP13N65B, nan, nan%, 0.00%)</t>
  </si>
  <si>
    <t>(AVGO, 3,873, 3.26%, 0.00%), (META, 1,376, 2.96%, 0.00%), (BRK/B, 1,601, 2.26%, 0.00%), (GOOGL, 3,688, 2.14%, 0.00%), (LIN, 1,375, 1.92%, 0.00%), (CSCO, 9,720, 1.89%, 0.00%), (GOOG, 3,004, 1.75%, 0.00%), (JPM, 2,027, 1.71%, 0.00%), (TSLA, 1,841, 1.71%, 0.00%), (AMT, 2,790, 1.70%, 0.00%), (XOM, 4,907, 1.55%, 0.00%), (V, 1,509, 1.51%, 0.00%), (CB, 1,540, 1.25%, 0.00%), (MA, 716, 1.23%, 0.00%), (LLY, 578, 1.19%, 0.00%), (WM, 1,725, 1.15%, 0.00%), (GE, 1,436, 1.12%, 0.00%), (ORCL, 1,444, 0.98%, 0.00%), (NEE, 4,430, 0.98%, 0.00%), (NFLX, 270, 0.95%, 0.00%), (UNH, 1,075, 0.95%, 0.00%), (JNJ, 1,766, 0.92%, 0.00%), (PG, 1,858, 0.85%, 0.00%), (COST, 300, 0.85%, 0.00%), (CVX, 1,866, 0.84%, 0.00%), (WMT, 2,939, 0.84%, 0.00%), (PLTR, 1,842, 0.84%, 0.00%), (RTX, 1,766, 0.80%, 0.00%), (MCD, 878, 0.79%, 0.00%), (ABBV, 1,296, 0.79%, 0.00%), (CAT, 640, 0.77%, 0.00%), (ABT, 2,025, 0.77%, 0.00%), (HD, 664, 0.77%, 0.00%), (KO, 3,359, 0.69%, 0.00%), (BKNG, 41, 0.68%, 0.00%), (PM, 1,347, 0.68%, 0.00%), (BAC, 4,806, 0.67%, 0.00%), (SO, 2,361, 0.65%, 0.00%), (BA, 992, 0.65%, 0.00%), (AMD, 1,346, 0.64%, 0.00%), (NKE, 2,870, 0.64%, 0.00%), (CRM, 859, 0.61%, 0.00%), (DUK, 1,664, 0.60%, 0.00%), (UBER, 2,136, 0.58%, 0.00%), (IBM, 831, 0.58%, 0.00%), (GS, 274, 0.57%, 0.00%), (ISRG, 416, 0.57%, 0.00%), (MET, 2,389, 0.55%, 0.00%), (HON, 863, 0.55%, 0.00%), (WFC, 2,397, 0.54%, 0.00%), (ETN, 524, 0.53%, 0.00%), (PEP, 1,189, 0.51%, 0.00%), (INTU, 252, 0.51%, 0.00%), (T, 5,720, 0.49%, 0.00%), (DE, 338, 0.48%, 0.00%), (NOW, 185, 0.47%, 0.00%), (MRK, 1,855, 0.46%, 0.00%), (MS, 1,083, 0.45%, 0.00%), (SPGI, 277, 0.44%, 0.00%), (TXN, 757, 0.44%, 0.00%), (VZ, 3,356, 0.44%, 0.00%), (AXP, 486, 0.43%, 0.00%), (BLK, 127, 0.42%, 0.00%), (QCOM, 921, 0.41%, 0.00%), (ACN, 561, 0.41%, 0.00%), (ADBE, 396, 0.41%, 0.00%), (UNP, 615, 0.40%, 0.00%), (COP, 1,444, 0.40%, 0.00%), (MDT, 1,498, 0.40%, 0.00%), (TMO, 281, 0.39%, 0.00%), (DIS, 1,143, 0.38%, 0.00%), (C, 1,362, 0.37%, 0.00%), (SCHW, 1,306, 0.36%, 0.00%), (LMT, 280, 0.36%, 0.00%), (SBUX, 1,388, 0.36%, 0.00%), (AMGN, 394, 0.34%, 0.00%), (MMM, 722, 0.32%, 0.00%), (AMAT, 684, 0.32%, 0.00%), (GILD, 914, 0.31%, 0.00%), (PFE, 4,156, 0.31%, 0.00%), (CVS, 1,470, 0.30%, 0.00%), (TJX, 754, 0.30%, 0.00%), (MO, 1,468, 0.29%, 0.00%), (EMR, 756, 0.29%, 0.00%), (LOW, 379, 0.28%, 0.00%), (DHR, 471, 0.28%, 0.00%), (INTC, 3,577, 0.24%, 0.00%), (ELV, 271, 0.24%, 0.00%), (CMCSA, 2,409, 0.23%, 0.00%), (MDLZ, 1,159, 0.21%, 0.00%), (BMY, 1,487, 0.21%, 0.00%), (UPS, 742, 0.19%, 0.00%), (PYPL, 876, 0.17%,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</si>
  <si>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3.17%, 0.00%), (META, 907, 2.87%, 0.00%), (BRK/B, 1,056, 2.20%, 0.00%), (GOOGL, 2,432, 2.08%, 0.00%), (LIN, 907, 1.87%, 0.00%), (CSCO, 6,410, 1.83%, 0.00%), (GOOG, 1,981, 1.70%, 0.00%), (JPM, 1,337, 1.67%, 0.00%), (TSLA, 1,214, 1.67%, 0.00%), (AMT, 1,840, 1.65%, 0.00%), (XOM, 3,236, 1.51%, 0.00%), (V, 995, 1.46%, 0.00%), (CB, 1,015, 1.21%, 0.00%), (MA, 472, 1.19%, 0.00%), (LLY, 381, 1.16%, 0.00%), (WM, 1,137, 1.12%, 0.00%), (GE, 947, 1.09%, 0.00%), (ORCL, 952, 0.95%, 0.00%), (NEE, 2,922, 0.95%, 0.00%), (UNH, 709, 0.92%, 0.00%), (NFLX, 178, 0.92%, 0.00%), (JNJ, 1,164, 0.89%, 0.00%), (PG, 1,225, 0.83%, 0.00%), (COST, 198, 0.82%, 0.00%), (CVX, 1,230, 0.82%, 0.00%), (WMT, 1,938, 0.81%, 0.00%), (PLTR, 1,215, 0.81%, 0.00%), (RTX, 1,164, 0.78%, 0.00%), (MCD, 579, 0.77%, 0.00%), (ABBV, 855, 0.77%, 0.00%), (CAT, 422, 0.75%, 0.00%), (ABT, 1,336, 0.75%, 0.00%), (HD, 438, 0.75%, 0.00%), (KO, 2,215, 0.67%, 0.00%), (BKNG, 27, 0.66%, 0.00%), (PM, 888, 0.66%, 0.00%), (BAC, 3,170, 0.65%, 0.00%), (SO, 1,557, 0.63%, 0.00%), (BA, 654, 0.63%, 0.00%), (AMD, 888, 0.62%, 0.00%), (NKE, 1,892, 0.62%, 0.00%), (CRM, 567, 0.59%, 0.00%), (DUK, 1,098, 0.58%, 0.00%), (UBER, 1,409, 0.57%, 0.00%), (IBM, 548, 0.56%, 0.00%), (GS, 181, 0.56%, 0.00%), (ISRG, 274, 0.55%, 0.00%), (MET, 1,575, 0.54%, 0.00%), (HON, 569, 0.53%, 0.00%), (WFC, 1,581, 0.53%, 0.00%), (ETN, 346, 0.51%, 0.00%), (PEP, 784, 0.50%, 0.00%), (INTU, 166, 0.50%, 0.00%), (T, 3,772, 0.47%, 0.00%), (DE, 223, 0.46%, 0.00%), (NOW, 122, 0.46%, 0.00%), (MRK, 1,223, 0.45%, 0.00%), (MS, 714, 0.44%, 0.00%), (SPGI, 183, 0.43%, 0.00%), (TXN, 499, 0.43%, 0.00%), (VZ, 2,213, 0.43%, 0.00%), (AXP, 321, 0.42%, 0.00%), (BLK, 84, 0.41%, 0.00%), (QCOM, 608, 0.40%, 0.00%), (ACN, 370, 0.40%, 0.00%), (ADBE, 261, 0.39%, 0.00%), (UNP, 406, 0.39%, 0.00%), (COP, 952, 0.39%, 0.00%), (MDT, 988, 0.39%, 0.00%), (TMO, 185, 0.38%, 0.00%), (DIS, 754, 0.37%, 0.00%), (C, 898, 0.36%, 0.00%), (SCHW, 861, 0.35%, 0.00%), (LMT, 185, 0.35%, 0.00%), (SBUX, 916, 0.35%, 0.00%), (AMGN, 260, 0.33%, 0.00%), (MMM, 476, 0.31%, 0.00%), (AMAT, 451, 0.31%, 0.00%), (GILD, 603, 0.30%, 0.00%), (PFE, 2,741, 0.30%, 0.00%), (CVS, 969, 0.29%, 0.00%), (TJX, 497, 0.29%, 0.00%), (MO, 968, 0.28%, 0.00%), (EMR, 499, 0.28%, 0.00%), (LOW, 250, 0.27%, 0.00%), (DHR, 311, 0.27%, 0.00%), (ELV, 179, 0.24%, 0.00%), (INTC, 2,359, 0.24%, 0.00%), (CMCSA, 1,589, 0.23%, 0.00%), (MDLZ, 764, 0.21%, 0.00%), (BMY, 981, 0.20%, 0.00%), (UPS, 489, 0.18%, 0.00%), (PYPL, 577, 0.17%, 0.00%), (CL, 425, 0.16%, 0.00%), (USB, 741, 0.15%, 0.00%), (FDX, 150, 0.14%, 0.00%), (TGT, 206, 0.09%, 0.00%), (SC9061B, nan, nan%, 0.00%), (SC9063B, nan, nan%, 0.00%), (SP9062B, nan, nan%, 0.00%), (SP9065B, nan, nan%, 0.00%), (SP9064B, nan, nan%, 0.00%), (XP9065B, nan, nan%, 0.00%)</t>
  </si>
  <si>
    <t>(META, 867, 2.61%, 0.00%), (BRK/B, 1,009, 2.00%, 0.00%), (GOOGL, 2,325, 1.89%, 0.00%), (LIN, 867, 1.70%, 0.00%), (CSCO, 6,128, 1.67%, 0.00%), (GOOG, 1,894, 1.55%, 0.00%), (JPM, 1,278, 1.51%, 0.00%), (TSLA, 1,161, 1.51%, 0.00%), (AMT, 1,759, 1.50%, 0.00%), (XOM, 3,093, 1.37%, 0.00%), (V, 952, 1.33%, 0.00%), (CB, 971, 1.10%, 0.00%), (MA, 451, 1.08%, 0.00%), (LLY, 364, 1.05%, 0.00%), (WM, 1,087, 1.02%, 0.00%), (GE, 905, 0.99%, 0.00%), (ORCL, 911, 0.87%, 0.00%), (NEE, 2,793, 0.86%, 0.00%), (UNH, 678, 0.84%, 0.00%), (NFLX, 170, 0.84%, 0.00%), (JNJ, 1,113, 0.81%, 0.00%), (PG, 1,171, 0.75%, 0.00%), (COST, 189, 0.75%, 0.00%), (CVX, 1,176, 0.75%, 0.00%), (WMT, 1,853, 0.74%, 0.00%), (PLTR, 1,161, 0.74%, 0.00%), (RTX, 1,113, 0.71%, 0.00%), (MCD, 553, 0.70%, 0.00%), (ABBV, 817, 0.70%, 0.00%), (CAT, 404, 0.69%, 0.00%), (ABT, 1,277, 0.68%, 0.00%), (HD, 419, 0.68%, 0.00%), (KO, 2,118, 0.61%, 0.00%), (BKNG, 26, 0.61%, 0.00%), (PM, 849, 0.60%, 0.00%), (BAC, 3,030, 0.59%, 0.00%), (SO, 1,488, 0.57%, 0.00%), (BA, 625, 0.57%, 0.00%), (AMD, 849, 0.57%, 0.00%), (NKE, 1,809, 0.56%, 0.00%), (CRM, 542, 0.54%, 0.00%), (DUK, 1,049, 0.53%, 0.00%), (UBER, 1,347, 0.52%, 0.00%), (IBM, 524, 0.51%, 0.00%), (GS, 173, 0.50%, 0.00%), (ISRG, 262, 0.50%, 0.00%), (MET, 1,506, 0.49%, 0.00%), (HON, 544, 0.48%, 0.00%), (WFC, 1,511, 0.48%, 0.00%), (ETN, 331, 0.47%, 0.00%), (PEP, 749, 0.45%, 0.00%), (INTU, 159, 0.45%, 0.00%), (T, 3,606, 0.43%, 0.00%), (DE, 213, 0.42%, 0.00%), (NOW, 117, 0.42%, 0.00%), (MRK, 1,170, 0.41%, 0.00%), (MS, 683, 0.40%, 0.00%), (SPGI, 175, 0.39%, 0.00%), (TXN, 477, 0.39%, 0.00%), (VZ, 2,116, 0.39%, 0.00%), (AXP, 306, 0.38%, 0.00%), (BLK, 80, 0.37%, 0.00%), (QCOM, 581, 0.36%, 0.00%), (ACN, 354, 0.36%, 0.00%), (ADBE, 249, 0.36%, 0.00%), (UNP, 388, 0.35%, 0.00%), (COP, 910, 0.35%, 0.00%), (MDT, 944, 0.35%, 0.00%), (TMO, 177, 0.35%, 0.00%), (DIS, 721, 0.34%, 0.00%), (C, 859, 0.32%, 0.00%), (SCHW, 823, 0.32%, 0.00%), (LMT, 176, 0.32%, 0.00%), (SBUX, 875, 0.32%, 0.00%), (AMGN, 249, 0.30%, 0.00%), (MMM, 455, 0.29%, 0.00%), (AMAT, 431, 0.28%, 0.00%), (PFE, 2,620, 0.27%, 0.00%), (GILD, 576, 0.27%, 0.00%), (CVS, 926, 0.27%, 0.00%), (TJX, 476, 0.26%, 0.00%), (MO, 926, 0.25%, 0.00%), (EMR, 477, 0.25%, 0.00%), (LOW, 239, 0.25%, 0.00%), (DHR, 297, 0.25%, 0.00%), (INTC, 2,255, 0.22%, 0.00%), (ELV, 171, 0.22%, 0.00%), (CMCSA, 1,519, 0.21%, 0.00%), (MDLZ, 730, 0.19%, 0.00%), (BMY, 938, 0.18%, 0.00%), (UPS, 468, 0.16%, 0.00%), (PYPL, 552, 0.15%, 0.00%), (CL, 406, 0.14%, 0.00%), (USB, 708, 0.13%,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</si>
  <si>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3.08%, 0.00%), (META, 575, 2.79%, 0.00%), (BRK/B, 669, 2.13%, 0.00%), (GOOGL, 1,541, 2.02%, 0.00%), (LIN, 575, 1.81%, 0.00%), (CSCO, 4,063, 1.78%, 0.00%), (GOOG, 1,256, 1.65%, 0.00%), (JPM, 847, 1.62%, 0.00%), (TSLA, 770, 1.62%, 0.00%), (AMT, 1,166, 1.61%, 0.00%), (XOM, 2,051, 1.46%, 0.00%), (V, 631, 1.42%, 0.00%), (CB, 644, 1.18%, 0.00%), (MA, 299, 1.16%, 0.00%), (LLY, 242, 1.12%, 0.00%), (WM, 721, 1.09%, 0.00%), (GE, 600, 1.05%, 0.00%), (ORCL, 604, 0.92%, 0.00%), (NEE, 1,852, 0.92%, 0.00%), (NFLX, 113, 0.89%, 0.00%), (UNH, 449, 0.89%, 0.00%), (JNJ, 738, 0.86%, 0.00%), (PG, 776, 0.80%, 0.00%), (CVX, 780, 0.80%, 0.00%), (COST, 125, 0.80%, 0.00%), (PLTR, 770, 0.79%, 0.00%), (WMT, 1,228, 0.79%, 0.00%), (RTX, 738, 0.76%, 0.00%), (MCD, 367, 0.75%, 0.00%), (ABBV, 542, 0.74%, 0.00%), (ABT, 847, 0.73%, 0.00%), (CAT, 268, 0.73%, 0.00%), (HD, 278, 0.72%, 0.00%), (KO, 1,404, 0.65%, 0.00%), (PM, 563, 0.64%, 0.00%), (BKNG, 17, 0.64%, 0.00%), (BAC, 2,009, 0.63%, 0.00%), (SO, 987, 0.61%, 0.00%), (BA, 414, 0.61%, 0.00%), (AMD, 563, 0.60%, 0.00%), (NKE, 1,199, 0.60%, 0.00%), (CRM, 359, 0.58%, 0.00%), (DUK, 696, 0.57%, 0.00%), (UBER, 893, 0.55%, 0.00%), (IBM, 347, 0.54%, 0.00%), (GS, 115, 0.54%, 0.00%), (ISRG, 174, 0.54%, 0.00%), (MET, 998, 0.52%, 0.00%), (HON, 361, 0.51%, 0.00%), (WFC, 1,002, 0.51%, 0.00%), (ETN, 219, 0.50%, 0.00%), (PEP, 497, 0.49%, 0.00%), (INTU, 105, 0.48%, 0.00%), (T, 2,391, 0.46%, 0.00%), (DE, 141, 0.45%, 0.00%), (NOW, 77, 0.44%, 0.00%), (MRK, 775, 0.43%, 0.00%), (MS, 453, 0.43%, 0.00%), (SPGI, 116, 0.42%, 0.00%), (VZ, 1,403, 0.41%, 0.00%), (TXN, 316, 0.41%, 0.00%), (AXP, 203, 0.41%, 0.00%), (BLK, 53, 0.39%, 0.00%), (QCOM, 385, 0.39%, 0.00%), (ACN, 235, 0.39%, 0.00%), (ADBE, 165, 0.38%, 0.00%), (UNP, 257, 0.38%, 0.00%), (COP, 604, 0.38%, 0.00%), (MDT, 626, 0.37%, 0.00%), (TMO, 117, 0.37%, 0.00%), (DIS, 478, 0.36%, 0.00%), (C, 569, 0.35%, 0.00%), (LMT, 117, 0.34%, 0.00%), (SCHW, 546, 0.34%, 0.00%), (SBUX, 580, 0.34%, 0.00%), (AMGN, 165, 0.32%, 0.00%), (MMM, 302, 0.30%, 0.00%), (AMAT, 286, 0.30%, 0.00%), (PFE, 1,737, 0.29%, 0.00%), (GILD, 382, 0.29%, 0.00%), (CVS, 614, 0.28%, 0.00%), (TJX, 315, 0.28%, 0.00%), (MO, 614, 0.27%, 0.00%), (EMR, 316, 0.27%, 0.00%), (LOW, 159, 0.27%, 0.00%), (DHR, 197, 0.26%, 0.00%), (INTC, 1,495, 0.23%, 0.00%), (ELV, 113, 0.23%, 0.00%), (CMCSA, 1,007, 0.22%, 0.00%), (MDLZ, 484, 0.20%, 0.00%), (BMY, 622, 0.20%, 0.00%), (UPS, 310, 0.18%, 0.00%), (PYPL, 366, 0.16%, 0.00%), (CL, 269, 0.15%, 0.00%), (USB, 469, 0.14%, 0.00%), (FDX, 95, 0.14%, 0.00%), (TGT, 130, 0.08%, 0.00%), (SC8071B, nan, nan%, 0.00%), (SC8073B, nan, nan%, 0.00%), (SP8072B, nan, nan%, 0.00%), (SP8075B, nan, nan%, 0.00%), (SP8074B, nan, nan%, 0.00%), (XP8075B, nan, nan%, 0.00%)</t>
  </si>
  <si>
    <t>(META, 6,001, 2.67%, 0.00%), (BRK/B, 6,982, 2.04%, 0.00%), (GOOGL, 16,085, 1.93%, 0.00%), (LIN, 5,998, 1.73%, 0.00%), (CSCO, 42,393, 1.70%, 0.00%), (GOOG, 13,101, 1.58%, 0.00%), (JPM, 8,841, 1.55%, 0.00%), (TSLA, 8,030, 1.54%, 0.00%), (AMT, 12,168, 1.53%, 0.00%), (XOM, 21,400, 1.40%, 0.00%), (V, 6,582, 1.36%, 0.00%), (CB, 6,715, 1.13%, 0.00%), (MA, 3,122, 1.11%, 0.00%), (LLY, 2,520, 1.07%, 0.00%), (WM, 7,522, 1.04%, 0.00%), (GE, 6,261, 1.01%, 0.00%), (ORCL, 6,299, 0.88%, 0.00%), (NEE, 19,323, 0.88%, 0.00%), (NFLX, 1,177, 0.85%, 0.00%), (UNH, 4,687, 0.85%, 0.00%), (JNJ, 7,701, 0.83%, 0.00%), (PG, 8,102, 0.77%, 0.00%), (COST, 1,308, 0.76%, 0.00%), (CVX, 8,138, 0.76%, 0.00%), (WMT, 12,819, 0.75%, 0.00%), (PLTR, 8,033, 0.75%, 0.00%), (RTX, 7,700, 0.72%, 0.00%), (MCD, 3,829, 0.72%, 0.00%), (ABBV, 5,652, 0.71%, 0.00%), (CAT, 2,793, 0.70%, 0.00%), (ABT, 8,834, 0.70%, 0.00%), (HD, 2,897, 0.69%, 0.00%), (KO, 14,651, 0.62%, 0.00%), (PM, 5,875, 0.61%, 0.00%), (BAC, 20,962, 0.60%, 0.00%), (BKNG, 177, 0.59%, 0.00%), (SO, 10,295, 0.58%, 0.00%), (BA, 4,325, 0.58%, 0.00%), (AMD, 5,870, 0.58%, 0.00%), (NKE, 12,516, 0.57%, 0.00%), (CRM, 3,747, 0.55%, 0.00%), (DUK, 7,259, 0.54%, 0.00%), (UBER, 9,315, 0.53%, 0.00%), (IBM, 3,624, 0.52%, 0.00%), (GS, 1,196, 0.51%, 0.00%), (ISRG, 1,814, 0.51%, 0.00%), (MET, 10,419, 0.50%, 0.00%), (HON, 3,762, 0.49%, 0.00%), (WFC, 10,455, 0.49%, 0.00%), (ETN, 2,286, 0.47%, 0.00%), (PEP, 5,185, 0.46%, 0.00%), (INTU, 1,098, 0.46%, 0.00%), (T, 24,948, 0.44%, 0.00%), (DE, 1,472, 0.43%, 0.00%), (NOW, 807, 0.42%, 0.00%), (MRK, 8,091, 0.42%, 0.00%), (MS, 4,725, 0.41%, 0.00%), (SPGI, 1,209, 0.40%, 0.00%), (VZ, 14,636, 0.39%, 0.00%), (TXN, 3,300, 0.39%, 0.00%), (AXP, 2,120, 0.39%, 0.00%), (BLK, 555, 0.38%, 0.00%), (QCOM, 4,019, 0.37%, 0.00%), (ACN, 2,449, 0.37%, 0.00%), (ADBE, 1,725, 0.37%, 0.00%), (UNP, 2,682, 0.36%, 0.00%), (COP, 6,298, 0.36%, 0.00%), (MDT, 6,532, 0.36%, 0.00%), (TMO, 1,223, 0.35%, 0.00%), (DIS, 4,985, 0.35%, 0.00%), (C, 5,939, 0.33%, 0.00%), (SCHW, 5,694, 0.33%, 0.00%), (LMT, 1,220, 0.33%, 0.00%), (SBUX, 6,056, 0.32%, 0.00%), (AMGN, 1,719, 0.31%, 0.00%), (MMM, 3,150, 0.29%, 0.00%), (AMAT, 2,982, 0.29%, 0.00%), (GILD, 3,986, 0.28%, 0.00%), (PFE, 18,126, 0.28%, 0.00%), (CVS, 6,409, 0.27%, 0.00%), (TJX, 3,289, 0.27%, 0.00%), (MO, 6,404, 0.26%, 0.00%), (EMR, 3,299, 0.26%, 0.00%), (LOW, 1,655, 0.25%, 0.00%), (DHR, 2,056, 0.25%, 0.00%), (INTC, 15,600, 0.22%, 0.00%), (ELV, 1,181, 0.22%, 0.00%), (CMCSA, 10,508, 0.21%, 0.00%), (MDLZ, 5,053, 0.19%, 0.00%), (BMY, 6,487, 0.19%, 0.00%), (UPS, 3,235, 0.17%, 0.00%), (PYPL, 3,819, 0.15%, 0.00%), (CL, 2,811, 0.15%, 0.00%), (USB, 4,899, 0.14%, 0.00%), (FDX, 994, 0.13%, 0.00%), (TGT, 1,360, 0.08%, 0.00%), (SC26771B, nan, nan%, 0.00%), (SC26773B, nan, nan%, 0.00%), (SP26772B, nan, nan%, 0.00%), (SP26774B, nan, nan%, 0.00%), (SP26775T, nan, nan%, 0.00%), (XP26775T, nan, nan%, 0.00%)</t>
  </si>
  <si>
    <t>(AVGO, 14,620, 3.14%, 0.00%), (META, 5,193, 2.85%, 0.00%), (BRK/B, 6,042, 2.18%, 0.00%), (GOOGL, 13,919, 2.06%, 0.00%), (LIN, 5,190, 1.85%, 0.00%), (CSCO, 36,686, 1.81%, 0.00%), (GOOG, 11,338, 1.69%, 0.00%), (JPM, 7,651, 1.65%, 0.00%), (TSLA, 6,949, 1.65%, 0.00%), (AMT, 10,530, 1.64%, 0.00%), (XOM, 18,519, 1.49%, 0.00%), (V, 5,696, 1.45%, 0.00%), (CB, 5,811, 1.20%, 0.00%), (MA, 2,702, 1.18%, 0.00%), (LLY, 2,181, 1.14%, 0.00%), (WM, 6,509, 1.11%, 0.00%), (GE, 5,419, 1.08%, 0.00%), (ORCL, 5,451, 0.94%, 0.00%), (NEE, 16,721, 0.94%, 0.00%), (UNH, 4,056, 0.91%, 0.00%), (NFLX, 1,018, 0.91%, 0.00%), (JNJ, 6,664, 0.88%, 0.00%), (PG, 7,012, 0.82%, 0.00%), (COST, 1,132, 0.81%, 0.00%), (CVX, 7,042, 0.81%, 0.00%), (WMT, 11,093, 0.81%, 0.00%), (PLTR, 6,952, 0.81%, 0.00%), (RTX, 6,664, 0.77%, 0.00%), (MCD, 3,313, 0.77%, 0.00%), (ABBV, 4,891, 0.76%, 0.00%), (CAT, 2,417, 0.75%, 0.00%), (ABT, 7,645, 0.74%, 0.00%), (HD, 2,507, 0.74%, 0.00%), (KO, 12,678, 0.66%, 0.00%), (PM, 5,084, 0.65%, 0.00%), (BKNG, 153, 0.65%, 0.00%), (BAC, 18,140, 0.64%, 0.00%), (SO, 8,909, 0.62%, 0.00%), (BA, 3,743, 0.62%, 0.00%), (AMD, 5,080, 0.62%, 0.00%), (NKE, 10,831, 0.61%, 0.00%), (CRM, 3,242, 0.59%, 0.00%), (DUK, 6,281, 0.58%, 0.00%), (UBER, 8,061, 0.56%, 0.00%), (IBM, 3,136, 0.56%, 0.00%), (GS, 1,035, 0.55%, 0.00%), (ISRG, 1,570, 0.55%, 0.00%), (MET, 9,016, 0.53%, 0.00%), (HON, 3,255, 0.52%, 0.00%), (WFC, 9,048, 0.52%, 0.00%), (ETN, 1,979, 0.51%, 0.00%), (PEP, 4,487, 0.50%, 0.00%), (INTU, 951, 0.49%, 0.00%), (T, 21,589, 0.47%, 0.00%), (DE, 1,274, 0.46%, 0.00%), (NOW, 699, 0.45%, 0.00%), (MRK, 7,002, 0.44%, 0.00%), (MS, 4,089, 0.44%, 0.00%), (SPGI, 1,047, 0.43%, 0.00%), (TXN, 2,855, 0.42%, 0.00%), (VZ, 12,666, 0.42%, 0.00%), (AXP, 1,834, 0.42%, 0.00%), (BLK, 480, 0.40%, 0.00%), (QCOM, 3,478, 0.40%, 0.00%), (ACN, 2,119, 0.40%, 0.00%), (ADBE, 1,493, 0.39%, 0.00%), (UNP, 2,321, 0.38%, 0.00%), (COP, 5,450, 0.38%, 0.00%), (MDT, 5,653, 0.38%, 0.00%), (TMO, 1,059, 0.38%, 0.00%), (DIS, 4,314, 0.37%, 0.00%), (C, 5,139, 0.35%, 0.00%), (SCHW, 4,928, 0.35%, 0.00%), (LMT, 1,056, 0.35%, 0.00%), (SBUX, 5,241, 0.34%, 0.00%), (AMGN, 1,488, 0.33%, 0.00%), (MMM, 2,726, 0.31%, 0.00%), (AMAT, 2,580, 0.31%, 0.00%), (GILD, 3,449, 0.30%, 0.00%), (PFE, 15,685, 0.30%, 0.00%), (CVS, 5,546, 0.29%, 0.00%), (TJX, 2,847, 0.29%, 0.00%), (MO, 5,542, 0.28%, 0.00%), (EMR, 2,855, 0.28%, 0.00%), (LOW, 1,432, 0.27%, 0.00%), (DHR, 1,779, 0.27%, 0.00%), (INTC, 13,500, 0.24%, 0.00%), (ELV, 1,022, 0.23%, 0.00%), (CMCSA, 9,093, 0.23%, 0.00%), (MDLZ, 4,373, 0.20%, 0.00%), (BMY, 5,614, 0.20%, 0.00%), (UPS, 2,800, 0.18%, 0.00%), (PYPL, 3,305, 0.17%, 0.00%), (CL, 2,433, 0.16%, 0.00%), (USB, 4,239, 0.14%, 0.00%), (FDX, 861, 0.14%, 0.00%), (TGT, 1,177, 0.08%, 0.00%), (SC23471B, nan, nan%, 0.00%), (SC23473B, nan, nan%, 0.00%), (SP23472B, nan, nan%, 0.00%), (SP23475B, nan, nan%, 0.00%), (SP23474B, nan, nan%, 0.00%), (XP23475B, nan, nan%, 0.00%)</t>
  </si>
  <si>
    <t>(AVGO, 10,897, 3.13%, 0.00%), (META, 3,871, 2.84%, 0.00%), (BRK/B, 4,504, 2.17%, 0.00%), (GOOGL, 10,375, 2.05%, 0.00%), (LIN, 3,869, 1.84%, 0.00%), (CSCO, 27,345, 1.81%, 0.00%), (GOOG, 8,451, 1.68%, 0.00%), (JPM, 5,703, 1.64%, 0.00%), (TSLA, 5,180, 1.64%, 0.00%), (AMT, 7,849, 1.63%, 0.00%), (XOM, 13,804, 1.49%, 0.00%), (V, 4,246, 1.44%, 0.00%), (CB, 4,332, 1.20%, 0.00%), (MA, 2,014, 1.18%, 0.00%), (LLY, 1,626, 1.14%, 0.00%), (WM, 4,852, 1.10%, 0.00%), (GE, 4,039, 1.07%, 0.00%), (ORCL, 4,063, 0.94%, 0.00%), (NEE, 12,464, 0.94%, 0.00%), (UNH, 3,023, 0.91%, 0.00%), (NFLX, 759, 0.91%, 0.00%), (JNJ, 4,967, 0.88%, 0.00%), (PG, 5,226, 0.82%, 0.00%), (COST, 844, 0.81%, 0.00%), (CVX, 5,249, 0.81%, 0.00%), (WMT, 8,269, 0.80%, 0.00%), (PLTR, 5,182, 0.80%, 0.00%), (RTX, 4,967, 0.77%, 0.00%), (MCD, 2,470, 0.76%, 0.00%), (ABBV, 3,646, 0.75%, 0.00%), (CAT, 1,802, 0.74%, 0.00%), (ABT, 5,698, 0.74%, 0.00%), (HD, 1,869, 0.73%, 0.00%), (KO, 9,450, 0.66%, 0.00%), (PM, 3,790, 0.65%, 0.00%), (BKNG, 114, 0.65%, 0.00%), (BAC, 13,522, 0.64%, 0.00%), (SO, 6,641, 0.62%, 0.00%), (BA, 2,790, 0.62%, 0.00%), (AMD, 3,786, 0.61%, 0.00%), (NKE, 8,073, 0.61%, 0.00%), (CRM, 2,417, 0.59%, 0.00%), (DUK, 4,682, 0.58%, 0.00%), (UBER, 6,009, 0.56%, 0.00%), (IBM, 2,338, 0.55%, 0.00%), (GS, 771, 0.55%, 0.00%), (ISRG, 1,170, 0.54%, 0.00%), (MET, 6,721, 0.53%, 0.00%), (HON, 2,427, 0.52%, 0.00%), (WFC, 6,744, 0.52%, 0.00%), (ETN, 1,475, 0.50%, 0.00%), (PEP, 3,344, 0.49%, 0.00%), (INTU, 709, 0.49%, 0.00%), (T, 16,092, 0.47%, 0.00%), (DE, 950, 0.46%, 0.00%), (NOW, 521, 0.45%, 0.00%), (MRK, 5,219, 0.44%, 0.00%), (MS, 3,048, 0.43%, 0.00%), (SPGI, 780, 0.43%, 0.00%), (TXN, 2,128, 0.42%, 0.00%), (VZ, 9,441, 0.42%, 0.00%), (AXP, 1,367, 0.42%, 0.00%), (BLK, 358, 0.40%, 0.00%), (QCOM, 2,592, 0.40%, 0.00%), (ACN, 1,580, 0.40%, 0.00%), (ADBE, 1,113, 0.39%, 0.00%), (UNP, 1,730, 0.38%, 0.00%), (COP, 4,063, 0.38%, 0.00%), (MDT, 4,213, 0.38%, 0.00%), (TMO, 789, 0.38%, 0.00%), (DIS, 3,216, 0.37%, 0.00%), (C, 3,831, 0.35%, 0.00%), (SCHW, 3,673, 0.35%, 0.00%), (LMT, 787, 0.35%, 0.00%), (SBUX, 3,906, 0.34%, 0.00%), (AMGN, 1,109, 0.32%, 0.00%), (MMM, 2,032, 0.31%, 0.00%), (AMAT, 1,923, 0.30%, 0.00%), (GILD, 2,571, 0.30%, 0.00%), (PFE, 11,692, 0.30%, 0.00%), (CVS, 4,134, 0.29%, 0.00%), (TJX, 2,122, 0.29%, 0.00%), (MO, 4,131, 0.28%, 0.00%), (EMR, 2,128, 0.27%, 0.00%), (LOW, 1,067, 0.27%, 0.00%), (DHR, 1,326, 0.27%, 0.00%), (INTC, 10,063, 0.23%, 0.00%), (ELV, 762, 0.23%, 0.00%), (CMCSA, 6,778, 0.23%, 0.00%), (MDLZ, 3,259, 0.20%, 0.00%), (BMY, 4,184, 0.20%, 0.00%), (UPS, 2,087, 0.18%, 0.00%), (PYPL, 2,463, 0.16%, 0.00%), (CL, 1,813, 0.15%, 0.00%), (USB, 3,160, 0.14%, 0.00%), (FDX, 641, 0.14%, 0.00%), (TGT, 878, 0.08%, 0.00%), (SC22171B, nan, nan%, 0.00%), (SC22173B, nan, nan%, 0.00%), (SP22172B, nan, nan%, 0.00%), (SP22175B, nan, nan%, 0.00%), (SP22174B, nan, nan%, 0.00%), (XP22175B, nan, nan%, 0.00%)</t>
  </si>
  <si>
    <t>(META, 1,463, 2.70%, 0.00%), (BRK/B, 1,703, 2.07%, 0.00%), (GOOGL, 3,922, 1.96%, 0.00%), (LIN, 1,463, 1.76%, 0.00%), (CSCO, 10,338, 1.72%, 0.00%), (GOOG, 3,195, 1.60%, 0.00%), (JPM, 2,156, 1.57%, 0.00%), (TSLA, 1,958, 1.56%, 0.00%), (AMT, 2,967, 1.55%, 0.00%), (XOM, 5,219, 1.42%, 0.00%), (V, 1,605, 1.38%, 0.00%), (CB, 1,638, 1.14%, 0.00%), (MA, 761, 1.12%, 0.00%), (LLY, 615, 1.09%, 0.00%), (WM, 1,834, 1.05%, 0.00%), (GE, 1,527, 1.02%, 0.00%), (ORCL, 1,536, 0.89%, 0.00%), (NEE, 4,712, 0.89%, 0.00%), (UNH, 1,143, 0.86%, 0.00%), (NFLX, 287, 0.86%, 0.00%), (JNJ, 1,878, 0.84%, 0.00%), (PG, 1,976, 0.78%, 0.00%), (COST, 319, 0.77%, 0.00%), (CVX, 1,984, 0.77%, 0.00%), (WMT, 3,126, 0.76%, 0.00%), (PLTR, 1,959, 0.76%, 0.00%), (RTX, 1,878, 0.73%, 0.00%), (MCD, 934, 0.73%, 0.00%), (ABBV, 1,378, 0.72%, 0.00%), (CAT, 681, 0.71%, 0.00%), (ABT, 2,154, 0.71%, 0.00%), (HD, 706, 0.70%, 0.00%), (KO, 3,573, 0.63%, 0.00%), (PM, 1,433, 0.62%, 0.00%), (BKNG, 43, 0.61%, 0.00%), (BAC, 5,112, 0.61%, 0.00%), (SO, 2,511, 0.59%, 0.00%), (BA, 1,055, 0.59%, 0.00%), (AMD, 1,431, 0.59%, 0.00%), (NKE, 3,052, 0.58%, 0.00%), (CRM, 914, 0.56%, 0.00%), (DUK, 1,770, 0.55%, 0.00%), (UBER, 2,272, 0.53%, 0.00%), (IBM, 884, 0.53%, 0.00%), (GS, 292, 0.52%, 0.00%), (ISRG, 442, 0.52%, 0.00%), (MET, 2,541, 0.50%, 0.00%), (HON, 917, 0.50%, 0.00%), (WFC, 2,550, 0.49%, 0.00%), (ETN, 558, 0.48%, 0.00%), (PEP, 1,264, 0.47%, 0.00%), (INTU, 268, 0.46%, 0.00%), (T, 6,084, 0.45%, 0.00%), (DE, 359, 0.44%, 0.00%), (NOW, 197, 0.43%, 0.00%), (MRK, 1,973, 0.42%, 0.00%), (MS, 1,152, 0.41%, 0.00%), (SPGI, 295, 0.41%, 0.00%), (TXN, 805, 0.40%, 0.00%), (VZ, 3,569, 0.40%, 0.00%), (AXP, 517, 0.40%, 0.00%), (BLK, 135, 0.38%, 0.00%), (ACN, 597, 0.38%, 0.00%), (QCOM, 980, 0.38%, 0.00%), (ADBE, 421, 0.37%, 0.00%), (UNP, 654, 0.36%, 0.00%), (COP, 1,536, 0.36%, 0.00%), (MDT, 1,593, 0.36%, 0.00%), (TMO, 298, 0.36%, 0.00%), (DIS, 1,216, 0.35%, 0.00%), (C, 1,448, 0.33%, 0.00%), (SCHW, 1,389, 0.33%, 0.00%), (LMT, 298, 0.33%, 0.00%), (SBUX, 1,477, 0.33%, 0.00%), (AMGN, 419, 0.31%, 0.00%), (MMM, 768, 0.29%, 0.00%), (AMAT, 727, 0.29%, 0.00%), (PFE, 4,420, 0.28%, 0.00%), (GILD, 972, 0.28%, 0.00%), (CVS, 1,563, 0.28%, 0.00%), (TJX, 802, 0.27%, 0.00%), (MO, 1,562, 0.26%, 0.00%), (EMR, 804, 0.26%, 0.00%), (LOW, 403, 0.26%, 0.00%), (DHR, 501, 0.26%, 0.00%), (INTC, 3,804, 0.22%, 0.00%), (ELV, 288, 0.22%, 0.00%), (CMCSA, 2,562, 0.21%,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</si>
  <si>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3.01%, 0.00%), (META, 1,591, 2.73%, 0.00%), (BRK/B, 1,851, 2.09%, 0.00%), (GOOGL, 4,265, 1.98%, 0.00%), (LIN, 1,590, 1.78%, 0.00%), (CSCO, 11,240, 1.74%, 0.00%), (GOOG, 3,474, 1.62%, 0.00%), (JPM, 2,344, 1.58%, 0.00%), (TSLA, 2,129, 1.58%, 0.00%), (AMT, 3,226, 1.57%, 0.00%), (XOM, 5,674, 1.43%, 0.00%), (V, 1,745, 1.39%, 0.00%), (CB, 1,780, 1.15%, 0.00%), (MA, 828, 1.14%, 0.00%), (LLY, 668, 1.10%, 0.00%), (WM, 1,994, 1.06%, 0.00%), (GE, 1,660, 1.03%, 0.00%), (ORCL, 1,670, 0.91%, 0.00%), (NEE, 5,123, 0.90%, 0.00%), (UNH, 1,243, 0.88%, 0.00%), (NFLX, 312, 0.87%, 0.00%), (JNJ, 2,042, 0.85%, 0.00%), (PG, 2,148, 0.79%, 0.00%), (COST, 347, 0.78%, 0.00%), (CVX, 2,157, 0.78%, 0.00%), (WMT, 3,399, 0.77%, 0.00%), (PLTR, 2,130, 0.77%, 0.00%), (RTX, 2,042, 0.74%, 0.00%), (MCD, 1,015, 0.74%, 0.00%), (ABBV, 1,499, 0.73%, 0.00%), (CAT, 741, 0.72%, 0.00%), (ABT, 2,342, 0.72%, 0.00%), (HD, 768, 0.71%, 0.00%), (KO, 3,884, 0.64%, 0.00%), (PM, 1,558, 0.63%, 0.00%), (BKNG, 47, 0.62%, 0.00%), (BAC, 5,558, 0.62%, 0.00%), (SO, 2,730, 0.60%, 0.00%), (BA, 1,147, 0.60%, 0.00%), (AMD, 1,556, 0.59%, 0.00%), (NKE, 3,318, 0.59%, 0.00%), (CRM, 993, 0.57%, 0.00%), (DUK, 1,924, 0.56%, 0.00%), (UBER, 2,470, 0.54%, 0.00%), (IBM, 961, 0.53%, 0.00%), (GS, 317, 0.53%, 0.00%), (ISRG, 481, 0.53%, 0.00%), (MET, 2,762, 0.51%, 0.00%), (HON, 997, 0.50%, 0.00%), (WFC, 2,772, 0.50%, 0.00%), (ETN, 606, 0.49%, 0.00%), (PEP, 1,375, 0.48%, 0.00%), (INTU, 291, 0.47%, 0.00%), (T, 6,614, 0.45%, 0.00%), (DE, 390, 0.44%, 0.00%), (NOW, 214, 0.43%, 0.00%), (MRK, 2,145, 0.43%, 0.00%), (MS, 1,253, 0.42%, 0.00%), (SPGI, 321, 0.41%, 0.00%), (TXN, 875, 0.41%, 0.00%), (VZ, 3,881, 0.40%, 0.00%), (AXP, 562, 0.40%, 0.00%), (BLK, 147, 0.38%, 0.00%), (QCOM, 1,065, 0.38%, 0.00%), (ACN, 649, 0.38%, 0.00%), (ADBE, 457, 0.38%, 0.00%), (UNP, 711, 0.37%, 0.00%), (COP, 1,670, 0.37%, 0.00%), (MDT, 1,732, 0.37%, 0.00%), (TMO, 324, 0.36%, 0.00%), (DIS, 1,322, 0.36%, 0.00%), (C, 1,575, 0.34%, 0.00%), (SCHW, 1,510, 0.34%, 0.00%), (LMT, 324, 0.33%, 0.00%), (SBUX, 1,606, 0.33%, 0.00%), (AMGN, 456, 0.31%, 0.00%), (MMM, 835, 0.30%, 0.00%), (AMAT, 791, 0.29%, 0.00%), (PFE, 4,806, 0.29%, 0.00%), (GILD, 1,057, 0.29%, 0.00%), (CVS, 1,699, 0.28%, 0.00%), (TJX, 872, 0.28%, 0.00%), (MO, 1,698, 0.27%, 0.00%), (EMR, 875, 0.26%, 0.00%), (LOW, 439, 0.26%, 0.00%), (DHR, 545, 0.26%, 0.00%), (INTC, 4,136, 0.23%, 0.00%), (ELV, 313, 0.23%, 0.00%), (CMCSA, 2,786, 0.22%, 0.00%), (MDLZ, 1,340, 0.20%, 0.00%), (BMY, 1,720, 0.19%, 0.00%), (UPS, 858, 0.17%,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</si>
  <si>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3.12%, 0.00%), (META, 2,991, 2.83%, 0.00%), (BRK/B, 3,480, 2.17%, 0.00%), (GOOGL, 8,018, 2.05%, 0.00%), (LIN, 2,990, 1.84%, 0.00%), (CSCO, 21,132, 1.81%, 0.00%), (GOOG, 6,531, 1.68%, 0.00%), (JPM, 4,407, 1.64%, 0.00%), (TSLA, 4,003, 1.64%, 0.00%), (AMT, 6,065, 1.63%, 0.00%), (XOM, 10,667, 1.49%, 0.00%), (V, 3,281, 1.44%, 0.00%), (CB, 3,347, 1.20%, 0.00%), (MA, 1,556, 1.18%, 0.00%), (LLY, 1,256, 1.14%, 0.00%), (WM, 3,749, 1.10%, 0.00%), (GE, 3,121, 1.07%, 0.00%), (ORCL, 3,140, 0.94%, 0.00%), (NEE, 9,632, 0.94%, 0.00%), (NFLX, 587, 0.91%, 0.00%), (UNH, 2,336, 0.91%, 0.00%), (JNJ, 3,839, 0.88%, 0.00%), (PG, 4,039, 0.82%, 0.00%), (COST, 652, 0.81%, 0.00%), (CVX, 4,056, 0.81%, 0.00%), (WMT, 6,390, 0.80%, 0.00%), (PLTR, 4,004, 0.80%, 0.00%), (RTX, 3,838, 0.77%, 0.00%), (MCD, 1,908, 0.76%, 0.00%), (ABBV, 2,817, 0.75%, 0.00%), (CAT, 1,392, 0.74%, 0.00%), (ABT, 4,403, 0.74%, 0.00%), (HD, 1,444, 0.73%, 0.00%), (KO, 7,303, 0.66%, 0.00%), (PM, 2,929, 0.65%, 0.00%), (BKNG, 88, 0.64%, 0.00%), (BAC, 10,449, 0.64%, 0.00%), (SO, 5,132, 0.62%, 0.00%), (BA, 2,156, 0.62%, 0.00%), (AMD, 2,926, 0.61%, 0.00%), (NKE, 6,239, 0.61%, 0.00%), (CRM, 1,868, 0.59%, 0.00%), (DUK, 3,618, 0.58%, 0.00%), (UBER, 4,643, 0.56%, 0.00%), (IBM, 1,806, 0.55%, 0.00%), (GS, 596, 0.55%, 0.00%), (ISRG, 904, 0.54%, 0.00%), (MET, 5,193, 0.53%, 0.00%), (HON, 1,875, 0.52%, 0.00%), (WFC, 5,212, 0.52%, 0.00%), (ETN, 1,140, 0.50%, 0.00%), (PEP, 2,584, 0.49%, 0.00%), (INTU, 548, 0.49%, 0.00%), (T, 12,436, 0.47%, 0.00%), (DE, 734, 0.46%, 0.00%), (NOW, 402, 0.45%, 0.00%), (MRK, 4,033, 0.44%, 0.00%), (MS, 2,355, 0.43%, 0.00%), (SPGI, 603, 0.43%, 0.00%), (TXN, 1,645, 0.42%, 0.00%), (VZ, 7,296, 0.42%, 0.00%), (AXP, 1,057, 0.42%, 0.00%), (BLK, 276, 0.40%, 0.00%), (ACN, 1,221, 0.40%, 0.00%), (QCOM, 2,003, 0.40%, 0.00%), (ADBE, 860, 0.39%, 0.00%), (UNP, 1,337, 0.38%, 0.00%), (COP, 3,140, 0.38%, 0.00%), (MDT, 3,256, 0.38%, 0.00%), (TMO, 610, 0.38%, 0.00%), (DIS, 2,485, 0.37%, 0.00%), (C, 2,960, 0.35%, 0.00%), (SCHW, 2,838, 0.35%, 0.00%), (LMT, 608, 0.35%, 0.00%), (SBUX, 3,019, 0.34%, 0.00%), (AMGN, 857, 0.32%, 0.00%), (MMM, 1,570, 0.31%, 0.00%), (AMAT, 1,486, 0.30%, 0.00%), (PFE, 9,035, 0.30%, 0.00%), (GILD, 1,987, 0.30%, 0.00%), (CVS, 3,195, 0.29%, 0.00%), (TJX, 1,640, 0.29%, 0.00%), (MO, 3,192, 0.28%, 0.00%), (EMR, 1,644, 0.27%, 0.00%), (LOW, 825, 0.27%, 0.00%), (DHR, 1,025, 0.27%, 0.00%), (INTC, 7,776, 0.23%, 0.00%), (ELV, 589, 0.23%, 0.00%), (CMCSA, 5,238, 0.22%, 0.00%), (MDLZ, 2,519, 0.20%, 0.00%), (BMY, 3,234, 0.20%, 0.00%), (UPS, 1,613, 0.18%, 0.00%), (PYPL, 1,904, 0.16%, 0.00%), (CL, 1,401, 0.15%, 0.00%), (USB, 2,442, 0.14%, 0.00%), (FDX, 496, 0.14%, 0.00%), (TGT, 678, 0.08%, 0.00%), (SC26771B, nan, nan%, 0.00%), (SC26773B, nan, nan%, 0.00%), (SP26772B, nan, nan%, 0.00%), (SP26775B, nan, nan%, 0.00%), (SP26774B, nan, nan%, 0.00%), (XP26775B, nan, nan%, 0.00%)</t>
  </si>
  <si>
    <t>EBAY, BK, META, GOOGL, MLI, MSFT, JPM, BLK, BKNG, EA, PHM, RJF</t>
  </si>
  <si>
    <t>(EWBC, 9,960, 1.90%, 0.01%), (AXP, 3,250, 1.88%, 0.00%), (HIG, 7,715, 1.87%, 0.00%), (TRV, 3,666, 1.83%, 0.00%), (V, 2,881, 1.83%, 0.00%), (NVDA, 5,383, 1.73%, 0.00%), (SNA, 2,873, 1.73%, 0.01%), (ADP, 3,078, 1.72%, 0.00%), (ROST, 6,419, 1.71%, 0.00%), (PCAR, 9,112, 1.67%, 0.00%), (LEN, 6,802, 1.67%, 0.00%), (UNM, 12,962, 1.64%, 0.01%), (CB, 3,251, 1.63%, 0.00%), (AMAT, 5,520, 1.62%, 0.00%), (KLAC, 1,019, 1.61%, 0.00%), (SYF, 12,032, 1.59%, 0.00%), (CTSH, 11,645, 1.53%, 0.00%), (WSM, 4,074, 1.50%, 0.00%), (PAYC, 3,525, 1.49%, 0.01%), (CRM, 3,301, 1.48%, 0.00%), (DHI, 4,520, 1.40%, 0.00%), (BKR, 17,137, 1.39%, 0.00%), (QCOM, 4,648, 1.33%, 0.00%), (ACN, 2,746, 1.29%, 0.00%), (ELV, 2,207, 1.26%, 0.00%), (AFL, 6,365, 1.25%, 0.00%), (AAPL, 3,001, 1.24%, 0.00%), (ODFL, 3,948, 1.14%, 0.00%), (MPWR, 735, 1.12%, 0.00%), (LRCX, 5,936, 1.08%, 0.00%), (CSCO, 8,621, 1.05%, 0.00%), (GE, 2,080, 1.00%, 0.00%), (STT, 4,778, 1.00%, 0.00%), (PNC, 2,559, 0.93%, 0.00%), (MTB, 2,543, 0.92%, 0.00%), (AMP, 931, 0.87%, 0.00%), (CF, 5,461, 0.86%, 0.00%), (COST, 478, 0.83%, 0.00%), (ABT, 3,440, 0.83%, 0.00%), (XOM, 4,000, 0.81%, 0.00%), (EOG, 3,599, 0.79%, 0.00%), (CSL, 1,071, 0.77%, 0.00%), (EG, 1,210, 0.75%, 0.00%), (GEV, 487, 0.54%, 0.00%), (NTRS, 2,218, 0.52%, 0.00%), (MA, 463, 0.50%, 0.00%), (CRBG, 7,620, 0.48%, 0.00%), (JNJ, 1,485, 0.48%, 0.00%), (ACM, 2,098, 0.47%, 0.00%), (LNC, 6,066, 0.46%, 0.00%), (JXN, 2,504, 0.45%, 0.00%), (MTG, 8,715, 0.44%, 0.00%), (CINF, 1,543, 0.43%, 0.00%), (WTFC, 1,787, 0.43%, 0.00%), (DOV, 1,297, 0.43%, 0.00%), (ADM, 3,693, 0.42%, 0.00%), (EQH, 4,300, 0.42%, 0.00%), (SLM, 7,121, 0.41%, 0.00%), (ALL, 1,098, 0.41%, 0.00%), (MCK, 320, 0.40%, 0.00%), (NUE, 1,483, 0.40%, 0.00%), (NKE, 2,703, 0.38%, 0.00%), (PGR, 809, 0.37%, 0.00%), (FANG, 1,154, 0.30%, 0.00%), (SC13N61B, nan, nan%, 0.00%), (SC13N63B, nan, nan%, 0.00%), (SP13N62B, nan, nan%, 0.00%), (SP13N65B, nan, nan%, 0.00%), (SP13N64B, nan, nan%, 0.00%), (SPX Index, nan, nan%, 0.00%), (XP13N65B, nan, nan%, 0.00%)</t>
  </si>
  <si>
    <t>(AVGO, 3,873, 3.28%, 0.00%), (META, 1,376, 2.99%, 0.00%), (BRK/B, 1,601, 2.24%, 0.00%), (GOOGL, 3,688, 2.19%, 0.00%), (LIN, 1,375, 1.91%, 0.00%), (CSCO, 9,720, 1.88%, 0.00%), (TSLA, 1,841, 1.79%, 0.00%), (GOOG, 3,004, 1.79%, 0.00%), (JPM, 2,027, 1.72%, 0.00%), (AMT, 2,790, 1.70%, 0.00%), (XOM, 4,907, 1.56%, 0.00%), (V, 1,509, 1.52%, 0.00%), (CB, 1,540, 1.23%, 0.00%), (MA, 716, 1.23%, 0.00%), (LLY, 578, 1.18%, 0.00%), (WM, 1,725, 1.13%, 0.00%), (GE, 1,436, 1.10%, 0.00%), (ORCL, 1,444, 0.98%, 0.00%), (NEE, 4,430, 0.97%, 0.00%), (UNH, 1,075, 0.95%, 0.00%), (NFLX, 270, 0.94%, 0.00%), (JNJ, 1,766, 0.91%, 0.00%), (CVX, 1,866, 0.85%, 0.00%), (PG, 1,858, 0.84%, 0.00%), (PLTR, 1,842, 0.84%, 0.00%), (COST, 300, 0.83%, 0.00%), (WMT, 2,939, 0.82%, 0.00%), (RTX, 1,766, 0.79%, 0.00%), (CAT, 640, 0.79%, 0.00%), (MCD, 878, 0.79%, 0.00%), (ABBV, 1,296, 0.78%, 0.00%), (HD, 664, 0.78%, 0.00%), (ABT, 2,025, 0.77%, 0.00%), (KO, 3,359, 0.68%, 0.00%), (BKNG, 41, 0.68%, 0.00%), (BAC, 4,806, 0.68%, 0.00%), (PM, 1,347, 0.66%, 0.00%), (BA, 992, 0.66%, 0.00%), (AMD, 1,346, 0.65%, 0.00%), (NKE, 2,870, 0.65%, 0.00%), (SO, 2,361, 0.64%, 0.00%), (CRM, 859, 0.61%, 0.00%), (DUK, 1,664, 0.60%, 0.00%), (UBER, 2,136, 0.59%, 0.00%), (GS, 274, 0.58%, 0.00%), (IBM, 831, 0.58%, 0.00%), (ISRG, 416, 0.57%, 0.00%), (MET, 2,389, 0.56%, 0.00%), (HON, 863, 0.55%, 0.00%), (WFC, 2,397, 0.54%, 0.00%), (ETN, 524, 0.53%, 0.00%), (PEP, 1,189, 0.51%, 0.00%), (DE, 338, 0.48%, 0.00%), (INTU, 252, 0.48%, 0.00%), (T, 5,720, 0.47%, 0.00%), (NOW, 185, 0.47%, 0.00%), (MRK, 1,855, 0.46%, 0.00%), (MS, 1,083, 0.46%, 0.00%), (SPGI, 277, 0.44%, 0.00%), (TXN, 757, 0.44%, 0.00%), (AXP, 486, 0.44%, 0.00%), (VZ, 3,356, 0.43%, 0.00%), (BLK, 127, 0.42%, 0.00%), (QCOM, 921, 0.42%, 0.00%), (ADBE, 396, 0.41%, 0.00%), (ACN, 561, 0.41%, 0.00%), (COP, 1,444, 0.40%, 0.00%), (TMO, 281, 0.40%, 0.00%), (MDT, 1,498, 0.40%, 0.00%), (UNP, 615, 0.40%, 0.00%), (DIS, 1,143, 0.39%, 0.00%), (C, 1,362, 0.37%, 0.00%), (SCHW, 1,306, 0.36%, 0.00%), (LMT, 280, 0.36%, 0.00%), (SBUX, 1,388, 0.35%, 0.00%), (MMM, 722, 0.33%, 0.00%), (AMAT, 684, 0.32%, 0.00%), (PFE, 4,156, 0.31%, 0.00%), (GILD, 914, 0.30%, 0.00%), (CVS, 1,470, 0.30%, 0.00%), (TJX, 754, 0.29%, 0.00%), (EMR, 756, 0.29%, 0.00%), (DHR, 471, 0.29%, 0.00%), (LOW, 379, 0.28%, 0.00%), (MO, 1,468, 0.28%, 0.00%), (INTC, 3,577, 0.25%, 0.00%), (AMGN, 294, 0.25%, 0.00%), (ELV, 271, 0.25%, 0.00%), (CMCSA, 2,409, 0.24%, 0.00%), (MDLZ, 1,159, 0.21%, 0.00%), (BMY, 1,487, 0.21%, 0.00%), (UPS, 742, 0.19%, 0.00%), (PYPL, 876, 0.18%, 0.00%), (CL, 644, 0.16%, 0.00%), (USB, 1,123,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</si>
  <si>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2,554, 3.20%, 0.00%), (META, 907, 2.91%, 0.00%), (BRK/B, 1,056, 2.18%, 0.00%), (GOOGL, 2,432, 2.13%, 0.00%), (LIN, 907, 1.86%, 0.00%), (CSCO, 6,410, 1.83%, 0.00%), (TSLA, 1,214, 1.74%, 0.00%), (GOOG, 1,981, 1.74%, 0.00%), (JPM, 1,337, 1.68%, 0.00%), (AMT, 1,840, 1.66%, 0.00%), (XOM, 3,236, 1.52%, 0.00%), (V, 995, 1.48%, 0.00%), (CB, 1,015, 1.20%, 0.00%), (MA, 472, 1.20%, 0.00%), (LLY, 381, 1.15%, 0.00%), (WM, 1,137, 1.10%, 0.00%), (GE, 947, 1.07%, 0.00%), (ORCL, 952, 0.96%, 0.00%), (NEE, 2,922, 0.95%, 0.00%), (UNH, 709, 0.93%, 0.00%), (NFLX, 178, 0.91%, 0.00%), (JNJ, 1,164, 0.89%, 0.00%), (CVX, 1,230, 0.83%, 0.00%), (PG, 1,225, 0.82%, 0.00%), (PLTR, 1,215, 0.82%, 0.00%), (COST, 198, 0.81%, 0.00%), (WMT, 1,938, 0.80%, 0.00%), (RTX, 1,164, 0.77%, 0.00%), (CAT, 422, 0.77%, 0.00%), (MCD, 579, 0.77%, 0.00%), (ABBV, 855, 0.76%, 0.00%), (HD, 438, 0.76%, 0.00%), (ABT, 1,336, 0.75%, 0.00%), (KO, 2,215, 0.66%, 0.00%), (BAC, 3,170, 0.66%, 0.00%), (BKNG, 27, 0.66%, 0.00%), (PM, 888, 0.64%, 0.00%), (BA, 654, 0.64%, 0.00%), (AMD, 888, 0.63%, 0.00%), (NKE, 1,892, 0.63%, 0.00%), (SO, 1,557, 0.63%, 0.00%), (CRM, 567, 0.59%, 0.00%), (DUK, 1,098, 0.58%, 0.00%), (UBER, 1,409, 0.57%, 0.00%), (GS, 181, 0.57%, 0.00%), (IBM, 548, 0.56%, 0.00%), (ISRG, 274, 0.56%, 0.00%), (MET, 1,575, 0.55%, 0.00%), (HON, 569, 0.54%, 0.00%), (WFC, 1,581, 0.53%, 0.00%), (ETN, 346, 0.51%, 0.00%), (PEP, 784, 0.50%, 0.00%), (DE, 223, 0.47%, 0.00%), (INTU, 166, 0.47%, 0.00%), (T, 3,772, 0.46%, 0.00%), (NOW, 122, 0.46%, 0.00%), (MRK, 1,223, 0.45%, 0.00%), (MS, 714, 0.45%, 0.00%), (TXN, 499, 0.43%, 0.00%), (SPGI, 183, 0.43%, 0.00%), (AXP, 321, 0.43%, 0.00%), (VZ, 2,213, 0.42%, 0.00%), (BLK, 84, 0.41%, 0.00%), (QCOM, 608, 0.41%, 0.00%), (ACN, 370, 0.40%, 0.00%), (ADBE, 261, 0.40%, 0.00%), (COP, 952, 0.39%, 0.00%), (UNP, 406, 0.39%, 0.00%), (MDT, 988, 0.39%, 0.00%), (TMO, 185, 0.39%, 0.00%), (DIS, 754, 0.38%, 0.00%), (C, 898, 0.36%, 0.00%), (SCHW, 861, 0.35%, 0.00%), (LMT, 185, 0.35%, 0.00%), (SBUX, 916, 0.34%, 0.00%), (MMM, 476, 0.32%, 0.00%), (AMAT, 451, 0.31%, 0.00%), (PFE, 2,741, 0.30%, 0.00%), (GILD, 603, 0.29%, 0.00%), (CVS, 969, 0.29%, 0.00%), (TJX, 497, 0.29%, 0.00%), (EMR, 499, 0.28%, 0.00%), (DHR, 311, 0.28%, 0.00%), (MO, 968, 0.28%, 0.00%), (LOW, 250, 0.28%, 0.00%), (INTC, 2,359, 0.25%, 0.00%), (ELV, 179, 0.24%, 0.00%), (CMCSA, 1,589, 0.23%, 0.00%), (MDLZ, 764, 0.21%, 0.00%), (BMY, 981, 0.20%, 0.00%), (AMGN, 160, 0.20%, 0.00%), (UPS, 489, 0.18%, 0.00%), (PYPL, 577, 0.17%, 0.00%), (CL, 425, 0.16%, 0.00%), (FDX, 150, 0.15%, 0.00%), (USB, 741, 0.15%, 0.00%), (TGT, 206, 0.09%, 0.00%), (SC9061B, nan, nan%, 0.00%), (SC9063B, nan, nan%, 0.00%), (SP9062B, nan, nan%, 0.00%), (SP9065B, nan, nan%, 0.00%), (SP9064B, nan, nan%, 0.00%), (XP9065B, nan, nan%, 0.00%)</t>
  </si>
  <si>
    <t>(META, 867, 2.65%, 0.00%), (BRK/B, 1,009, 1.98%, 0.00%), (GOOGL, 2,325, 1.94%, 0.00%), (LIN, 867, 1.69%, 0.00%), (CSCO, 6,128, 1.66%, 0.00%), (TSLA, 1,161, 1.59%, 0.00%), (GOOG, 1,894, 1.58%, 0.00%), (JPM, 1,278, 1.53%, 0.00%), (AMT, 1,759, 1.51%, 0.00%), (XOM, 3,093, 1.38%, 0.00%), (V, 952, 1.35%, 0.00%), (CB, 971, 1.09%, 0.00%), (MA, 451, 1.09%, 0.00%), (LLY, 364, 1.04%, 0.00%), (WM, 1,087, 1.00%, 0.00%), (GE, 905, 0.98%, 0.00%), (ORCL, 911, 0.87%, 0.00%), (NEE, 2,793, 0.86%, 0.00%), (UNH, 678, 0.84%, 0.00%), (NFLX, 170, 0.83%, 0.00%), (JNJ, 1,113, 0.81%, 0.00%), (CVX, 1,176, 0.75%, 0.00%), (PG, 1,171, 0.75%, 0.00%), (PLTR, 1,161, 0.75%, 0.00%), (COST, 189, 0.73%, 0.00%), (WMT, 1,853, 0.73%, 0.00%), (CAT, 404, 0.70%, 0.00%), (RTX, 1,113, 0.70%, 0.00%), (MCD, 553, 0.70%, 0.00%), (ABBV, 817, 0.69%, 0.00%), (HD, 419, 0.69%, 0.00%), (ABT, 1,277, 0.68%, 0.00%), (BKNG, 26, 0.60%, 0.00%), (KO, 2,118, 0.60%, 0.00%), (BAC, 3,030, 0.60%, 0.00%), (PM, 849, 0.59%, 0.00%), (BA, 625, 0.58%, 0.00%), (AMD, 849, 0.58%, 0.00%), (NKE, 1,809, 0.57%, 0.00%), (SO, 1,488, 0.57%, 0.00%), (CRM, 542, 0.54%, 0.00%), (DUK, 1,049, 0.53%, 0.00%), (UBER, 1,347, 0.52%, 0.00%), (GS, 173, 0.52%, 0.00%), (IBM, 524, 0.51%, 0.00%), (ISRG, 262, 0.50%, 0.00%), (MET, 1,506, 0.50%, 0.00%), (HON, 544, 0.49%, 0.00%), (WFC, 1,511, 0.48%, 0.00%), (ETN, 331, 0.47%, 0.00%), (PEP, 749, 0.45%, 0.00%), (INTU, 159, 0.43%, 0.00%), (DE, 213, 0.43%, 0.00%), (NOW, 117, 0.42%, 0.00%), (T, 3,606, 0.42%, 0.00%), (MRK, 1,170, 0.41%, 0.00%), (MS, 683, 0.41%, 0.00%), (SPGI, 175, 0.39%, 0.00%), (TXN, 477, 0.39%, 0.00%), (AXP, 306, 0.39%, 0.00%), (VZ, 2,116, 0.38%, 0.00%), (BLK, 80, 0.37%, 0.00%), (QCOM, 581, 0.37%, 0.00%), (ACN, 354, 0.37%, 0.00%), (ADBE, 249, 0.36%, 0.00%), (TMO, 177, 0.36%, 0.00%), (COP, 910, 0.36%, 0.00%), (UNP, 388, 0.35%, 0.00%), (MDT, 944, 0.35%, 0.00%), (DIS, 721, 0.34%, 0.00%), (C, 859, 0.33%, 0.00%), (SCHW, 823, 0.32%, 0.00%), (LMT, 176, 0.32%, 0.00%), (SBUX, 875, 0.31%, 0.00%), (MMM, 455, 0.29%, 0.00%), (AMAT, 431, 0.28%, 0.00%), (PFE, 2,620, 0.27%, 0.00%), (GILD, 576, 0.27%, 0.00%), (CVS, 926, 0.27%, 0.00%), (TJX, 476, 0.26%, 0.00%), (EMR, 477, 0.26%, 0.00%), (DHR, 297, 0.25%, 0.00%), (MO, 926, 0.25%, 0.00%), (LOW, 239, 0.25%, 0.00%), (INTC, 2,255, 0.23%, 0.00%), (ELV, 171, 0.22%, 0.00%), (CMCSA, 1,519, 0.21%, 0.00%), (MDLZ, 730, 0.19%, 0.00%), (BMY, 938, 0.18%, 0.00%), (AMGN, 149, 0.18%, 0.00%), (UPS, 468, 0.17%, 0.00%), (PYPL, 552, 0.16%, 0.00%), (CL, 406, 0.14%, 0.00%), (FDX, 144, 0.14%, 0.00%), (USB, 708, 0.14%, 0.00%), (TGT, 197, 0.08%, 0.00%), (SC28781H, nan, nan%, 0.00%), (SC28783H, nan, nan%, 0.00%), (SP28782H, nan, nan%, 0.00%), (SP28785B, nan, nan%, 0.00%), (SP28784H, nan, nan%, 0.00%), (XP28785B, nan, nan%, 0.00%)</t>
  </si>
  <si>
    <t>(AVGO, 1,619, 3.10%, 0.00%), (META, 575, 2.83%, 0.00%), (BRK/B, 669, 2.12%, 0.00%), (GOOGL, 1,541, 2.07%, 0.00%), (LIN, 575, 1.80%, 0.00%), (CSCO, 4,063, 1.77%, 0.00%), (TSLA, 770, 1.69%, 0.00%), (GOOG, 1,256, 1.69%, 0.00%), (JPM, 847, 1.63%, 0.00%), (AMT, 1,166, 1.61%, 0.00%), (XOM, 2,051, 1.47%, 0.00%), (V, 631, 1.43%, 0.00%), (CB, 644, 1.17%, 0.00%), (MA, 299, 1.16%, 0.00%), (LLY, 242, 1.12%, 0.00%), (WM, 721, 1.07%, 0.00%), (GE, 600, 1.04%, 0.00%), (ORCL, 604, 0.93%, 0.00%), (NEE, 1,852, 0.92%, 0.00%), (UNH, 449, 0.90%, 0.00%), (NFLX, 113, 0.89%, 0.00%), (JNJ, 738, 0.86%, 0.00%), (CVX, 780, 0.80%, 0.00%), (PG, 776, 0.80%, 0.00%), (PLTR, 770, 0.80%, 0.00%), (COST, 125, 0.78%, 0.00%), (WMT, 1,228, 0.77%, 0.00%), (RTX, 738, 0.75%, 0.00%), (MCD, 367, 0.75%, 0.00%), (CAT, 268, 0.74%, 0.00%), (ABBV, 542, 0.74%, 0.00%), (HD, 278, 0.74%, 0.00%), (ABT, 847, 0.73%, 0.00%), (KO, 1,404, 0.64%, 0.00%), (BAC, 2,009, 0.64%, 0.00%), (BKNG, 17, 0.63%, 0.00%), (PM, 563, 0.63%, 0.00%), (BA, 414, 0.62%, 0.00%), (AMD, 563, 0.62%, 0.00%), (NKE, 1,199, 0.61%, 0.00%), (SO, 987, 0.61%, 0.00%), (CRM, 359, 0.58%, 0.00%), (DUK, 696, 0.56%, 0.00%), (UBER, 893, 0.56%, 0.00%), (GS, 115, 0.56%, 0.00%), (IBM, 347, 0.55%, 0.00%), (ISRG, 174, 0.54%, 0.00%), (MET, 998, 0.53%, 0.00%), (HON, 361, 0.52%, 0.00%), (WFC, 1,002, 0.51%, 0.00%), (ETN, 219, 0.50%, 0.00%), (PEP, 497, 0.48%, 0.00%), (DE, 141, 0.46%, 0.00%), (INTU, 105, 0.45%, 0.00%), (T, 2,391, 0.45%, 0.00%), (NOW, 77, 0.44%, 0.00%), (MRK, 775, 0.44%, 0.00%), (MS, 453, 0.43%, 0.00%), (SPGI, 116, 0.42%, 0.00%), (TXN, 316, 0.42%, 0.00%), (AXP, 203, 0.41%, 0.00%), (VZ, 1,403, 0.41%, 0.00%), (BLK, 53, 0.40%, 0.00%), (QCOM, 385, 0.40%, 0.00%), (ADBE, 165, 0.39%, 0.00%), (ACN, 235, 0.39%, 0.00%), (TMO, 117, 0.38%, 0.00%), (COP, 604, 0.38%, 0.00%), (MDT, 626, 0.38%, 0.00%), (UNP, 257, 0.38%, 0.00%), (DIS, 478, 0.37%, 0.00%), (C, 569, 0.35%, 0.00%), (SCHW, 546, 0.34%, 0.00%), (LMT, 117, 0.34%, 0.00%), (SBUX, 580, 0.33%, 0.00%), (AMGN, 165, 0.32%, 0.00%), (MMM, 302, 0.31%, 0.00%), (AMAT, 286, 0.30%, 0.00%), (PFE, 1,737, 0.29%, 0.00%), (GILD, 382, 0.29%, 0.00%), (CVS, 614, 0.28%, 0.00%), (TJX, 315, 0.28%, 0.00%), (EMR, 316, 0.27%, 0.00%), (LOW, 159, 0.27%, 0.00%), (DHR, 197, 0.27%, 0.00%), (MO, 614, 0.27%, 0.00%), (INTC, 1,495, 0.24%, 0.00%), (ELV, 113, 0.23%, 0.00%), (CMCSA, 1,007, 0.22%, 0.00%), (MDLZ, 484, 0.20%, 0.00%), (BMY, 622, 0.19%, 0.00%), (UPS, 310, 0.18%, 0.00%), (PYPL, 366, 0.17%, 0.00%), (CL, 269, 0.15%, 0.00%), (FDX, 95, 0.15%, 0.00%), (USB, 469, 0.15%, 0.00%), (TGT, 130, 0.08%, 0.00%), (SC8071B, nan, nan%, 0.00%), (SC8073B, nan, nan%, 0.00%), (SP8072B, nan, nan%, 0.00%), (SP8075B, nan, nan%, 0.00%), (SP8074B, nan, nan%, 0.00%), (XP8075B, nan, nan%, 0.00%)</t>
  </si>
  <si>
    <t>(META, 6,001, 2.71%, 0.00%), (BRK/B, 6,982, 2.03%, 0.00%), (GOOGL, 16,085, 1.98%, 0.00%), (LIN, 5,998, 1.73%, 0.00%), (CSCO, 42,393, 1.70%, 0.00%), (TSLA, 8,030, 1.62%, 0.00%), (GOOG, 13,101, 1.61%, 0.00%), (JPM, 8,841, 1.56%, 0.00%), (AMT, 12,168, 1.54%, 0.00%), (XOM, 21,400, 1.41%, 0.00%), (V, 6,582, 1.37%, 0.00%), (CB, 6,715, 1.11%, 0.00%), (MA, 3,122, 1.11%, 0.00%), (LLY, 2,520, 1.07%, 0.00%), (WM, 7,522, 1.02%, 0.00%), (GE, 6,261, 1.00%, 0.00%), (ORCL, 6,299, 0.89%, 0.00%), (NEE, 19,323, 0.88%, 0.00%), (UNH, 4,687, 0.86%, 0.00%), (NFLX, 1,177, 0.85%, 0.00%), (JNJ, 7,701, 0.82%, 0.00%), (CVX, 8,138, 0.77%, 0.00%), (PG, 8,102, 0.76%, 0.00%), (PLTR, 8,033, 0.76%, 0.00%), (COST, 1,308, 0.75%, 0.00%), (WMT, 12,819, 0.74%, 0.00%), (RTX, 7,700, 0.72%, 0.00%), (CAT, 2,793, 0.72%, 0.00%), (MCD, 3,829, 0.71%, 0.00%), (ABBV, 5,652, 0.71%, 0.00%), (HD, 2,897, 0.71%, 0.00%), (ABT, 8,834, 0.70%, 0.00%), (KO, 14,651, 0.61%, 0.00%), (BAC, 20,962, 0.61%, 0.00%), (PM, 5,875, 0.60%, 0.00%), (BA, 4,325, 0.59%, 0.00%), (BKNG, 177, 0.59%, 0.00%), (AMD, 5,870, 0.59%, 0.00%), (NKE, 12,516, 0.59%, 0.00%), (SO, 10,295, 0.58%, 0.00%), (CRM, 3,747, 0.55%, 0.00%), (DUK, 7,259, 0.54%, 0.00%), (UBER, 9,315, 0.53%, 0.00%), (GS, 1,196, 0.53%, 0.00%), (IBM, 3,624, 0.52%, 0.00%), (ISRG, 1,814, 0.52%, 0.00%), (MET, 10,419, 0.51%, 0.00%), (HON, 3,762, 0.50%, 0.00%), (WFC, 10,455, 0.49%, 0.00%), (ETN, 2,286, 0.47%, 0.00%), (PEP, 5,185, 0.46%, 0.00%), (DE, 1,472, 0.44%, 0.00%), (INTU, 1,098, 0.43%, 0.00%), (T, 24,948, 0.43%, 0.00%), (NOW, 807, 0.43%, 0.00%), (MRK, 8,091, 0.42%, 0.00%), (MS, 4,725, 0.42%, 0.00%), (SPGI, 1,209, 0.40%, 0.00%), (TXN, 3,300, 0.40%, 0.00%), (AXP, 2,120, 0.40%, 0.00%), (VZ, 14,636, 0.39%, 0.00%), (BLK, 555, 0.38%, 0.00%), (QCOM, 4,019, 0.38%, 0.00%), (ACN, 2,449, 0.37%, 0.00%), (ADBE, 1,725, 0.37%, 0.00%), (COP, 6,298, 0.36%, 0.00%), (TMO, 1,223, 0.36%, 0.00%), (MDT, 6,532, 0.36%, 0.00%), (UNP, 2,682, 0.36%, 0.00%), (DIS, 4,985, 0.35%, 0.00%), (C, 5,939, 0.34%, 0.00%), (SCHW, 5,694, 0.33%, 0.00%), (LMT, 1,220, 0.32%, 0.00%), (SBUX, 6,056, 0.32%, 0.00%), (MMM, 3,150, 0.30%, 0.00%), (AMAT, 2,982, 0.29%, 0.00%), (PFE, 18,126, 0.28%, 0.00%), (GILD, 3,986, 0.27%, 0.00%), (CVS, 6,409, 0.27%, 0.00%), (TJX, 3,289, 0.27%, 0.00%), (EMR, 3,299, 0.26%, 0.00%), (DHR, 2,056, 0.26%, 0.00%), (LOW, 1,655, 0.26%, 0.00%), (MO, 6,404, 0.26%, 0.00%), (INTC, 15,600, 0.23%, 0.00%), (ELV, 1,181, 0.22%, 0.00%), (AMGN, 1,219, 0.21%, 0.00%), (CMCSA, 10,508, 0.21%, 0.00%), (MDLZ, 5,053, 0.19%, 0.00%), (BMY, 6,487, 0.19%, 0.00%), (UPS, 3,235, 0.17%, 0.00%), (PYPL, 3,819, 0.16%, 0.00%), (CL, 2,811, 0.14%, 0.00%), (USB, 4,899, 0.14%, 0.00%), (FDX, 994, 0.14%, 0.00%), (TGT, 1,360, 0.08%, 0.00%), (SC26771B, nan, nan%, 0.00%), (SC26773B, nan, nan%, 0.00%), (SP26772B, nan, nan%, 0.00%), (SP26774B, nan, nan%, 0.00%), (SP26775T, nan, nan%, 0.00%), (XP26775T, nan, nan%, 0.00%)</t>
  </si>
  <si>
    <t>(AVGO, 14,620, 3.16%, 0.00%), (META, 5,193, 2.88%, 0.00%), (BRK/B, 6,042, 2.16%, 0.00%), (GOOGL, 13,919, 2.11%, 0.00%), (LIN, 5,190, 1.84%, 0.00%), (CSCO, 36,686, 1.81%, 0.00%), (TSLA, 6,949, 1.72%, 0.00%), (GOOG, 11,338, 1.72%, 0.00%), (JPM, 7,651, 1.66%, 0.00%), (AMT, 10,530, 1.64%, 0.00%), (XOM, 18,519, 1.50%, 0.00%), (V, 5,696, 1.46%, 0.00%), (CB, 5,811, 1.19%, 0.00%), (MA, 2,702, 1.18%, 0.00%), (LLY, 2,181, 1.14%, 0.00%), (WM, 6,509, 1.09%, 0.00%), (GE, 5,419, 1.06%, 0.00%), (ORCL, 5,451, 0.95%, 0.00%), (NEE, 16,721, 0.94%, 0.00%), (UNH, 4,056, 0.92%, 0.00%), (NFLX, 1,018, 0.90%, 0.00%), (JNJ, 6,664, 0.88%, 0.00%), (CVX, 7,042, 0.82%, 0.00%), (PG, 7,012, 0.81%, 0.00%), (PLTR, 6,952, 0.81%, 0.00%), (COST, 1,132, 0.80%, 0.00%), (WMT, 11,093, 0.79%, 0.00%), (RTX, 6,664, 0.76%, 0.00%), (CAT, 2,417, 0.76%, 0.00%), (MCD, 3,313, 0.76%, 0.00%), (ABBV, 4,891, 0.75%, 0.00%), (HD, 2,507, 0.75%, 0.00%), (ABT, 7,645, 0.74%, 0.00%), (KO, 12,678, 0.65%, 0.00%), (BAC, 18,140, 0.65%, 0.00%), (BKNG, 153, 0.64%, 0.00%), (PM, 5,084, 0.64%, 0.00%), (BA, 3,743, 0.63%, 0.00%), (AMD, 5,080, 0.63%, 0.00%), (NKE, 10,831, 0.62%, 0.00%), (SO, 8,909, 0.62%, 0.00%), (CRM, 3,242, 0.59%, 0.00%), (DUK, 6,281, 0.57%, 0.00%), (UBER, 8,061, 0.57%, 0.00%), (GS, 1,035, 0.56%, 0.00%), (IBM, 3,136, 0.56%, 0.00%), (ISRG, 1,570, 0.55%, 0.00%), (MET, 9,016, 0.54%, 0.00%), (HON, 3,255, 0.53%, 0.00%), (WFC, 9,048, 0.52%, 0.00%), (ETN, 1,979, 0.51%, 0.00%), (PEP, 4,487, 0.49%, 0.00%), (INTU, 951, 0.46%, 0.00%), (DE, 1,274, 0.46%, 0.00%), (T, 21,589, 0.46%, 0.00%), (NOW, 699, 0.45%, 0.00%), (MRK, 7,002, 0.45%, 0.00%), (MS, 4,089, 0.44%, 0.00%), (SPGI, 1,047, 0.43%, 0.00%), (TXN, 2,855, 0.43%, 0.00%), (AXP, 1,834, 0.43%, 0.00%), (VZ, 12,666, 0.41%, 0.00%), (BLK, 480, 0.40%, 0.00%), (QCOM, 3,478, 0.40%, 0.00%), (ACN, 2,119, 0.40%, 0.00%), (ADBE, 1,493, 0.40%, 0.00%), (TMO, 1,059, 0.39%, 0.00%), (COP, 5,450, 0.39%, 0.00%), (MDT, 5,653, 0.39%, 0.00%), (UNP, 2,321, 0.38%, 0.00%), (DIS, 4,314, 0.37%, 0.00%), (C, 5,139, 0.36%, 0.00%), (SCHW, 4,928, 0.35%, 0.00%), (LMT, 1,056, 0.34%, 0.00%), (SBUX, 5,241, 0.34%, 0.00%), (MMM, 2,726, 0.31%, 0.00%), (AMAT, 2,580, 0.31%, 0.00%), (PFE, 15,685, 0.30%, 0.00%), (GILD, 3,449, 0.29%, 0.00%), (CVS, 5,546, 0.29%, 0.00%), (TJX, 2,847, 0.28%, 0.00%), (EMR, 2,855, 0.28%, 0.00%), (DHR, 1,779, 0.28%, 0.00%), (LOW, 1,432, 0.27%, 0.00%), (MO, 5,542, 0.27%, 0.00%), (INTC, 13,500, 0.25%, 0.00%), (ELV, 1,022, 0.24%, 0.00%), (AMGN, 1,088, 0.24%, 0.00%), (CMCSA, 9,093, 0.23%, 0.00%), (MDLZ, 4,373, 0.20%, 0.00%), (BMY, 5,614, 0.20%, 0.00%), (UPS, 2,800, 0.18%, 0.00%), (PYPL, 3,305, 0.17%, 0.00%), (CL, 2,433, 0.15%, 0.00%), (USB, 4,239, 0.15%, 0.00%), (FDX, 861, 0.15%, 0.00%), (TGT, 1,177, 0.09%, 0.00%), (SC23471B, nan, nan%, 0.00%), (SC23473B, nan, nan%, 0.00%), (SP23472B, nan, nan%, 0.00%), (SP23475B, nan, nan%, 0.00%), (SP23474B, nan, nan%, 0.00%), (XP23475B, nan, nan%, 0.00%)</t>
  </si>
  <si>
    <t>(AVGO, 10,897, 3.15%, 0.00%), (META, 3,871, 2.88%, 0.00%), (BRK/B, 4,504, 2.15%, 0.00%), (GOOGL, 10,375, 2.10%, 0.00%), (LIN, 3,869, 1.83%, 0.00%), (CSCO, 27,345, 1.80%, 0.00%), (TSLA, 5,180, 1.72%, 0.00%), (GOOG, 8,451, 1.72%, 0.00%), (JPM, 5,703, 1.65%, 0.00%), (AMT, 7,849, 1.64%, 0.00%), (XOM, 13,804, 1.50%, 0.00%), (V, 4,246, 1.46%, 0.00%), (CB, 4,332, 1.18%, 0.00%), (MA, 2,014, 1.18%, 0.00%), (LLY, 1,626, 1.13%, 0.00%), (WM, 4,852, 1.08%, 0.00%), (GE, 4,039, 1.06%, 0.00%), (ORCL, 4,063, 0.95%, 0.00%), (NEE, 12,464, 0.94%, 0.00%), (UNH, 3,023, 0.91%, 0.00%), (NFLX, 759, 0.90%, 0.00%), (JNJ, 4,967, 0.87%, 0.00%), (CVX, 5,249, 0.82%, 0.00%), (PG, 5,226, 0.81%, 0.00%), (PLTR, 5,182, 0.81%, 0.00%), (COST, 844, 0.80%, 0.00%), (WMT, 8,269, 0.79%, 0.00%), (RTX, 4,967, 0.76%, 0.00%), (CAT, 1,802, 0.76%, 0.00%), (MCD, 2,470, 0.76%, 0.00%), (ABBV, 3,646, 0.75%, 0.00%), (HD, 1,869, 0.75%, 0.00%), (ABT, 5,698, 0.74%, 0.00%), (KO, 9,450, 0.65%, 0.00%), (BAC, 13,522, 0.65%, 0.00%), (BKNG, 114, 0.64%, 0.00%), (PM, 3,790, 0.64%, 0.00%), (BA, 2,790, 0.63%, 0.00%), (AMD, 3,786, 0.63%, 0.00%), (NKE, 8,073, 0.62%, 0.00%), (SO, 6,641, 0.62%, 0.00%), (CRM, 2,417, 0.59%, 0.00%), (DUK, 4,682, 0.57%, 0.00%), (UBER, 6,009, 0.57%, 0.00%), (GS, 771, 0.56%, 0.00%), (IBM, 2,338, 0.56%, 0.00%), (ISRG, 1,170, 0.55%, 0.00%), (MET, 6,721, 0.54%, 0.00%), (HON, 2,427, 0.53%, 0.00%), (WFC, 6,744, 0.52%, 0.00%), (ETN, 1,475, 0.50%, 0.00%), (PEP, 3,344, 0.49%, 0.00%), (INTU, 709, 0.46%, 0.00%), (DE, 950, 0.46%, 0.00%), (T, 16,092, 0.46%, 0.00%), (NOW, 521, 0.45%, 0.00%), (MRK, 5,219, 0.44%, 0.00%), (MS, 3,048, 0.44%, 0.00%), (SPGI, 780, 0.43%, 0.00%), (TXN, 2,128, 0.42%, 0.00%), (AXP, 1,367, 0.42%, 0.00%), (VZ, 9,441, 0.41%, 0.00%), (BLK, 358, 0.40%, 0.00%), (QCOM, 2,592, 0.40%, 0.00%), (ACN, 1,580, 0.40%, 0.00%), (ADBE, 1,113, 0.40%, 0.00%), (TMO, 789, 0.39%, 0.00%), (COP, 4,063, 0.39%, 0.00%), (MDT, 4,213, 0.38%, 0.00%), (UNP, 1,730, 0.38%, 0.00%), (DIS, 3,216, 0.37%, 0.00%), (C, 3,831, 0.36%, 0.00%), (SCHW, 3,673, 0.35%, 0.00%), (LMT, 787, 0.34%, 0.00%), (SBUX, 3,906, 0.34%, 0.00%), (MMM, 2,032, 0.31%, 0.00%), (AMAT, 1,923, 0.31%, 0.00%), (PFE, 11,692, 0.30%, 0.00%), (GILD, 2,571, 0.29%, 0.00%), (CVS, 4,134, 0.29%, 0.00%), (TJX, 2,122, 0.28%, 0.00%), (EMR, 2,128, 0.28%, 0.00%), (DHR, 1,326, 0.28%, 0.00%), (LOW, 1,067, 0.27%, 0.00%), (MO, 4,131, 0.27%, 0.00%), (INTC, 10,063, 0.24%, 0.00%), (ELV, 762, 0.24%, 0.00%), (AMGN, 809, 0.23%, 0.00%), (CMCSA, 6,778, 0.23%, 0.00%), (MDLZ, 3,259, 0.20%, 0.00%), (BMY, 4,184, 0.20%, 0.00%), (UPS, 2,087, 0.18%, 0.00%), (PYPL, 2,463, 0.17%, 0.00%), (CL, 1,813, 0.15%, 0.00%), (USB, 3,160, 0.15%, 0.00%), (FDX, 641, 0.15%, 0.00%), (TGT, 878, 0.09%, 0.00%), (SC22171B, nan, nan%, 0.00%), (SC22173B, nan, nan%, 0.00%), (SP22172B, nan, nan%, 0.00%), (SP22175B, nan, nan%, 0.00%), (SP22174B, nan, nan%, 0.00%), (XP22175B, nan, nan%, 0.00%)</t>
  </si>
  <si>
    <t>(AVGO, 4,120, 3.00%, 0.00%), (META, 1,463, 2.74%, 0.00%), (BRK/B, 1,703, 2.05%, 0.00%), (GOOGL, 3,922, 2.00%, 0.00%), (LIN, 1,463, 1.75%, 0.00%), (CSCO, 10,338, 1.72%, 0.00%), (TSLA, 1,958, 1.64%, 0.00%), (GOOG, 3,195, 1.64%, 0.00%), (JPM, 2,156, 1.58%, 0.00%), (AMT, 2,967, 1.56%, 0.00%), (XOM, 5,219, 1.43%, 0.00%), (V, 1,605, 1.39%, 0.00%), (CB, 1,638, 1.13%, 0.00%), (MA, 761, 1.12%, 0.00%), (LLY, 615, 1.08%, 0.00%), (WM, 1,834, 1.03%, 0.00%), (GE, 1,527, 1.01%, 0.00%), (ORCL, 1,536, 0.90%, 0.00%), (NEE, 4,712, 0.89%, 0.00%), (UNH, 1,143, 0.87%, 0.00%), (NFLX, 287, 0.86%, 0.00%), (JNJ, 1,878, 0.83%, 0.00%), (CVX, 1,984, 0.78%, 0.00%), (PG, 1,976, 0.77%, 0.00%), (PLTR, 1,959, 0.77%, 0.00%), (COST, 319, 0.76%, 0.00%), (WMT, 3,126, 0.75%, 0.00%), (RTX, 1,878, 0.73%, 0.00%), (MCD, 934, 0.72%, 0.00%), (CAT, 681, 0.72%, 0.00%), (ABBV, 1,378, 0.72%, 0.00%), (HD, 706, 0.71%, 0.00%), (ABT, 2,154, 0.71%, 0.00%), (KO, 3,573, 0.62%, 0.00%), (BAC, 5,112, 0.62%, 0.00%), (BKNG, 43, 0.61%, 0.00%), (PM, 1,433, 0.61%, 0.00%), (BA, 1,055, 0.60%, 0.00%), (AMD, 1,431, 0.60%, 0.00%), (NKE, 3,052, 0.59%, 0.00%), (SO, 2,511, 0.59%, 0.00%), (CRM, 914, 0.56%, 0.00%), (DUK, 1,770, 0.55%, 0.00%), (UBER, 2,272, 0.54%, 0.00%), (GS, 292, 0.53%, 0.00%), (IBM, 884, 0.53%, 0.00%), (ISRG, 442, 0.52%, 0.00%), (MET, 2,541, 0.51%, 0.00%), (HON, 917, 0.50%, 0.00%), (WFC, 2,550, 0.50%, 0.00%), (ETN, 558, 0.48%, 0.00%), (PEP, 1,264, 0.47%, 0.00%), (DE, 359, 0.44%, 0.00%), (INTU, 268, 0.44%, 0.00%), (T, 6,084, 0.43%, 0.00%), (NOW, 197, 0.43%, 0.00%), (MRK, 1,973, 0.42%, 0.00%), (MS, 1,152, 0.42%, 0.00%), (SPGI, 295, 0.41%, 0.00%), (TXN, 805, 0.41%, 0.00%), (AXP, 517, 0.41%, 0.00%), (VZ, 3,569, 0.39%, 0.00%), (BLK, 135, 0.38%, 0.00%), (QCOM, 980, 0.38%, 0.00%), (ACN, 597, 0.38%, 0.00%), (ADBE, 421, 0.38%, 0.00%), (COP, 1,536, 0.37%, 0.00%), (TMO, 298, 0.37%, 0.00%), (MDT, 1,593, 0.37%, 0.00%), (UNP, 654, 0.37%, 0.00%), (DIS, 1,216, 0.36%, 0.00%), (C, 1,448, 0.34%, 0.00%), (SCHW, 1,389, 0.33%, 0.00%), (LMT, 298, 0.33%, 0.00%), (SBUX, 1,477, 0.32%, 0.00%), (MMM, 768, 0.30%, 0.00%), (AMAT, 727, 0.29%, 0.00%), (PFE, 4,420, 0.28%, 0.00%), (GILD, 972, 0.28%, 0.00%), (CVS, 1,563, 0.27%, 0.00%), (TJX, 802, 0.27%, 0.00%), (EMR, 804, 0.27%, 0.00%), (DHR, 501, 0.26%, 0.00%), (LOW, 403, 0.26%, 0.00%), (MO, 1,562, 0.26%, 0.00%), (INTC, 3,804, 0.23%, 0.00%), (AMGN, 319, 0.23%, 0.00%), (ELV, 288, 0.23%, 0.00%), (CMCSA, 2,562, 0.22%, 0.00%), (MDLZ, 1,232, 0.19%, 0.00%), (BMY, 1,582, 0.19%, 0.00%), (UPS, 789, 0.17%, 0.00%), (PYPL, 931, 0.16%, 0.00%), (CL, 685, 0.15%, 0.00%), (USB, 1,195, 0.14%, 0.00%), (FDX, 242, 0.14%, 0.00%), (TGT, 332, 0.08%, 0.00%), (SC28181B, nan, nan%, 0.00%), (SC28183B, nan, nan%, 0.00%), (SP28182B, nan, nan%, 0.00%), (SP28185B, nan, nan%, 0.00%), (SP28184B, nan, nan%, 0.00%), (XP28185B, nan, nan%, 0.00%)</t>
  </si>
  <si>
    <t>(AVGO, 4,479, 3.04%, 0.00%), (META, 1,591, 2.77%, 0.00%), (BRK/B, 1,851, 2.08%, 0.00%), (GOOGL, 4,265, 2.02%, 0.00%), (LIN, 1,590, 1.77%, 0.00%), (CSCO, 11,240, 1.74%, 0.00%), (TSLA, 2,129, 1.66%, 0.00%), (GOOG, 3,474, 1.65%, 0.00%), (JPM, 2,344, 1.59%, 0.00%), (AMT, 3,226, 1.58%, 0.00%), (XOM, 5,674, 1.44%, 0.00%), (V, 1,745, 1.40%, 0.00%), (CB, 1,780, 1.14%, 0.00%), (MA, 828, 1.14%, 0.00%), (LLY, 668, 1.09%, 0.00%), (WM, 1,994, 1.04%, 0.00%), (GE, 1,660, 1.02%, 0.00%), (ORCL, 1,670, 0.91%, 0.00%), (NEE, 5,123, 0.90%, 0.00%), (UNH, 1,243, 0.88%, 0.00%), (NFLX, 312, 0.87%, 0.00%), (JNJ, 2,042, 0.84%, 0.00%), (CVX, 2,157, 0.79%, 0.00%), (PG, 2,148, 0.78%, 0.00%), (PLTR, 2,130, 0.78%, 0.00%), (COST, 347, 0.77%, 0.00%), (WMT, 3,399, 0.76%, 0.00%), (RTX, 2,042, 0.73%, 0.00%), (CAT, 741, 0.73%, 0.00%), (MCD, 1,015, 0.73%, 0.00%), (ABBV, 1,499, 0.72%, 0.00%), (HD, 768, 0.72%, 0.00%), (ABT, 2,342, 0.71%, 0.00%), (KO, 3,884, 0.63%, 0.00%), (BAC, 5,558, 0.63%, 0.00%), (BKNG, 47, 0.62%, 0.00%), (PM, 1,558, 0.61%, 0.00%), (BA, 1,147, 0.61%, 0.00%), (AMD, 1,556, 0.60%, 0.00%), (NKE, 3,318, 0.60%, 0.00%), (SO, 2,730, 0.59%, 0.00%), (CRM, 993, 0.57%, 0.00%), (DUK, 1,924, 0.55%, 0.00%), (UBER, 2,470, 0.55%, 0.00%), (GS, 317, 0.54%, 0.00%), (IBM, 961, 0.54%, 0.00%), (ISRG, 481, 0.53%, 0.00%), (MET, 2,762, 0.52%, 0.00%), (HON, 997, 0.51%, 0.00%), (WFC, 2,772, 0.50%, 0.00%), (ETN, 606, 0.49%, 0.00%), (PEP, 1,375, 0.47%, 0.00%), (DE, 390, 0.44%, 0.00%), (INTU, 291, 0.44%, 0.00%), (T, 6,614, 0.44%, 0.00%), (NOW, 214, 0.43%, 0.00%), (MRK, 2,145, 0.43%, 0.00%), (MS, 1,253, 0.43%, 0.00%), (SPGI, 321, 0.41%, 0.00%), (TXN, 875, 0.41%, 0.00%), (AXP, 562, 0.41%, 0.00%), (VZ, 3,881, 0.40%, 0.00%), (BLK, 147, 0.39%, 0.00%), (QCOM, 1,065, 0.39%, 0.00%), (ACN, 649, 0.38%, 0.00%), (ADBE, 457, 0.38%, 0.00%), (COP, 1,670, 0.37%, 0.00%), (TMO, 324, 0.37%, 0.00%), (MDT, 1,732, 0.37%, 0.00%), (UNP, 711, 0.37%, 0.00%), (DIS, 1,322, 0.36%, 0.00%), (C, 1,575, 0.34%, 0.00%), (SCHW, 1,510, 0.33%, 0.00%), (LMT, 324, 0.33%, 0.00%), (SBUX, 1,606, 0.33%, 0.00%), (MMM, 835, 0.30%, 0.00%), (AMAT, 791, 0.30%, 0.00%), (PFE, 4,806, 0.28%, 0.00%), (GILD, 1,057, 0.28%, 0.00%), (CVS, 1,699, 0.28%, 0.00%), (TJX, 872, 0.27%, 0.00%), (EMR, 875, 0.27%, 0.00%), (DHR, 545, 0.27%, 0.00%), (LOW, 439, 0.26%, 0.00%), (MO, 1,698, 0.26%, 0.00%), (AMGN, 356, 0.24%, 0.00%), (INTC, 4,136, 0.24%, 0.00%), (ELV, 313, 0.23%, 0.00%), (CMCSA, 2,786, 0.22%, 0.00%), (MDLZ, 1,340, 0.20%, 0.00%), (BMY, 1,720, 0.19%, 0.00%), (UPS, 858, 0.18%, 0.00%), (PYPL, 1,012, 0.16%, 0.00%), (CL, 745, 0.15%, 0.00%), (USB, 1,299,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</si>
  <si>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8,421, 3.15%, 0.00%), (META, 2,991, 2.87%, 0.00%), (BRK/B, 3,480, 2.15%, 0.00%), (GOOGL, 8,018, 2.10%, 0.00%), (LIN, 2,990, 1.83%, 0.00%), (CSCO, 21,132, 1.80%, 0.00%), (TSLA, 4,003, 1.72%, 0.00%), (GOOG, 6,531, 1.71%, 0.00%), (JPM, 4,407, 1.65%, 0.00%), (AMT, 6,065, 1.63%, 0.00%), (XOM, 10,667, 1.49%, 0.00%), (V, 3,281, 1.45%, 0.00%), (CB, 3,347, 1.18%, 0.00%), (MA, 1,556, 1.18%, 0.00%), (LLY, 1,256, 1.13%, 0.00%), (WM, 3,749, 1.08%, 0.00%), (GE, 3,121, 1.06%, 0.00%), (ORCL, 3,140, 0.94%, 0.00%), (NEE, 9,632, 0.93%, 0.00%), (UNH, 2,336, 0.91%, 0.00%), (NFLX, 587, 0.90%, 0.00%), (JNJ, 3,839, 0.87%, 0.00%), (CVX, 4,056, 0.81%, 0.00%), (PG, 4,039, 0.81%, 0.00%), (PLTR, 4,004, 0.81%, 0.00%), (COST, 652, 0.79%, 0.00%), (WMT, 6,390, 0.79%, 0.00%), (CAT, 1,392, 0.76%, 0.00%), (RTX, 3,838, 0.76%, 0.00%), (MCD, 1,908, 0.76%, 0.00%), (ABBV, 2,817, 0.75%, 0.00%), (HD, 1,444, 0.75%, 0.00%), (ABT, 4,403, 0.74%, 0.00%), (KO, 7,303, 0.65%, 0.00%), (BAC, 10,449, 0.65%, 0.00%), (BKNG, 88, 0.64%, 0.00%), (PM, 2,929, 0.64%, 0.00%), (BA, 2,156, 0.63%, 0.00%), (AMD, 2,926, 0.62%, 0.00%), (NKE, 6,239, 0.62%, 0.00%), (SO, 5,132, 0.62%, 0.00%), (CRM, 1,868, 0.59%, 0.00%), (DUK, 3,618, 0.57%, 0.00%), (UBER, 4,643, 0.57%, 0.00%), (GS, 596, 0.56%, 0.00%), (IBM, 1,806, 0.55%, 0.00%), (ISRG, 904, 0.55%, 0.00%), (MET, 5,193, 0.54%, 0.00%), (HON, 1,875, 0.53%, 0.00%), (WFC, 5,212, 0.52%, 0.00%), (ETN, 1,140, 0.50%, 0.00%), (PEP, 2,584, 0.49%, 0.00%), (INTU, 548, 0.46%, 0.00%), (DE, 734, 0.46%, 0.00%), (T, 12,436, 0.45%, 0.00%), (NOW, 402, 0.45%, 0.00%), (MRK, 4,033, 0.44%, 0.00%), (MS, 2,355, 0.44%, 0.00%), (SPGI, 603, 0.43%, 0.00%), (TXN, 1,645, 0.42%, 0.00%), (AXP, 1,057, 0.42%, 0.00%), (VZ, 7,296, 0.41%, 0.00%), (QCOM, 2,003, 0.40%, 0.00%), (BLK, 276, 0.40%, 0.00%), (ACN, 1,221, 0.40%, 0.00%), (ADBE, 860, 0.39%, 0.00%), (TMO, 610, 0.39%, 0.00%), (COP, 3,140, 0.39%, 0.00%), (UNP, 1,337, 0.38%, 0.00%), (MDT, 3,256, 0.38%, 0.00%), (DIS, 2,485, 0.37%, 0.00%), (C, 2,960, 0.36%, 0.00%), (SCHW, 2,838, 0.35%, 0.00%), (LMT, 608, 0.34%, 0.00%), (SBUX, 3,019, 0.34%, 0.00%), (AMGN, 857, 0.32%, 0.00%), (MMM, 1,570, 0.31%, 0.00%), (AMAT, 1,486, 0.31%, 0.00%), (PFE, 9,035, 0.29%, 0.00%), (GILD, 1,987, 0.29%, 0.00%), (CVS, 3,195, 0.29%, 0.00%), (TJX, 1,640, 0.28%, 0.00%), (EMR, 1,644, 0.28%, 0.00%), (DHR, 1,025, 0.28%, 0.00%), (LOW, 825, 0.27%, 0.00%), (MO, 3,192, 0.27%, 0.00%), (INTC, 7,776, 0.24%, 0.00%), (ELV, 589, 0.24%, 0.00%), (CMCSA, 5,238, 0.23%, 0.00%), (MDLZ, 2,519, 0.20%, 0.00%), (BMY, 3,234, 0.20%, 0.00%), (UPS, 1,613, 0.18%, 0.00%), (PYPL, 1,904, 0.17%, 0.00%), (CL, 1,401, 0.15%, 0.00%), (USB, 2,442, 0.15%, 0.00%), (FDX, 496, 0.15%, 0.00%), (TGT, 678, 0.09%, 0.00%), (SC26771B, nan, nan%, 0.00%), (SC26773B, nan, nan%, 0.00%), (SP26772B, nan, nan%, 0.00%), (SP26775B, nan, nan%, 0.00%), (SP26774B, nan, nan%, 0.00%), (XP26775B, nan, nan%, 0.00%)</t>
  </si>
  <si>
    <t>EBAY, BK, META, GOOGL, MLI, MSFT, EA, BKNG, JPM, BLK, PHM</t>
  </si>
  <si>
    <t>(RJF, 6,457, 1.94%, 0.00%), (EWBC, 9,989, 1.89%, 0.01%), (AXP, 3,259, 1.87%, 0.00%), (HIG, 7,737, 1.86%, 0.00%), (V, 2,889, 1.83%, 0.00%), (TRV, 3,676, 1.82%, 0.00%), (NVDA, 5,399, 1.76%, 0.00%), (ROST, 6,437, 1.72%, 0.00%), (SNA, 2,881, 1.72%, 0.01%), (ADP, 3,087, 1.70%, 0.00%), (LEN, 6,821, 1.67%, 0.00%), (PCAR, 9,138, 1.67%, 0.00%), (UNM, 12,999, 1.63%, 0.01%), (KLAC, 1,022, 1.63%, 0.00%), (AMAT, 5,536, 1.63%, 0.00%), (CB, 3,260, 1.62%, 0.00%), (SYF, 12,067, 1.62%, 0.00%), (CTSH, 11,678, 1.53%, 0.00%), (CRM, 3,310, 1.49%, 0.00%), (PAYC, 3,535, 1.48%, 0.01%), (WSM, 4,086, 1.47%, 0.00%), (DHI, 4,533, 1.39%, 0.00%), (BKR, 17,186, 1.38%, 0.00%), (QCOM, 4,661, 1.32%, 0.00%), (ACN, 2,753, 1.28%, 0.00%), (ELV, 2,213, 1.26%, 0.00%), (AFL, 6,383, 1.24%, 0.00%), (AAPL, 3,009, 1.24%, 0.00%), (MPWR, 738, 1.12%, 0.00%), (ODFL, 3,959, 1.12%, 0.00%), (LRCX, 5,953, 1.09%, 0.00%), (CSCO, 8,646, 1.05%, 0.00%), (GE, 2,086, 1.01%, 0.00%), (STT, 4,792, 1.00%, 0.00%), (PNC, 2,566, 0.93%, 0.00%), (MTB, 2,550, 0.91%, 0.00%), (AMP, 933, 0.87%, 0.00%), (CF, 5,477, 0.86%, 0.00%), (ABT, 3,450, 0.82%, 0.00%), (COST, 479, 0.82%, 0.00%), (XOM, 4,012, 0.81%, 0.00%), (EOG, 3,609, 0.79%, 0.00%), (CSL, 1,074, 0.76%, 0.00%), (EG, 1,214, 0.75%, 0.00%), (GEV, 489, 0.53%, 0.00%), (NTRS, 2,224, 0.53%, 0.00%), (MA, 464, 0.50%, 0.00%), (JNJ, 1,489, 0.48%, 0.00%), (CRBG, 7,642, 0.48%, 0.00%), (ACM, 2,104, 0.47%, 0.00%), (LNC, 6,083, 0.46%, 0.00%), (JXN, 2,511, 0.44%, 0.00%), (MTG, 8,740, 0.44%, 0.00%), (WTFC, 1,792, 0.44%, 0.00%), (ADM, 3,704, 0.43%, 0.00%), (CINF, 1,547, 0.43%, 0.00%), (DOV, 1,301, 0.43%, 0.00%), (EQH, 4,312, 0.41%, 0.00%), (SLM, 7,142, 0.41%, 0.00%), (ALL, 1,102, 0.40%, 0.00%), (NUE, 1,487, 0.40%, 0.00%), (MCK, 321, 0.40%, 0.00%), (NKE, 2,711, 0.39%,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</si>
  <si>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3,865, 3.27%, 0.00%), (META, 1,373, 2.98%, 0.00%), (BRK/B, 1,597, 2.24%, 0.00%), (GOOGL, 3,680, 2.20%, 0.00%), (LIN, 1,372, 1.90%, 0.00%), (CSCO, 9,698, 1.88%, 0.00%), (TSLA, 1,837, 1.82%, 0.00%), (GOOG, 2,997, 1.80%, 0.00%), (JPM, 2,022, 1.72%, 0.00%), (AMT, 2,784, 1.70%, 0.00%), (XOM, 4,896, 1.58%, 0.00%), (V, 1,506, 1.52%, 0.00%), (MA, 714, 1.22%, 0.00%), (CB, 1,536, 1.22%, 0.00%), (LLY, 577, 1.16%, 0.00%), (WM, 1,721, 1.11%, 0.00%), (GE, 1,432, 1.10%, 0.00%), (ORCL, 1,441, 0.98%, 0.00%), (NEE, 4,420, 0.96%, 0.00%), (UNH, 1,072, 0.94%, 0.00%), (NFLX, 269, 0.94%, 0.00%), (JNJ, 1,762, 0.91%, 0.00%), (CVX, 1,862, 0.85%, 0.00%), (PG, 1,854, 0.84%, 0.00%), (PLTR, 1,838, 0.83%, 0.00%), (WMT, 2,933, 0.81%, 0.00%), (COST, 299, 0.81%, 0.00%), (CAT, 639, 0.80%, 0.00%), (RTX, 1,762, 0.80%, 0.00%), (MCD, 876, 0.79%, 0.00%), (HD, 663, 0.78%, 0.00%), (ABBV, 1,293, 0.78%, 0.00%), (ABT, 2,021, 0.77%, 0.00%), (BAC, 4,795, 0.68%, 0.00%), (KO, 3,352, 0.67%, 0.00%), (BKNG, 40, 0.66%, 0.00%), (NKE, 2,863, 0.65%, 0.00%), (PM, 1,344, 0.65%, 0.00%), (BA, 989, 0.65%, 0.00%), (SO, 2,355, 0.63%, 0.00%), (AMD, 1,343, 0.63%, 0.00%), (CRM, 857, 0.61%, 0.00%), (DUK, 1,661, 0.59%, 0.00%), (UBER, 2,131, 0.59%, 0.00%), (GS, 274, 0.58%, 0.00%), (IBM, 829, 0.57%, 0.00%), (ISRG, 415, 0.56%, 0.00%), (MET, 2,383, 0.56%, 0.00%), (WFC, 2,392, 0.55%, 0.00%), (HON, 861, 0.55%, 0.00%), (ETN, 523, 0.52%, 0.00%), (PEP, 1,186, 0.51%, 0.00%), (INTU, 251, 0.48%, 0.00%), (DE, 337, 0.47%, 0.00%), (T, 5,707, 0.47%, 0.00%), (NOW, 185, 0.47%, 0.00%), (MS, 1,081, 0.46%, 0.00%), (MRK, 1,851, 0.46%, 0.00%), (TXN, 755, 0.45%, 0.00%), (AXP, 485, 0.44%, 0.00%), (SPGI, 277, 0.44%, 0.00%), (VZ, 3,348, 0.43%, 0.00%), (BLK, 127, 0.42%, 0.00%), (QCOM, 919, 0.41%, 0.00%), (ACN, 560, 0.41%, 0.00%), (ADBE, 395, 0.41%, 0.00%), (COP, 1,441, 0.41%, 0.00%), (MDT, 1,494, 0.40%, 0.00%), (TMO, 280, 0.40%, 0.00%), (UNP, 614, 0.40%, 0.00%), (DIS, 1,140, 0.39%, 0.00%), (C, 1,359, 0.37%, 0.00%), (SCHW, 1,303, 0.36%, 0.00%), (LMT, 279, 0.36%, 0.00%), (SBUX, 1,385, 0.34%, 0.00%), (AMGN, 393, 0.33%, 0.00%), (MMM, 721, 0.32%, 0.00%), (AMAT, 682, 0.32%, 0.00%), (PFE, 4,147, 0.30%, 0.00%), (CVS, 1,466, 0.30%, 0.00%), (GILD, 912, 0.30%, 0.00%), (TJX, 753, 0.29%, 0.00%), (EMR, 755, 0.29%, 0.00%), (MO, 1,465, 0.28%, 0.00%), (LOW, 379, 0.28%, 0.00%), (DHR, 470, 0.28%, 0.00%), (INTC, 3,569, 0.25%, 0.00%), (ELV, 270, 0.25%, 0.00%), (CMCSA, 2,404, 0.24%, 0.00%), (MDLZ, 1,156, 0.21%, 0.00%), (BMY, 1,484, 0.20%, 0.00%), (UPS, 740, 0.19%, 0.00%), (PYPL, 874, 0.18%, 0.00%), (CL, 643, 0.16%, 0.00%), (USB, 1,121, 0.16%, 0.00%), (FDX, 227, 0.15%, 0.00%), (TGT, 311, 0.09%, 0.00%), (SC31761B, nan, nan%, 0.00%), (SC31763B, nan, nan%, 0.00%), (SP31762B, nan, nan%, 0.00%), (SP31765B, nan, nan%, 0.00%), (SP31764B, nan, nan%, 0.00%), (XP31765B, nan, nan%, 0.00%)</t>
  </si>
  <si>
    <t>(AVGO, 2,548, 3.18%, 0.00%), (META, 905, 2.90%, 0.00%), (BRK/B, 1,053, 2.18%, 0.00%), (GOOGL, 2,426, 2.14%, 0.00%), (LIN, 904, 1.84%, 0.00%), (CSCO, 6,393, 1.83%, 0.00%), (TSLA, 1,211, 1.77%, 0.00%), (GOOG, 1,976, 1.75%, 0.00%), (JPM, 1,333, 1.67%, 0.00%), (AMT, 1,835, 1.65%, 0.00%), (XOM, 3,227, 1.53%, 0.00%), (V, 993, 1.47%, 0.00%), (MA, 471, 1.19%, 0.00%), (CB, 1,013, 1.19%, 0.00%), (LLY, 380, 1.13%, 0.00%), (WM, 1,134, 1.08%, 0.00%), (GE, 944, 1.07%, 0.00%), (ORCL, 950, 0.95%, 0.00%), (NEE, 2,914, 0.94%, 0.00%), (NFLX, 177, 0.92%, 0.00%), (UNH, 707, 0.92%, 0.00%), (JNJ, 1,161, 0.88%, 0.00%), (CVX, 1,227, 0.83%, 0.00%), (PG, 1,222, 0.81%, 0.00%), (PLTR, 1,211, 0.81%, 0.00%), (WMT, 1,933, 0.79%, 0.00%), (COST, 197, 0.79%, 0.00%), (CAT, 421, 0.78%, 0.00%), (RTX, 1,161, 0.77%, 0.00%), (MCD, 577, 0.77%, 0.00%), (HD, 437, 0.76%, 0.00%), (ABBV, 852, 0.75%, 0.00%), (ABT, 1,332, 0.75%, 0.00%), (BAC, 3,161, 0.67%, 0.00%), (BKNG, 27, 0.66%, 0.00%), (KO, 2,209, 0.65%, 0.00%), (NKE, 1,887, 0.63%, 0.00%), (PM, 886, 0.63%, 0.00%), (BA, 652, 0.63%, 0.00%), (SO, 1,553, 0.62%, 0.00%), (AMD, 885, 0.62%, 0.00%), (CRM, 565, 0.59%, 0.00%), (DUK, 1,095, 0.58%, 0.00%), (UBER, 1,405, 0.57%, 0.00%), (GS, 180, 0.57%, 0.00%), (IBM, 546, 0.56%, 0.00%), (ISRG, 274, 0.55%, 0.00%), (MET, 1,571, 0.54%, 0.00%), (WFC, 1,577, 0.54%, 0.00%), (HON, 567, 0.53%, 0.00%), (ETN, 345, 0.51%, 0.00%), (PEP, 782, 0.49%, 0.00%), (INTU, 166, 0.47%, 0.00%), (DE, 222, 0.46%, 0.00%), (T, 3,762, 0.46%, 0.00%), (NOW, 122, 0.46%, 0.00%), (MS, 713, 0.45%, 0.00%), (MRK, 1,220, 0.44%, 0.00%), (TXN, 498, 0.44%, 0.00%), (AXP, 320, 0.43%, 0.00%), (SPGI, 182, 0.43%, 0.00%), (VZ, 2,207, 0.42%, 0.00%), (BLK, 84, 0.41%, 0.00%), (QCOM, 606, 0.40%, 0.00%), (ACN, 369, 0.40%, 0.00%), (ADBE, 260, 0.40%, 0.00%), (COP, 950, 0.40%, 0.00%), (MDT, 985, 0.39%, 0.00%), (UNP, 404, 0.38%, 0.00%), (TMO, 184, 0.38%, 0.00%), (DIS, 752, 0.38%, 0.00%), (C, 896, 0.36%, 0.00%), (SCHW, 859, 0.35%, 0.00%), (LMT, 184, 0.35%, 0.00%), (SBUX, 913, 0.33%, 0.00%), (AMGN, 259, 0.32%, 0.00%), (MMM, 475, 0.32%, 0.00%), (AMAT, 450, 0.31%, 0.00%), (PFE, 2,733, 0.29%, 0.00%), (CVS, 966, 0.29%, 0.00%), (GILD, 601, 0.29%, 0.00%), (TJX, 496, 0.29%, 0.00%), (EMR, 497, 0.28%, 0.00%), (MO, 966, 0.28%, 0.00%), (LOW, 249, 0.27%, 0.00%), (DHR, 310, 0.27%, 0.00%), (INTC, 2,352, 0.25%, 0.00%), (ELV, 178, 0.24%, 0.00%), (CMCSA, 1,585, 0.23%, 0.00%), (MDLZ, 762, 0.20%, 0.00%), (BMY, 978, 0.20%, 0.00%), (UPS, 488, 0.18%, 0.00%), (PYPL, 576, 0.17%, 0.00%), (CL, 424, 0.15%, 0.00%), (USB, 739, 0.15%, 0.00%), (FDX, 150, 0.15%, 0.00%), (TGT, 205, 0.08%, 0.00%), (SC9061B, nan, nan%, 0.00%), (SC9063B, nan, nan%, 0.00%), (SP9062B, nan, nan%, 0.00%), (SP9065B, nan, nan%, 0.00%), (SP9064B, nan, nan%, 0.00%), (XP9065B, nan, nan%, 0.00%)</t>
  </si>
  <si>
    <t>(META, 865, 2.64%, 0.00%), (BRK/B, 1,007, 1.98%, 0.00%), (GOOGL, 2,320, 1.95%, 0.00%), (LIN, 865, 1.68%, 0.00%), (CSCO, 6,114, 1.66%, 0.00%), (TSLA, 1,158, 1.61%, 0.00%), (GOOG, 1,889, 1.60%, 0.00%), (JPM, 1,275, 1.52%, 0.00%), (AMT, 1,755, 1.50%, 0.00%), (XOM, 3,086, 1.39%, 0.00%), (V, 949, 1.34%, 0.00%), (MA, 450, 1.08%, 0.00%), (CB, 968, 1.08%, 0.00%), (LLY, 363, 1.02%, 0.00%), (WM, 1,085, 0.99%, 0.00%), (GE, 903, 0.97%, 0.00%), (ORCL, 908, 0.86%, 0.00%), (NEE, 2,787, 0.85%, 0.00%), (NFLX, 170, 0.84%, 0.00%), (UNH, 676, 0.83%, 0.00%), (JNJ, 1,111, 0.80%, 0.00%), (CVX, 1,174, 0.75%, 0.00%), (PG, 1,169, 0.74%, 0.00%), (PLTR, 1,159, 0.73%, 0.00%), (COST, 189, 0.72%, 0.00%), (WMT, 1,849, 0.72%, 0.00%), (CAT, 403, 0.71%, 0.00%), (RTX, 1,111, 0.70%, 0.00%), (MCD, 552, 0.70%, 0.00%), (HD, 418, 0.69%, 0.00%), (ABBV, 815, 0.69%, 0.00%), (ABT, 1,274, 0.68%, 0.00%), (BAC, 3,023, 0.61%, 0.00%), (BKNG, 26, 0.60%, 0.00%), (KO, 2,113, 0.59%, 0.00%), (NKE, 1,805, 0.58%, 0.00%), (PM, 847, 0.57%, 0.00%), (BA, 624, 0.57%, 0.00%), (SO, 1,485, 0.56%, 0.00%), (AMD, 847, 0.56%, 0.00%), (CRM, 540, 0.54%, 0.00%), (DUK, 1,047, 0.52%, 0.00%), (UBER, 1,343, 0.52%, 0.00%), (GS, 172, 0.52%, 0.00%), (IBM, 523, 0.51%, 0.00%), (ISRG, 262, 0.50%, 0.00%), (MET, 1,503, 0.49%, 0.00%), (WFC, 1,508, 0.49%, 0.00%), (HON, 543, 0.49%, 0.00%), (ETN, 330, 0.46%, 0.00%), (PEP, 748, 0.45%, 0.00%), (INTU, 158, 0.42%, 0.00%), (DE, 212, 0.42%, 0.00%), (T, 3,598, 0.42%, 0.00%), (NOW, 116, 0.41%, 0.00%), (MS, 681, 0.41%, 0.00%), (MRK, 1,167, 0.40%, 0.00%), (TXN, 476, 0.40%, 0.00%), (AXP, 306, 0.39%, 0.00%), (SPGI, 174, 0.39%, 0.00%), (VZ, 2,111, 0.38%, 0.00%), (BLK, 80, 0.37%, 0.00%), (QCOM, 580, 0.37%, 0.00%), (ACN, 353, 0.37%, 0.00%), (ADBE, 249, 0.36%, 0.00%), (COP, 908, 0.36%, 0.00%), (MDT, 942, 0.35%, 0.00%), (UNP, 387, 0.35%, 0.00%), (TMO, 176, 0.35%, 0.00%), (DIS, 719, 0.34%, 0.00%), (C, 856, 0.33%, 0.00%), (LMT, 176, 0.32%, 0.00%), (SCHW, 821, 0.32%, 0.00%), (SBUX, 873, 0.30%, 0.00%), (AMGN, 248, 0.29%, 0.00%), (MMM, 454, 0.29%, 0.00%), (AMAT, 430, 0.28%, 0.00%), (PFE, 2,614, 0.27%, 0.00%), (CVS, 924, 0.27%, 0.00%), (GILD, 575, 0.27%, 0.00%), (TJX, 474, 0.26%, 0.00%), (EMR, 476, 0.26%, 0.00%), (MO, 924, 0.25%, 0.00%), (LOW, 239, 0.25%, 0.00%), (DHR, 297, 0.25%, 0.00%), (INTC, 2,250, 0.22%, 0.00%), (ELV, 170, 0.22%, 0.00%), (CMCSA, 1,515, 0.21%, 0.00%), (MDLZ, 729, 0.18%, 0.00%), (BMY, 936, 0.18%, 0.00%), (UPS, 467, 0.17%, 0.00%), (PYPL, 551, 0.16%, 0.00%), (CL, 405, 0.14%, 0.00%), (USB, 706, 0.14%, 0.00%), (FDX, 143, 0.14%, 0.00%), (TGT, 196, 0.08%, 0.00%), (SC28781H, nan, nan%, 0.00%), (SC28783H, nan, nan%, 0.00%), (SP28782H, nan, nan%, 0.00%), (SP28785B, nan, nan%, 0.00%), (SP28784H, nan, nan%, 0.00%), (XP28785B, nan, nan%, 0.00%)</t>
  </si>
  <si>
    <t>(AVGO, 1,615, 3.09%, 0.00%), (META, 574, 2.82%, 0.00%), (BRK/B, 667, 2.11%, 0.00%), (GOOGL, 1,538, 2.08%, 0.00%), (LIN, 573, 1.79%, 0.00%), (CSCO, 4,052, 1.78%, 0.00%), (TSLA, 768, 1.72%, 0.00%), (GOOG, 1,252, 1.70%, 0.00%), (JPM, 845, 1.62%, 0.00%), (AMT, 1,163, 1.60%, 0.00%), (XOM, 2,046, 1.49%, 0.00%), (V, 629, 1.43%, 0.00%), (MA, 298, 1.15%, 0.00%), (CB, 642, 1.15%, 0.00%), (LLY, 241, 1.09%, 0.00%), (WM, 719, 1.05%, 0.00%), (GE, 599, 1.04%, 0.00%), (ORCL, 602, 0.92%, 0.00%), (NEE, 1,847, 0.91%, 0.00%), (NFLX, 112, 0.89%, 0.00%), (UNH, 448, 0.89%, 0.00%), (JNJ, 736, 0.86%, 0.00%), (CVX, 778, 0.80%, 0.00%), (PG, 775, 0.79%, 0.00%), (PLTR, 768, 0.78%, 0.00%), (COST, 125, 0.77%, 0.00%), (WMT, 1,225, 0.77%, 0.00%), (CAT, 267, 0.75%, 0.00%), (RTX, 736, 0.75%, 0.00%), (MCD, 366, 0.75%, 0.00%), (HD, 277, 0.74%, 0.00%), (ABBV, 540, 0.73%, 0.00%), (ABT, 844, 0.73%, 0.00%), (BAC, 2,004, 0.65%, 0.00%), (BKNG, 17, 0.63%, 0.00%), (KO, 1,400, 0.63%, 0.00%), (NKE, 1,196, 0.61%, 0.00%), (PM, 562, 0.61%, 0.00%), (BA, 413, 0.61%, 0.00%), (SO, 984, 0.60%, 0.00%), (AMD, 561, 0.60%, 0.00%), (CRM, 358, 0.58%, 0.00%), (DUK, 694, 0.56%, 0.00%), (UBER, 890, 0.55%, 0.00%), (GS, 114, 0.55%, 0.00%), (IBM, 346, 0.54%, 0.00%), (ISRG, 173, 0.53%, 0.00%), (MET, 996, 0.53%, 0.00%), (WFC, 999, 0.52%, 0.00%), (HON, 360, 0.52%, 0.00%), (ETN, 219, 0.49%, 0.00%), (PEP, 496, 0.48%, 0.00%), (INTU, 105, 0.45%, 0.00%), (DE, 141, 0.45%, 0.00%), (T, 2,385, 0.45%, 0.00%), (NOW, 77, 0.44%, 0.00%), (MS, 452, 0.43%, 0.00%), (MRK, 773, 0.43%, 0.00%), (TXN, 315, 0.42%, 0.00%), (AXP, 203, 0.42%, 0.00%), (SPGI, 116, 0.42%, 0.00%), (VZ, 1,399, 0.40%, 0.00%), (BLK, 53, 0.39%, 0.00%), (ADBE, 165, 0.39%, 0.00%), (QCOM, 384, 0.39%, 0.00%), (ACN, 234, 0.39%, 0.00%), (COP, 602, 0.38%, 0.00%), (TMO, 117, 0.38%, 0.00%), (MDT, 624, 0.37%, 0.00%), (UNP, 256, 0.37%, 0.00%), (DIS, 477, 0.37%, 0.00%), (C, 568, 0.35%, 0.00%), (LMT, 117, 0.34%, 0.00%), (SCHW, 544, 0.34%, 0.00%), (SBUX, 579, 0.32%, 0.00%), (AMGN, 164, 0.31%, 0.00%), (MMM, 301, 0.31%, 0.00%), (AMAT, 285, 0.30%, 0.00%), (CVS, 613, 0.28%, 0.00%), (PFE, 1,733, 0.28%, 0.00%), (GILD, 381, 0.28%, 0.00%), (TJX, 314, 0.28%, 0.00%), (EMR, 315, 0.27%, 0.00%), (MO, 612, 0.27%, 0.00%), (DHR, 197, 0.27%, 0.00%), (LOW, 158, 0.27%, 0.00%), (INTC, 1,491, 0.24%, 0.00%), (ELV, 113, 0.23%, 0.00%), (CMCSA, 1,004, 0.22%, 0.00%), (MDLZ, 483, 0.20%, 0.00%), (BMY, 620, 0.19%, 0.00%), (UPS, 309, 0.18%, 0.00%), (PYPL, 365, 0.17%, 0.00%), (CL, 269, 0.15%, 0.00%), (USB, 468, 0.15%, 0.00%), (FDX, 95, 0.14%, 0.00%), (TGT, 130, 0.08%, 0.00%), (SC8071B, nan, nan%, 0.00%), (SC8073B, nan, nan%, 0.00%), (SP8072B, nan, nan%, 0.00%), (SP8075B, nan, nan%, 0.00%), (SP8074B, nan, nan%, 0.00%), (XP8075B, nan, nan%, 0.00%)</t>
  </si>
  <si>
    <t>(META, 5,984, 2.69%, 0.00%), (BRK/B, 6,962, 2.02%, 0.00%), (GOOGL, 16,039, 1.99%, 0.00%), (LIN, 5,981, 1.71%, 0.00%), (CSCO, 42,272, 1.70%, 0.00%), (TSLA, 8,007, 1.64%, 0.00%), (GOOG, 13,064, 1.63%, 0.00%), (JPM, 8,816, 1.55%, 0.00%), (AMT, 12,133, 1.53%, 0.00%), (XOM, 21,339, 1.42%, 0.00%), (V, 6,564, 1.37%, 0.00%), (MA, 3,113, 1.10%, 0.00%), (CB, 6,696, 1.10%, 0.00%), (LLY, 2,513, 1.04%, 0.00%), (WM, 7,500, 1.01%, 0.00%), (GE, 6,244, 0.99%, 0.00%), (ORCL, 6,281, 0.88%, 0.00%), (NEE, 19,268, 0.87%, 0.00%), (NFLX, 1,173, 0.85%, 0.00%), (UNH, 4,674, 0.85%, 0.00%), (JNJ, 7,679, 0.82%, 0.00%), (CVX, 8,114, 0.77%, 0.00%), (PG, 8,079, 0.75%, 0.00%), (PLTR, 8,011, 0.75%, 0.00%), (COST, 1,305, 0.73%, 0.00%), (WMT, 12,782, 0.73%, 0.00%), (CAT, 2,785, 0.72%, 0.00%), (RTX, 7,678, 0.72%, 0.00%), (MCD, 3,818, 0.72%, 0.00%), (HD, 2,889, 0.71%, 0.00%), (ABBV, 5,636, 0.70%, 0.00%), (ABT, 8,809, 0.69%, 0.00%), (BAC, 20,902, 0.62%, 0.00%), (KO, 14,609, 0.60%, 0.00%), (BKNG, 176, 0.60%, 0.00%), (NKE, 12,480, 0.59%, 0.00%), (PM, 5,859, 0.59%, 0.00%), (BA, 4,313, 0.58%, 0.00%), (SO, 10,266, 0.57%, 0.00%), (AMD, 5,853, 0.57%, 0.00%), (CRM, 3,736, 0.55%, 0.00%), (DUK, 7,238, 0.53%, 0.00%), (UBER, 9,289, 0.53%, 0.00%), (GS, 1,192, 0.53%, 0.00%), (IBM, 3,613, 0.52%, 0.00%), (ISRG, 1,809, 0.51%, 0.00%), (MET, 10,389, 0.50%, 0.00%), (WFC, 10,425, 0.50%, 0.00%), (HON, 3,751, 0.49%, 0.00%), (ETN, 2,280, 0.47%, 0.00%), (PEP, 5,170, 0.46%, 0.00%), (INTU, 1,095, 0.43%, 0.00%), (DE, 1,468, 0.43%, 0.00%), (T, 24,876, 0.43%, 0.00%), (NOW, 805, 0.42%, 0.00%), (MS, 4,712, 0.42%, 0.00%), (MRK, 8,068, 0.41%, 0.00%), (TXN, 3,290, 0.40%, 0.00%), (AXP, 2,114, 0.40%, 0.00%), (SPGI, 1,206, 0.40%, 0.00%), (VZ, 14,595, 0.39%, 0.00%), (BLK, 553, 0.38%, 0.00%), (QCOM, 4,007, 0.37%, 0.00%), (ACN, 2,442, 0.37%, 0.00%), (ADBE, 1,720, 0.37%, 0.00%), (COP, 6,280, 0.37%, 0.00%), (MDT, 6,513, 0.36%, 0.00%), (TMO, 1,220, 0.36%, 0.00%), (UNP, 2,674, 0.36%, 0.00%), (DIS, 4,971, 0.35%, 0.00%), (C, 5,922, 0.34%, 0.00%), (SCHW, 5,678, 0.33%, 0.00%), (LMT, 1,217, 0.33%, 0.00%), (SBUX, 6,039, 0.31%, 0.00%), (AMGN, 1,714, 0.30%, 0.00%), (MMM, 3,141, 0.29%, 0.00%), (AMAT, 2,973, 0.29%, 0.00%), (PFE, 18,074, 0.27%, 0.00%), (CVS, 6,391, 0.27%, 0.00%), (GILD, 3,975, 0.27%, 0.00%), (TJX, 3,280, 0.27%, 0.00%), (EMR, 3,289, 0.26%, 0.00%), (MO, 6,386, 0.26%, 0.00%), (LOW, 1,650, 0.26%, 0.00%), (DHR, 2,050, 0.25%, 0.00%), (INTC, 15,556, 0.23%, 0.00%), (ELV, 1,178, 0.22%, 0.00%), (CMCSA, 10,478, 0.21%, 0.00%), (MDLZ, 5,039, 0.19%, 0.00%), (BMY, 6,468, 0.18%, 0.00%), (UPS, 3,226, 0.17%, 0.00%), (PYPL, 3,808, 0.16%, 0.00%), (CL, 2,803, 0.14%, 0.00%), (USB, 4,885, 0.14%, 0.00%), (FDX, 992, 0.14%, 0.00%), (TGT, 1,357, 0.08%, 0.00%), (SC26771B, nan, nan%, 0.00%), (SC26773B, nan, nan%, 0.00%), (SP26772B, nan, nan%, 0.00%), (SP26774B, nan, nan%, 0.00%), (SP26775T, nan, nan%, 0.00%), (XP26775T, nan, nan%, 0.00%)</t>
  </si>
  <si>
    <t>(AVGO, 14,580, 3.15%, 0.00%), (META, 5,179, 2.87%, 0.00%), (BRK/B, 6,026, 2.16%, 0.00%), (GOOGL, 13,882, 2.12%, 0.00%), (LIN, 5,176, 1.82%, 0.00%), (CSCO, 36,587, 1.81%, 0.00%), (TSLA, 6,931, 1.75%, 0.00%), (GOOG, 11,307, 1.73%, 0.00%), (JPM, 7,630, 1.65%, 0.00%), (AMT, 10,501, 1.64%, 0.00%), (XOM, 18,469, 1.52%, 0.00%), (V, 5,681, 1.46%, 0.00%), (MA, 2,695, 1.18%, 0.00%), (CB, 5,796, 1.17%, 0.00%), (LLY, 2,175, 1.11%, 0.00%), (WM, 6,492, 1.07%, 0.00%), (GE, 5,404, 1.06%, 0.00%), (ORCL, 5,436, 0.94%, 0.00%), (NEE, 16,676, 0.93%, 0.00%), (NFLX, 1,016, 0.91%, 0.00%), (UNH, 4,045, 0.91%, 0.00%), (JNJ, 6,646, 0.87%, 0.00%), (CVX, 7,023, 0.82%, 0.00%), (PG, 6,993, 0.80%, 0.00%), (PLTR, 6,933, 0.80%, 0.00%), (COST, 1,129, 0.78%, 0.00%), (WMT, 11,063, 0.78%, 0.00%), (CAT, 2,411, 0.77%, 0.00%), (RTX, 6,646, 0.77%, 0.00%), (MCD, 3,304, 0.76%, 0.00%), (HD, 2,500, 0.75%, 0.00%), (ABBV, 4,878, 0.75%, 0.00%), (ABT, 7,624, 0.74%, 0.00%), (BAC, 18,091, 0.66%, 0.00%), (BKNG, 153, 0.64%, 0.00%), (KO, 12,644, 0.64%, 0.00%), (NKE, 10,802, 0.63%, 0.00%), (PM, 5,071, 0.63%, 0.00%), (BA, 3,733, 0.62%, 0.00%), (SO, 8,885, 0.61%, 0.00%), (AMD, 5,066, 0.61%, 0.00%), (CRM, 3,234, 0.59%, 0.00%), (DUK, 6,264, 0.57%, 0.00%), (UBER, 8,039, 0.56%, 0.00%), (GS, 1,032, 0.56%, 0.00%), (IBM, 3,127, 0.55%, 0.00%), (ISRG, 1,566, 0.54%, 0.00%), (MET, 8,992, 0.54%, 0.00%), (WFC, 9,023, 0.53%, 0.00%), (HON, 3,247, 0.53%, 0.00%), (ETN, 1,973, 0.50%, 0.00%), (PEP, 4,474, 0.49%, 0.00%), (INTU, 948, 0.46%, 0.00%), (DE, 1,270, 0.46%, 0.00%), (T, 21,531, 0.45%, 0.00%), (NOW, 697, 0.45%, 0.00%), (MS, 4,078, 0.44%, 0.00%), (MRK, 6,983, 0.44%, 0.00%), (TXN, 2,848, 0.43%, 0.00%), (AXP, 1,829, 0.43%, 0.00%), (SPGI, 1,044, 0.42%, 0.00%), (VZ, 12,632, 0.41%, 0.00%), (BLK, 479, 0.40%, 0.00%), (QCOM, 3,468, 0.40%, 0.00%), (ACN, 2,113, 0.40%, 0.00%), (ADBE, 1,489, 0.40%, 0.00%), (COP, 5,436, 0.39%, 0.00%), (MDT, 5,637, 0.38%, 0.00%), (TMO, 1,056, 0.38%, 0.00%), (UNP, 2,315, 0.38%, 0.00%), (DIS, 4,302, 0.37%, 0.00%), (C, 5,126, 0.36%, 0.00%), (SCHW, 4,914, 0.35%, 0.00%), (LMT, 1,053, 0.35%, 0.00%), (SBUX, 5,226, 0.33%, 0.00%), (AMGN, 1,484, 0.32%, 0.00%), (MMM, 2,719, 0.31%, 0.00%), (AMAT, 2,574, 0.31%, 0.00%), (PFE, 15,643, 0.29%, 0.00%), (CVS, 5,531, 0.29%, 0.00%), (GILD, 3,440, 0.29%, 0.00%), (TJX, 2,839, 0.28%, 0.00%), (EMR, 2,847, 0.28%, 0.00%), (MO, 5,527, 0.27%, 0.00%), (LOW, 1,428, 0.27%, 0.00%), (DHR, 1,774, 0.27%, 0.00%), (INTC, 13,464, 0.24%, 0.00%), (ELV, 1,019, 0.24%, 0.00%), (CMCSA, 9,069, 0.23%, 0.00%), (MDLZ, 4,361, 0.20%, 0.00%), (BMY, 5,599, 0.19%, 0.00%), (UPS, 2,792, 0.18%, 0.00%), (PYPL, 3,296, 0.17%, 0.00%), (CL, 2,426, 0.15%, 0.00%), (USB, 4,228, 0.15%, 0.00%), (FDX, 858, 0.15%, 0.00%), (TGT, 1,174, 0.08%, 0.00%), (SC23471B, nan, nan%, 0.00%), (SC23473B, nan, nan%, 0.00%), (SP23472B, nan, nan%, 0.00%), (SP23475B, nan, nan%, 0.00%), (SP23474B, nan, nan%, 0.00%), (XP23475B, nan, nan%, 0.00%)</t>
  </si>
  <si>
    <t>(AVGO, 10,868, 3.14%, 0.00%), (META, 3,861, 2.86%, 0.00%), (BRK/B, 4,492, 2.15%, 0.00%), (GOOGL, 10,348, 2.11%, 0.00%), (LIN, 3,859, 1.82%, 0.00%), (CSCO, 27,272, 1.80%, 0.00%), (TSLA, 5,166, 1.75%, 0.00%), (GOOG, 8,428, 1.73%, 0.00%), (JPM, 5,688, 1.65%, 0.00%), (AMT, 7,828, 1.63%, 0.00%), (XOM, 13,767, 1.51%, 0.00%), (V, 4,235, 1.45%, 0.00%), (MA, 2,009, 1.17%, 0.00%), (CB, 4,320, 1.17%, 0.00%), (LLY, 1,621, 1.11%, 0.00%), (WM, 4,839, 1.07%, 0.00%), (GE, 4,028, 1.06%, 0.00%), (ORCL, 4,052, 0.94%, 0.00%), (NEE, 12,431, 0.92%, 0.00%), (NFLX, 757, 0.91%, 0.00%), (UNH, 3,015, 0.90%, 0.00%), (JNJ, 4,954, 0.87%, 0.00%), (CVX, 5,235, 0.82%, 0.00%), (PG, 5,213, 0.80%, 0.00%), (PLTR, 5,168, 0.80%, 0.00%), (COST, 842, 0.78%, 0.00%), (WMT, 8,247, 0.78%, 0.00%), (CAT, 1,797, 0.76%, 0.00%), (RTX, 4,954, 0.76%, 0.00%), (MCD, 2,463, 0.76%, 0.00%), (HD, 1,864, 0.75%, 0.00%), (ABBV, 3,636, 0.74%, 0.00%), (ABT, 5,683, 0.74%, 0.00%), (BAC, 13,486, 0.66%, 0.00%), (BKNG, 114, 0.64%, 0.00%), (KO, 9,425, 0.64%, 0.00%), (NKE, 8,052, 0.62%, 0.00%), (PM, 3,780, 0.62%, 0.00%), (BA, 2,782, 0.62%, 0.00%), (SO, 6,623, 0.61%, 0.00%), (AMD, 3,776, 0.61%, 0.00%), (CRM, 2,410, 0.59%, 0.00%), (DUK, 4,670, 0.57%, 0.00%), (UBER, 5,993, 0.56%, 0.00%), (GS, 769, 0.56%, 0.00%), (IBM, 2,331, 0.55%, 0.00%), (ISRG, 1,167, 0.54%, 0.00%), (MET, 6,703, 0.53%, 0.00%), (WFC, 6,726, 0.53%, 0.00%), (HON, 2,420, 0.53%, 0.00%), (ETN, 1,471, 0.50%, 0.00%), (PEP, 3,335, 0.49%, 0.00%), (INTU, 707, 0.46%, 0.00%), (DE, 947, 0.46%, 0.00%), (T, 16,049, 0.45%, 0.00%), (NOW, 519, 0.45%, 0.00%), (MS, 3,040, 0.44%, 0.00%), (MRK, 5,205, 0.44%, 0.00%), (TXN, 2,123, 0.43%, 0.00%), (AXP, 1,364, 0.42%, 0.00%), (SPGI, 778, 0.42%, 0.00%), (VZ, 9,416, 0.41%, 0.00%), (BLK, 357, 0.40%, 0.00%), (QCOM, 2,585, 0.40%, 0.00%), (ACN, 1,575, 0.40%, 0.00%), (ADBE, 1,110, 0.40%, 0.00%), (COP, 4,052, 0.39%, 0.00%), (MDT, 4,202, 0.38%, 0.00%), (TMO, 787, 0.38%, 0.00%), (UNP, 1,725, 0.38%, 0.00%), (DIS, 3,207, 0.37%, 0.00%), (C, 3,821, 0.36%, 0.00%), (SCHW, 3,663, 0.35%, 0.00%), (LMT, 785, 0.35%, 0.00%), (SBUX, 3,896, 0.33%, 0.00%), (AMGN, 1,106, 0.31%, 0.00%), (MMM, 2,027, 0.31%, 0.00%), (AMAT, 1,918, 0.31%, 0.00%), (PFE, 11,661, 0.29%, 0.00%), (CVS, 4,123, 0.29%, 0.00%), (GILD, 2,564, 0.29%, 0.00%), (TJX, 2,116, 0.28%, 0.00%), (EMR, 2,122, 0.28%, 0.00%), (MO, 4,120, 0.27%, 0.00%), (LOW, 1,064, 0.27%, 0.00%), (DHR, 1,323, 0.27%, 0.00%), (INTC, 10,236, 0.25%, 0.00%), (ELV, 760, 0.24%, 0.00%), (CMCSA, 6,760, 0.23%, 0.00%), (MDLZ, 3,251, 0.20%, 0.00%), (BMY, 4,173, 0.19%, 0.00%), (UPS, 2,081, 0.18%, 0.00%), (PYPL, 2,457, 0.17%, 0.00%), (CL, 1,808, 0.15%, 0.00%), (USB, 3,152, 0.15%, 0.00%), (FDX, 640, 0.15%, 0.00%), (TGT, 875, 0.08%, 0.00%), (SC22171B, nan, nan%, 0.00%), (SC22173B, nan, nan%, 0.00%), (SP22172B, nan, nan%, 0.00%), (SP22175B, nan, nan%, 0.00%), (SP22174B, nan, nan%, 0.00%), (XP22175B, nan, nan%, 0.00%)</t>
  </si>
  <si>
    <t>(META, 1,460, 2.73%, 0.00%), (BRK/B, 1,699, 2.05%, 0.00%), (GOOGL, 3,914, 2.02%, 0.00%), (LIN, 1,459, 1.73%, 0.00%), (CSCO, 10,316, 1.72%, 0.00%), (TSLA, 1,954, 1.67%, 0.00%), (GOOG, 3,188, 1.65%, 0.00%), (JPM, 2,151, 1.57%, 0.00%), (AMT, 2,961, 1.55%, 0.00%), (XOM, 5,207, 1.44%, 0.00%), (V, 1,602, 1.39%, 0.00%), (MA, 760, 1.12%, 0.00%), (CB, 1,634, 1.11%, 0.00%), (LLY, 613, 1.06%, 0.00%), (WM, 1,830, 1.02%, 0.00%), (GE, 1,524, 1.01%, 0.00%), (ORCL, 1,533, 0.89%, 0.00%), (NEE, 4,702, 0.88%, 0.00%), (UNH, 1,141, 0.86%, 0.00%), (NFLX, 286, 0.86%, 0.00%), (JNJ, 1,874, 0.83%, 0.00%), (CVX, 1,980, 0.78%, 0.00%), (PG, 1,972, 0.76%, 0.00%), (PLTR, 1,955, 0.76%, 0.00%), (WMT, 3,119, 0.74%, 0.00%), (COST, 318, 0.74%, 0.00%), (CAT, 680, 0.73%, 0.00%), (RTX, 1,874, 0.73%, 0.00%), (MCD, 932, 0.73%, 0.00%), (HD, 705, 0.72%, 0.00%), (ABBV, 1,375, 0.71%, 0.00%), (ABT, 2,150, 0.70%, 0.00%), (BAC, 5,101, 0.63%, 0.00%), (KO, 3,565, 0.61%, 0.00%), (BKNG, 43, 0.61%, 0.00%), (NKE, 3,046, 0.60%, 0.00%), (PM, 1,430, 0.59%, 0.00%), (BA, 1,052, 0.59%, 0.00%), (SO, 2,505, 0.58%, 0.00%), (AMD, 1,428, 0.58%, 0.00%), (CRM, 912, 0.56%, 0.00%), (DUK, 1,766, 0.54%, 0.00%), (UBER, 2,267, 0.54%, 0.00%), (GS, 291, 0.53%, 0.00%), (IBM, 882, 0.52%, 0.00%), (ISRG, 441, 0.51%, 0.00%), (MET, 2,535, 0.51%, 0.00%), (WFC, 2,544, 0.50%, 0.00%), (HON, 915, 0.50%, 0.00%), (ETN, 556, 0.48%, 0.00%), (PEP, 1,262, 0.46%, 0.00%), (INTU, 267, 0.44%, 0.00%), (DE, 358, 0.43%, 0.00%), (T, 6,071, 0.43%, 0.00%), (NOW, 196, 0.43%, 0.00%), (MS, 1,150, 0.42%, 0.00%), (MRK, 1,969, 0.42%, 0.00%), (TXN, 803, 0.41%, 0.00%), (AXP, 516, 0.40%, 0.00%), (SPGI, 294, 0.40%, 0.00%), (VZ, 3,562, 0.39%, 0.00%), (BLK, 135, 0.38%, 0.00%), (QCOM, 978, 0.38%, 0.00%), (ACN, 596, 0.38%, 0.00%), (ADBE, 420, 0.38%, 0.00%), (COP, 1,533, 0.37%, 0.00%), (MDT, 1,589, 0.36%, 0.00%), (TMO, 298, 0.36%, 0.00%), (UNP, 653, 0.36%, 0.00%), (DIS, 1,213, 0.35%, 0.00%), (C, 1,445, 0.34%, 0.00%), (SCHW, 1,386, 0.33%, 0.00%), (LMT, 297, 0.33%, 0.00%), (SBUX, 1,474, 0.31%, 0.00%), (AMGN, 418, 0.30%, 0.00%), (MMM, 767, 0.30%, 0.00%), (AMAT, 726, 0.29%, 0.00%), (PFE, 4,411, 0.28%, 0.00%), (CVS, 1,560, 0.28%, 0.00%), (GILD, 970, 0.27%, 0.00%), (TJX, 800, 0.27%, 0.00%), (EMR, 803, 0.26%, 0.00%), (MO, 1,558, 0.26%, 0.00%), (LOW, 403, 0.26%, 0.00%), (DHR, 500, 0.26%, 0.00%), (INTC, 3,796, 0.23%, 0.00%), (ELV, 287, 0.22%, 0.00%), (CMCSA, 2,557, 0.22%, 0.00%), (MDLZ, 1,230, 0.19%, 0.00%), (BMY, 1,579, 0.18%, 0.00%), (UPS, 787, 0.17%, 0.00%), (PYPL, 929, 0.16%, 0.00%), (CL, 684, 0.14%, 0.00%), (USB, 1,192, 0.14%, 0.00%), (FDX, 242, 0.14%, 0.00%), (TGT, 331, 0.08%, 0.00%), (SC28181B, nan, nan%, 0.00%), (SC28183B, nan, nan%, 0.00%), (SP28182B, nan, nan%, 0.00%), (SP28185B, nan, nan%, 0.00%), (SP28184B, nan, nan%, 0.00%), (XP28185B, nan, nan%, 0.00%)</t>
  </si>
  <si>
    <t>(AVGO, 4,469, 3.03%, 0.00%), (META, 1,588, 2.76%, 0.00%), (BRK/B, 1,847, 2.07%, 0.00%), (GOOGL, 4,255, 2.04%, 0.00%), (LIN, 1,587, 1.75%, 0.00%), (CSCO, 11,215, 1.74%, 0.00%), (TSLA, 2,124, 1.69%, 0.00%), (GOOG, 3,466, 1.67%, 0.00%), (JPM, 2,339, 1.59%, 0.00%), (AMT, 3,219, 1.57%, 0.00%), (XOM, 5,661, 1.46%, 0.00%), (V, 1,741, 1.40%, 0.00%), (MA, 826, 1.13%, 0.00%), (CB, 1,776, 1.13%, 0.00%), (LLY, 667, 1.07%, 0.00%), (WM, 1,990, 1.03%, 0.00%), (GE, 1,656, 1.02%, 0.00%), (ORCL, 1,666, 0.90%, 0.00%), (NEE, 5,112, 0.89%, 0.00%), (UNH, 1,240, 0.87%, 0.00%), (NFLX, 311, 0.87%, 0.00%), (JNJ, 2,037, 0.84%, 0.00%), (CVX, 2,153, 0.79%, 0.00%), (PG, 2,143, 0.77%, 0.00%), (PLTR, 2,125, 0.77%, 0.00%), (WMT, 3,391, 0.75%, 0.00%), (COST, 346, 0.75%, 0.00%), (CAT, 739, 0.74%, 0.00%), (RTX, 2,037, 0.74%, 0.00%), (MCD, 1,013, 0.73%, 0.00%), (HD, 766, 0.72%, 0.00%), (ABBV, 1,495, 0.72%, 0.00%), (ABT, 2,337, 0.71%, 0.00%), (BAC, 5,545, 0.63%, 0.00%), (BKNG, 47, 0.62%, 0.00%), (KO, 3,876, 0.62%, 0.00%), (NKE, 3,311, 0.60%, 0.00%), (PM, 1,554, 0.60%, 0.00%), (BA, 1,144, 0.60%, 0.00%), (SO, 2,724, 0.59%, 0.00%), (AMD, 1,553, 0.59%, 0.00%), (CRM, 991, 0.57%, 0.00%), (DUK, 1,920, 0.55%, 0.00%), (UBER, 2,464, 0.54%, 0.00%), (GS, 316, 0.54%, 0.00%), (IBM, 959, 0.53%, 0.00%), (ISRG, 480, 0.52%, 0.00%), (MET, 2,756, 0.51%, 0.00%), (WFC, 2,766, 0.51%, 0.00%), (HON, 995, 0.51%, 0.00%), (ETN, 605, 0.48%, 0.00%), (PEP, 1,372, 0.47%, 0.00%), (INTU, 291, 0.44%, 0.00%), (DE, 389, 0.44%, 0.00%), (T, 6,600, 0.44%, 0.00%), (NOW, 214, 0.44%, 0.00%), (MS, 1,250, 0.43%, 0.00%), (MRK, 2,140, 0.42%, 0.00%), (TXN, 873, 0.41%, 0.00%), (AXP, 561, 0.41%, 0.00%), (SPGI, 320, 0.41%, 0.00%), (VZ, 3,872, 0.40%, 0.00%), (BLK, 147, 0.39%, 0.00%), (QCOM, 1,063, 0.38%, 0.00%), (ACN, 648, 0.38%, 0.00%), (ADBE, 456, 0.38%, 0.00%), (COP, 1,666, 0.38%, 0.00%), (MDT, 1,728, 0.37%, 0.00%), (TMO, 324, 0.37%, 0.00%), (UNP, 709, 0.37%, 0.00%), (DIS, 1,319, 0.36%, 0.00%), (C, 1,571, 0.34%, 0.00%), (SCHW, 1,506, 0.33%, 0.00%), (LMT, 323, 0.33%, 0.00%), (AMAT, 889, 0.33%, 0.00%), (SBUX, 1,602, 0.32%, 0.00%), (AMGN, 455, 0.30%, 0.00%), (MMM, 833, 0.30%, 0.00%), (PFE, 4,795, 0.28%, 0.00%), (CVS, 1,696, 0.28%, 0.00%), (GILD, 1,054, 0.28%, 0.00%), (TJX, 870, 0.27%, 0.00%), (EMR, 873, 0.27%, 0.00%), (MO, 1,694, 0.26%, 0.00%), (LOW, 438, 0.26%, 0.00%), (DHR, 544, 0.26%, 0.00%), (INTC, 4,127, 0.23%, 0.00%), (ELV, 312, 0.23%, 0.00%), (CMCSA, 2,780, 0.22%, 0.00%), (MDLZ, 1,337, 0.19%, 0.00%), (BMY, 1,716, 0.19%, 0.00%), (UPS, 856, 0.17%, 0.00%), (PYPL, 1,010, 0.16%, 0.00%), (CL, 744, 0.14%, 0.00%), (USB, 1,296, 0.14%, 0.00%), (FDX, 263, 0.14%, 0.00%), (TGT, 360, 0.08%, 0.00%), (SC13481B, nan, nan%, 0.00%), (SC13483B, nan, nan%, 0.00%), (SP13482B, nan, nan%, 0.00%), (SP13485B, nan, nan%, 0.00%), (SP13484B, nan, nan%, 0.00%), (XP13485B, nan, nan%, 0.00%)</t>
  </si>
  <si>
    <t>(AVGO, 8,403, 3.14%, 0.00%), (META, 2,985, 2.86%, 0.00%), (BRK/B, 3,473, 2.15%, 0.00%), (GOOGL, 8,001, 2.11%, 0.00%), (LIN, 2,983, 1.82%, 0.00%), (CSCO, 21,086, 1.80%, 0.00%), (TSLA, 3,994, 1.75%, 0.00%), (GOOG, 6,517, 1.73%, 0.00%), (JPM, 4,397, 1.65%, 0.00%), (AMT, 6,052, 1.63%, 0.00%), (XOM, 10,644, 1.51%, 0.00%), (V, 3,274, 1.45%, 0.00%), (MA, 1,553, 1.17%, 0.00%), (CB, 3,340, 1.17%, 0.00%), (LLY, 1,254, 1.11%, 0.00%), (WM, 3,741, 1.07%, 0.00%), (GE, 3,114, 1.06%, 0.00%), (ORCL, 3,133, 0.94%, 0.00%), (NEE, 9,611, 0.92%, 0.00%), (NFLX, 585, 0.90%, 0.00%), (UNH, 2,331, 0.90%, 0.00%), (JNJ, 3,830, 0.87%, 0.00%), (CVX, 4,048, 0.82%, 0.00%), (PG, 4,030, 0.80%, 0.00%), (PLTR, 3,996, 0.80%, 0.00%), (COST, 651, 0.78%, 0.00%), (WMT, 6,376, 0.78%, 0.00%), (CAT, 1,389, 0.76%, 0.00%), (RTX, 3,830, 0.76%, 0.00%), (MCD, 1,904, 0.76%, 0.00%), (HD, 1,441, 0.75%, 0.00%), (ABBV, 2,811, 0.74%, 0.00%), (ABT, 4,394, 0.74%, 0.00%), (BAC, 10,427, 0.66%, 0.00%), (KO, 7,287, 0.64%, 0.00%), (BKNG, 88, 0.64%, 0.00%), (NKE, 6,226, 0.62%, 0.00%), (PM, 2,922, 0.62%, 0.00%), (BA, 2,151, 0.62%, 0.00%), (SO, 5,121, 0.61%, 0.00%), (AMD, 2,920, 0.61%, 0.00%), (CRM, 1,864, 0.59%, 0.00%), (DUK, 3,610, 0.57%, 0.00%), (UBER, 4,633, 0.56%, 0.00%), (GS, 595, 0.56%, 0.00%), (IBM, 1,802, 0.55%, 0.00%), (ISRG, 902, 0.54%, 0.00%), (MET, 5,182, 0.53%, 0.00%), (WFC, 5,201, 0.53%, 0.00%), (HON, 1,871, 0.53%, 0.00%), (ETN, 1,137, 0.50%, 0.00%), (PEP, 2,579, 0.49%, 0.00%), (INTU, 546, 0.46%, 0.00%), (DE, 732, 0.45%, 0.00%), (T, 12,409, 0.45%, 0.00%), (NOW, 402, 0.45%, 0.00%), (MS, 2,350, 0.44%, 0.00%), (MRK, 4,024, 0.44%, 0.00%), (TXN, 1,641, 0.43%, 0.00%), (AXP, 1,054, 0.42%, 0.00%), (SPGI, 602, 0.42%, 0.00%), (VZ, 7,280, 0.41%, 0.00%), (BLK, 276, 0.40%, 0.00%), (QCOM, 1,999, 0.40%, 0.00%), (ACN, 1,218, 0.40%, 0.00%), (ADBE, 858, 0.40%, 0.00%), (COP, 3,133, 0.39%, 0.00%), (MDT, 3,249, 0.38%, 0.00%), (TMO, 609, 0.38%, 0.00%), (UNP, 1,334, 0.38%, 0.00%), (DIS, 2,480, 0.37%, 0.00%), (C, 2,954, 0.36%, 0.00%), (SCHW, 2,832, 0.35%, 0.00%), (LMT, 607, 0.35%, 0.00%), (SBUX, 3,012, 0.33%, 0.00%), (AMGN, 855, 0.31%, 0.00%), (MMM, 1,567, 0.31%, 0.00%), (AMAT, 1,483, 0.31%, 0.00%), (PFE, 9,016, 0.29%, 0.00%), (CVS, 3,188, 0.29%, 0.00%), (GILD, 1,983, 0.29%, 0.00%), (TJX, 1,636, 0.28%, 0.00%), (EMR, 1,641, 0.28%, 0.00%), (MO, 3,186, 0.27%, 0.00%), (LOW, 823, 0.27%, 0.00%), (DHR, 1,023, 0.27%, 0.00%), (INTC, 7,760, 0.24%, 0.00%), (ELV, 588, 0.24%, 0.00%), (CMCSA, 5,227, 0.23%, 0.00%), (MDLZ, 2,513, 0.20%, 0.00%), (BMY, 3,227, 0.19%, 0.00%), (UPS, 1,609, 0.18%, 0.00%), (PYPL, 1,899, 0.17%, 0.00%), (CL, 1,398, 0.15%, 0.00%), (USB, 2,437, 0.15%, 0.00%), (FDX, 495, 0.15%, 0.00%), (TGT, 677, 0.08%, 0.00%), (SC26771B, nan, nan%, 0.00%), (SC26773B, nan, nan%, 0.00%), (SP26772B, nan, nan%, 0.00%), (SP26775B, nan, nan%, 0.00%), (SP26774B, nan, nan%, 0.00%), (XP26775B, nan, nan%, 0.00%)</t>
  </si>
  <si>
    <t>EBAY, BK, META, MLI, GOOGL, JPM, MSFT, BKNG, EA, BLK, RJF</t>
  </si>
  <si>
    <t>(PHM, 8,199, 1.95%, 0.00%), (EWBC, 9,989, 1.92%, 0.01%), (AXP, 3,259, 1.89%, 0.00%), (HIG, 7,737, 1.86%, 0.00%), (V, 2,889, 1.84%, 0.00%), (TRV, 3,676, 1.80%, 0.00%), (NVDA, 5,399, 1.78%, 0.00%), (ROST, 6,437, 1.73%, 0.00%), (SNA, 2,881, 1.72%, 0.01%), (ADP, 3,087, 1.70%, 0.00%), (PCAR, 9,138, 1.66%, 0.00%), (AMAT, 5,536, 1.65%, 0.00%), (SYF, 12,067, 1.65%, 0.00%), (LEN, 6,821, 1.65%, 0.00%), (KLAC, 1,022, 1.64%, 0.00%), (UNM, 12,999, 1.64%, 0.01%), (CB, 3,260, 1.61%, 0.00%), (CTSH, 11,678, 1.52%, 0.00%), (WSM, 4,086, 1.47%, 0.00%), (CRM, 3,310, 1.46%, 0.00%), (PAYC, 3,535, 1.45%, 0.01%), (BKR, 17,186, 1.38%, 0.00%), (DHI, 4,533, 1.38%, 0.00%), (QCOM, 4,661, 1.34%, 0.00%), (ACN, 2,753, 1.27%, 0.00%), (AFL, 6,383, 1.25%, 0.00%), (AAPL, 3,009, 1.25%, 0.00%), (ELV, 2,213, 1.24%, 0.00%), (MPWR, 738, 1.14%, 0.00%), (LRCX, 5,953, 1.12%, 0.00%), (ODFL, 3,959, 1.11%, 0.00%), (CSCO, 8,646, 1.07%, 0.00%), (GE, 2,086, 1.04%, 0.00%), (STT, 4,792, 1.01%, 0.00%), (PNC, 2,566, 0.95%, 0.00%), (MTB, 2,550, 0.92%, 0.00%), (AMP, 933, 0.87%, 0.00%), (CF, 5,477, 0.86%, 0.00%), (ABT, 3,450, 0.82%, 0.00%), (COST, 479, 0.82%, 0.00%), (XOM, 4,012, 0.81%, 0.00%), (EOG, 3,609, 0.79%, 0.00%), (CSL, 1,074, 0.76%, 0.00%), (EG, 1,214, 0.74%, 0.00%), (GEV, 489, 0.55%, 0.00%), (NTRS, 2,224, 0.53%, 0.00%), (MA, 464, 0.50%, 0.00%), (CRBG, 7,642, 0.48%, 0.00%), (ACM, 2,104, 0.48%, 0.00%), (JNJ, 1,489, 0.48%, 0.00%), (LNC, 6,083, 0.47%, 0.00%), (JXN, 2,511, 0.45%, 0.00%), (WTFC, 1,792, 0.44%, 0.00%), (MTG, 8,740, 0.44%, 0.00%), (CINF, 1,547, 0.43%, 0.00%), (DOV, 1,301, 0.43%, 0.00%), (EQH, 4,312, 0.42%, 0.00%), (ADM, 3,704, 0.42%, 0.00%), (SLM, 7,142, 0.41%, 0.00%), (ALL, 1,102, 0.41%, 0.00%), (NUE, 1,487, 0.40%, 0.00%), (MCK, 321, 0.40%, 0.00%), (NKE, 2,711, 0.39%, 0.00%), (PGR, 811, 0.36%, 0.00%), (FANG, 1,158, 0.30%, 0.00%), (SC13N61B, nan, nan%, 0.00%), (SC13N63B, nan, nan%, 0.00%), (SP13N62B, nan, nan%, 0.00%), (SP13N65B, nan, nan%, 0.00%), (SP13N64B, nan, nan%, 0.00%), (SPX Index, nan, nan%, 0.00%), (XP13N65B, nan, nan%, 0.00%)</t>
  </si>
  <si>
    <t>(AVGO, 3,865, 3.30%, 0.00%), (META, 1,373, 2.97%, 0.00%), (BRK/B, 1,597, 2.26%, 0.00%), (GOOGL, 3,680, 2.18%, 0.00%), (LIN, 1,372, 1.91%, 0.00%), (CSCO, 9,698, 1.91%, 0.00%), (TSLA, 1,837, 1.84%, 0.00%), (GOOG, 2,997, 1.79%, 0.00%), (JPM, 2,022, 1.73%, 0.00%), (AMT, 2,784, 1.66%, 0.00%), (XOM, 4,896, 1.57%, 0.00%), (V, 1,506, 1.52%, 0.00%), (MA, 714, 1.22%, 0.00%), (LLY, 577, 1.21%, 0.00%), (CB, 1,536, 1.20%, 0.00%), (GE, 1,432, 1.12%, 0.00%), (WM, 1,721, 1.12%, 0.00%), (ORCL, 1,441, 0.97%, 0.00%), (NEE, 4,420, 0.95%, 0.00%), (NFLX, 269, 0.94%, 0.00%), (UNH, 1,072, 0.93%, 0.00%), (JNJ, 1,762, 0.90%, 0.00%), (PLTR, 1,838, 0.84%, 0.00%), (CVX, 1,862, 0.84%, 0.00%), (PG, 1,854, 0.83%, 0.00%), (WMT, 2,933, 0.81%, 0.00%), (COST, 299, 0.81%, 0.00%), (RTX, 1,762, 0.81%, 0.00%), (CAT, 639, 0.79%, 0.00%), (MCD, 876, 0.79%, 0.00%), (HD, 663, 0.78%, 0.00%), (ABBV, 1,293, 0.78%, 0.00%), (ABT, 2,021, 0.76%, 0.00%), (BAC, 4,795, 0.69%, 0.00%), (BA, 989, 0.66%, 0.00%), (KO, 3,352, 0.66%, 0.00%), (BKNG, 40, 0.66%, 0.00%), (NKE, 2,863, 0.65%, 0.00%), (PM, 1,344, 0.65%, 0.00%), (AMD, 1,343, 0.64%, 0.00%), (SO, 2,355, 0.63%, 0.00%), (CRM, 857, 0.60%, 0.00%), (UBER, 2,131, 0.59%, 0.00%), (DUK, 1,661, 0.59%, 0.00%), (GS, 274, 0.59%, 0.00%), (IBM, 829, 0.58%, 0.00%), (ISRG, 415, 0.57%, 0.00%), (WFC, 2,392, 0.56%, 0.00%), (MET, 2,383, 0.56%, 0.00%), (HON, 861, 0.55%, 0.00%), (ETN, 523, 0.53%, 0.00%), (PEP, 1,186, 0.50%, 0.00%), (INTU, 251, 0.48%, 0.00%), (DE, 337, 0.47%, 0.00%), (T, 5,707, 0.47%, 0.00%), (MS, 1,081, 0.46%, 0.00%), (NOW, 185, 0.46%, 0.00%), (MRK, 1,851, 0.45%, 0.00%), (TXN, 755, 0.45%, 0.00%), (AXP, 485, 0.45%, 0.00%), (SPGI, 277, 0.44%, 0.00%), (VZ, 3,348, 0.42%, 0.00%), (QCOM, 919, 0.42%, 0.00%), (BLK, 127, 0.42%, 0.00%), (ACN, 560, 0.41%, 0.00%), (ADBE, 395, 0.40%, 0.00%), (COP, 1,441, 0.40%, 0.00%), (MDT, 1,494, 0.40%, 0.00%), (UNP, 614, 0.39%, 0.00%), (TMO, 280, 0.39%, 0.00%), (DIS, 1,140, 0.39%, 0.00%), (C, 1,359, 0.37%, 0.00%), (SCHW, 1,303, 0.36%, 0.00%), (LMT, 279, 0.36%, 0.00%), (SBUX, 1,385, 0.35%, 0.00%), (AMGN, 393, 0.33%, 0.00%), (MMM, 721, 0.32%, 0.00%), (AMAT, 682, 0.32%, 0.00%), (GILD, 912, 0.30%, 0.00%), (CVS, 1,466, 0.30%, 0.00%), (PFE, 4,147, 0.30%, 0.00%), (TJX, 753, 0.30%, 0.00%), (EMR, 755, 0.29%, 0.00%), (LOW, 379, 0.28%, 0.00%), (MO, 1,465, 0.28%, 0.00%), (DHR, 470, 0.28%, 0.00%), (INTC, 3,569, 0.25%, 0.00%), (ELV, 270, 0.24%, 0.00%), (CMCSA, 2,404, 0.23%, 0.00%), (MDLZ, 1,156, 0.21%, 0.00%), (BMY, 1,484, 0.20%, 0.00%), (UPS, 740, 0.19%, 0.00%), (PYPL, 874, 0.18%, 0.00%), (USB, 1,121, 0.16%, 0.00%), (CL, 643, 0.16%, 0.00%), (FDX, 227, 0.15%, 0.00%), (TGT, 311, 0.09%, 0.00%), (SC31761B, nan, nan%, 0.00%), (SC31763B, nan, nan%, 0.00%), (SP31762B, nan, nan%, 0.00%), (SP31765B, nan, nan%, 0.00%), (SP31764B, nan, nan%, 0.00%), (XP31765B, nan, nan%, 0.00%)</t>
  </si>
  <si>
    <t>(AVGO, 2,548, 3.21%, 0.00%), (META, 905, 2.90%, 0.00%), (BRK/B, 1,053, 2.20%, 0.00%), (GOOGL, 2,426, 2.12%, 0.00%), (CSCO, 6,393, 1.85%, 0.00%), (LIN, 904, 1.85%, 0.00%), (TSLA, 1,211, 1.79%, 0.00%), (GOOG, 1,976, 1.74%, 0.00%), (JPM, 1,333, 1.68%, 0.00%), (AMT, 1,835, 1.62%, 0.00%), (XOM, 3,227, 1.53%, 0.00%), (V, 993, 1.48%, 0.00%), (MA, 471, 1.18%, 0.00%), (LLY, 380, 1.18%, 0.00%), (CB, 1,013, 1.17%, 0.00%), (GE, 944, 1.09%, 0.00%), (WM, 1,134, 1.09%, 0.00%), (ORCL, 950, 0.94%, 0.00%), (NEE, 2,914, 0.93%, 0.00%), (NFLX, 177, 0.92%, 0.00%), (UNH, 707, 0.90%, 0.00%), (JNJ, 1,161, 0.87%, 0.00%), (PLTR, 1,211, 0.82%, 0.00%), (CVX, 1,227, 0.82%, 0.00%), (PG, 1,222, 0.81%, 0.00%), (WMT, 1,933, 0.79%, 0.00%), (COST, 197, 0.79%, 0.00%), (RTX, 1,161, 0.78%, 0.00%), (CAT, 421, 0.77%, 0.00%), (MCD, 577, 0.77%, 0.00%), (HD, 437, 0.76%, 0.00%), (ABBV, 852, 0.75%, 0.00%), (ABT, 1,332, 0.74%, 0.00%), (BAC, 3,161, 0.67%, 0.00%), (BKNG, 27, 0.66%, 0.00%), (BA, 652, 0.65%, 0.00%), (KO, 2,209, 0.65%, 0.00%), (NKE, 1,887, 0.63%, 0.00%), (PM, 886, 0.63%, 0.00%), (AMD, 885, 0.62%, 0.00%), (SO, 1,553, 0.61%, 0.00%), (CRM, 565, 0.58%, 0.00%), (UBER, 1,405, 0.58%, 0.00%), (DUK, 1,095, 0.57%, 0.00%), (GS, 180, 0.57%, 0.00%), (IBM, 546, 0.56%, 0.00%), (ISRG, 274, 0.55%, 0.00%), (WFC, 1,577, 0.54%, 0.00%), (MET, 1,571, 0.54%, 0.00%), (HON, 567, 0.54%, 0.00%), (ETN, 345, 0.51%, 0.00%), (PEP, 782, 0.49%, 0.00%), (INTU, 166, 0.47%, 0.00%), (DE, 222, 0.46%, 0.00%), (T, 3,762, 0.46%, 0.00%), (MS, 713, 0.45%, 0.00%), (NOW, 122, 0.45%, 0.00%), (MRK, 1,220, 0.44%, 0.00%), (TXN, 498, 0.44%, 0.00%), (AXP, 320, 0.44%, 0.00%), (SPGI, 182, 0.43%, 0.00%), (VZ, 2,207, 0.41%, 0.00%), (QCOM, 606, 0.41%, 0.00%), (BLK, 84, 0.41%, 0.00%), (ACN, 369, 0.40%, 0.00%), (ADBE, 260, 0.39%, 0.00%), (COP, 950, 0.39%, 0.00%), (MDT, 985, 0.39%, 0.00%), (UNP, 404, 0.38%, 0.00%), (TMO, 184, 0.38%, 0.00%), (DIS, 752, 0.38%, 0.00%), (C, 896, 0.36%, 0.00%), (SCHW, 859, 0.35%, 0.00%), (LMT, 184, 0.35%, 0.00%), (SBUX, 913, 0.34%, 0.00%), (AMGN, 259, 0.32%, 0.00%), (MMM, 475, 0.32%, 0.00%), (AMAT, 450, 0.31%, 0.00%), (GILD, 601, 0.29%, 0.00%), (CVS, 966, 0.29%, 0.00%), (PFE, 2,733, 0.29%, 0.00%), (TJX, 496, 0.29%, 0.00%), (EMR, 497, 0.28%, 0.00%), (LOW, 249, 0.27%, 0.00%), (MO, 966, 0.27%, 0.00%), (DHR, 310, 0.27%, 0.00%), (INTC, 2,352, 0.24%, 0.00%), (ELV, 178, 0.23%, 0.00%), (CMCSA, 1,585, 0.23%, 0.00%), (MDLZ, 762, 0.20%, 0.00%), (BMY, 978, 0.20%, 0.00%), (UPS, 488, 0.18%, 0.00%), (PYPL, 576, 0.17%, 0.00%), (USB, 739, 0.15%, 0.00%), (CL, 424, 0.15%, 0.00%), (FDX, 150, 0.15%, 0.00%), (TGT, 205, 0.08%, 0.00%), (SC9061B, nan, nan%, 0.00%), (SC9063B, nan, nan%, 0.00%), (SP9062B, nan, nan%, 0.00%), (SP9065B, nan, nan%, 0.00%), (SP9064B, nan, nan%, 0.00%), (XP9065B, nan, nan%, 0.00%)</t>
  </si>
  <si>
    <t>(META, 865, 2.63%, 0.00%), (BRK/B, 1,007, 2.00%, 0.00%), (GOOGL, 2,320, 1.94%, 0.00%), (CSCO, 6,114, 1.69%, 0.00%), (LIN, 865, 1.69%, 0.00%), (TSLA, 1,158, 1.63%, 0.00%), (GOOG, 1,889, 1.58%, 0.00%), (JPM, 1,275, 1.53%, 0.00%), (AMT, 1,755, 1.47%, 0.00%), (XOM, 3,086, 1.39%, 0.00%), (V, 949, 1.35%, 0.00%), (MA, 450, 1.08%, 0.00%), (LLY, 363, 1.07%, 0.00%), (CB, 968, 1.07%, 0.00%), (GE, 903, 0.99%, 0.00%), (WM, 1,085, 0.99%, 0.00%), (ORCL, 908, 0.86%, 0.00%), (NEE, 2,787, 0.84%, 0.00%), (NFLX, 170, 0.84%, 0.00%), (UNH, 676, 0.82%, 0.00%), (JNJ, 1,111, 0.79%, 0.00%), (PLTR, 1,159, 0.75%, 0.00%), (CVX, 1,174, 0.75%, 0.00%), (PG, 1,169, 0.74%, 0.00%), (COST, 189, 0.72%, 0.00%), (WMT, 1,849, 0.72%, 0.00%), (RTX, 1,111, 0.71%, 0.00%), (CAT, 403, 0.70%, 0.00%), (MCD, 552, 0.70%, 0.00%), (HD, 418, 0.69%, 0.00%), (ABBV, 815, 0.69%, 0.00%), (ABT, 1,274, 0.68%, 0.00%), (BAC, 3,023, 0.61%, 0.00%), (BKNG, 26, 0.60%, 0.00%), (BA, 624, 0.59%, 0.00%), (KO, 2,113, 0.59%, 0.00%), (NKE, 1,805, 0.57%, 0.00%), (PM, 847, 0.57%, 0.00%), (AMD, 847, 0.57%, 0.00%), (SO, 1,485, 0.56%, 0.00%), (CRM, 540, 0.53%, 0.00%), (UBER, 1,343, 0.52%, 0.00%), (DUK, 1,047, 0.52%, 0.00%), (GS, 172, 0.52%, 0.00%), (IBM, 523, 0.51%, 0.00%), (ISRG, 262, 0.50%, 0.00%), (WFC, 1,508, 0.49%, 0.00%), (MET, 1,503, 0.49%, 0.00%), (HON, 543, 0.49%, 0.00%), (ETN, 330, 0.47%, 0.00%), (PEP, 748, 0.44%, 0.00%), (INTU, 158, 0.42%, 0.00%), (DE, 212, 0.42%, 0.00%), (T, 3,598, 0.41%, 0.00%), (MS, 681, 0.41%, 0.00%), (NOW, 116, 0.41%, 0.00%), (MRK, 1,167, 0.40%, 0.00%), (TXN, 476, 0.40%, 0.00%), (AXP, 306, 0.40%, 0.00%), (SPGI, 174, 0.39%, 0.00%), (VZ, 2,111, 0.38%, 0.00%), (QCOM, 580, 0.37%, 0.00%), (BLK, 80, 0.37%, 0.00%), (ACN, 353, 0.36%, 0.00%), (ADBE, 249, 0.36%, 0.00%), (COP, 908, 0.36%, 0.00%), (MDT, 942, 0.35%, 0.00%), (UNP, 387, 0.35%, 0.00%), (TMO, 176, 0.35%, 0.00%), (DIS, 719, 0.34%, 0.00%), (C, 856, 0.33%, 0.00%), (LMT, 176, 0.32%, 0.00%), (SCHW, 821, 0.32%, 0.00%), (SBUX, 873, 0.31%, 0.00%), (AMGN, 248, 0.29%, 0.00%), (MMM, 454, 0.29%, 0.00%), (AMAT, 430, 0.28%, 0.00%), (GILD, 575, 0.27%, 0.00%), (CVS, 924, 0.27%, 0.00%), (PFE, 2,614, 0.26%, 0.00%), (TJX, 474, 0.26%, 0.00%), (EMR, 476, 0.26%, 0.00%), (LOW, 239, 0.25%, 0.00%), (MO, 924, 0.25%, 0.00%), (DHR, 297, 0.25%, 0.00%), (INTC, 2,250, 0.22%, 0.00%), (ELV, 170, 0.21%, 0.00%), (CMCSA, 1,515, 0.21%, 0.00%), (MDLZ, 729, 0.18%, 0.00%), (BMY, 936, 0.18%, 0.00%), (UPS, 467, 0.16%, 0.00%), (PYPL, 551, 0.16%, 0.00%), (USB, 706, 0.14%, 0.00%), (CL, 405, 0.14%, 0.00%), (FDX, 143, 0.13%, 0.00%), (TGT, 196, 0.08%, 0.00%), (SC28781H, nan, nan%, 0.00%), (SC28783H, nan, nan%, 0.00%), (SP28782H, nan, nan%, 0.00%), (SP28785B, nan, nan%, 0.00%), (SP28784H, nan, nan%, 0.00%), (XP28785B, nan, nan%, 0.00%)</t>
  </si>
  <si>
    <t>(AVGO, 1,615, 3.12%, 0.00%), (META, 574, 2.81%, 0.00%), (BRK/B, 667, 2.13%, 0.00%), (GOOGL, 1,538, 2.06%, 0.00%), (CSCO, 4,052, 1.80%, 0.00%), (LIN, 573, 1.80%, 0.00%), (TSLA, 768, 1.74%, 0.00%), (GOOG, 1,252, 1.69%, 0.00%), (JPM, 845, 1.64%, 0.00%), (AMT, 1,163, 1.57%, 0.00%), (XOM, 2,046, 1.48%, 0.00%), (V, 629, 1.44%, 0.00%), (MA, 298, 1.15%, 0.00%), (LLY, 241, 1.14%, 0.00%), (CB, 642, 1.14%, 0.00%), (GE, 599, 1.06%, 0.00%), (WM, 719, 1.05%, 0.00%), (ORCL, 602, 0.92%, 0.00%), (NEE, 1,847, 0.90%, 0.00%), (NFLX, 112, 0.89%, 0.00%), (UNH, 448, 0.88%, 0.00%), (JNJ, 736, 0.85%, 0.00%), (PLTR, 768, 0.80%, 0.00%), (CVX, 778, 0.80%, 0.00%), (PG, 775, 0.79%, 0.00%), (COST, 125, 0.77%, 0.00%), (WMT, 1,225, 0.77%, 0.00%), (RTX, 736, 0.76%, 0.00%), (CAT, 267, 0.75%, 0.00%), (MCD, 366, 0.74%, 0.00%), (HD, 277, 0.73%, 0.00%), (ABBV, 540, 0.73%, 0.00%), (ABT, 844, 0.72%, 0.00%), (BAC, 2,004, 0.65%, 0.00%), (BKNG, 17, 0.63%, 0.00%), (BA, 413, 0.63%, 0.00%), (KO, 1,400, 0.63%, 0.00%), (NKE, 1,196, 0.61%, 0.00%), (PM, 562, 0.61%, 0.00%), (AMD, 561, 0.61%, 0.00%), (SO, 984, 0.60%, 0.00%), (CRM, 358, 0.57%, 0.00%), (UBER, 890, 0.56%, 0.00%), (DUK, 694, 0.56%, 0.00%), (GS, 114, 0.56%, 0.00%), (IBM, 346, 0.55%, 0.00%), (ISRG, 173, 0.53%, 0.00%), (WFC, 999, 0.53%, 0.00%), (MET, 996, 0.53%, 0.00%), (HON, 360, 0.52%, 0.00%), (ETN, 219, 0.50%, 0.00%), (PEP, 496, 0.47%, 0.00%), (INTU, 105, 0.45%, 0.00%), (DE, 141, 0.45%, 0.00%), (T, 2,385, 0.44%, 0.00%), (MS, 452, 0.44%, 0.00%), (NOW, 77, 0.43%, 0.00%), (MRK, 773, 0.43%, 0.00%), (AXP, 203, 0.42%, 0.00%), (TXN, 315, 0.42%, 0.00%), (SPGI, 116, 0.42%, 0.00%), (VZ, 1,399, 0.40%, 0.00%), (QCOM, 384, 0.40%, 0.00%), (BLK, 53, 0.39%, 0.00%), (ACN, 234, 0.39%, 0.00%), (ADBE, 165, 0.38%, 0.00%), (COP, 602, 0.38%, 0.00%), (MDT, 624, 0.37%, 0.00%), (TMO, 117, 0.37%, 0.00%), (UNP, 256, 0.37%, 0.00%), (DIS, 477, 0.37%, 0.00%), (C, 568, 0.35%, 0.00%), (LMT, 117, 0.35%, 0.00%), (SCHW, 544, 0.34%, 0.00%), (SBUX, 579, 0.33%, 0.00%), (AMGN, 164, 0.31%, 0.00%), (MMM, 301, 0.31%, 0.00%), (AMAT, 285, 0.30%, 0.00%), (CVS, 613, 0.28%, 0.00%), (GILD, 381, 0.28%, 0.00%), (PFE, 1,733, 0.28%, 0.00%), (TJX, 314, 0.28%, 0.00%), (EMR, 315, 0.27%, 0.00%), (LOW, 158, 0.27%, 0.00%), (MO, 612, 0.26%, 0.00%), (DHR, 197, 0.26%, 0.00%), (INTC, 1,491, 0.24%, 0.00%), (ELV, 113, 0.23%, 0.00%), (CMCSA, 1,004, 0.22%, 0.00%), (MDLZ, 483, 0.20%, 0.00%), (BMY, 620, 0.19%, 0.00%), (UPS, 309, 0.18%, 0.00%), (PYPL, 365, 0.17%, 0.00%), (USB, 468,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</si>
  <si>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5,984, 2.69%, 0.00%), (BRK/B, 6,962, 2.04%, 0.00%), (GOOGL, 16,039, 1.97%, 0.00%), (LIN, 5,981, 1.72%, 0.00%), (CSCO, 42,272, 1.72%, 0.00%), (TSLA, 8,007, 1.66%, 0.00%), (GOOG, 13,064, 1.61%, 0.00%), (JPM, 8,816, 1.56%, 0.00%), (AMT, 12,133, 1.50%, 0.00%), (XOM, 21,339, 1.42%, 0.00%), (V, 6,564, 1.37%, 0.00%), (MA, 3,113, 1.10%, 0.00%), (LLY, 2,513, 1.09%, 0.00%), (CB, 6,696, 1.09%, 0.00%), (GE, 6,244, 1.01%, 0.00%), (WM, 7,500, 1.01%, 0.00%), (ORCL, 6,281, 0.88%, 0.00%), (NEE, 19,268, 0.86%, 0.00%), (NFLX, 1,173, 0.85%, 0.00%), (UNH, 4,674, 0.84%, 0.00%), (JNJ, 7,679, 0.81%, 0.00%), (PLTR, 8,011, 0.76%, 0.00%), (CVX, 8,114, 0.76%, 0.00%), (PG, 8,079, 0.75%, 0.00%), (COST, 1,305, 0.73%, 0.00%), (WMT, 12,782, 0.73%, 0.00%), (RTX, 7,678, 0.73%, 0.00%), (CAT, 2,785, 0.72%, 0.00%), (MCD, 3,818, 0.71%, 0.00%), (HD, 2,889, 0.70%, 0.00%), (ABBV, 5,636, 0.70%, 0.00%), (ABT, 8,809, 0.69%, 0.00%), (BAC, 20,902, 0.62%, 0.00%), (BA, 4,313, 0.60%, 0.00%), (BKNG, 176, 0.60%, 0.00%), (KO, 14,609, 0.60%, 0.00%), (NKE, 12,480, 0.58%, 0.00%), (PM, 5,859, 0.58%, 0.00%), (AMD, 5,853, 0.58%, 0.00%), (SO, 10,266, 0.57%, 0.00%), (CRM, 3,736, 0.54%, 0.00%), (UBER, 9,289, 0.53%, 0.00%), (DUK, 7,238, 0.53%, 0.00%), (GS, 1,192, 0.53%, 0.00%), (IBM, 3,613, 0.52%, 0.00%), (ISRG, 1,809, 0.51%, 0.00%), (WFC, 10,425, 0.50%, 0.00%), (MET, 10,389, 0.50%, 0.00%), (HON, 3,751, 0.50%, 0.00%), (ETN, 2,280, 0.48%, 0.00%), (PEP, 5,170, 0.45%, 0.00%), (INTU, 1,095, 0.43%, 0.00%), (DE, 1,468, 0.43%, 0.00%), (T, 24,876, 0.42%, 0.00%), (MS, 4,712, 0.42%, 0.00%), (NOW, 805, 0.41%, 0.00%), (MRK, 8,068, 0.41%, 0.00%), (TXN, 3,290, 0.40%, 0.00%), (AXP, 2,114, 0.40%, 0.00%), (SPGI, 1,206, 0.40%, 0.00%), (VZ, 14,595, 0.38%, 0.00%), (QCOM, 4,007, 0.38%, 0.00%), (BLK, 553, 0.38%, 0.00%), (ACN, 2,442, 0.37%, 0.00%), (ADBE, 1,720, 0.36%, 0.00%), (COP, 6,280, 0.36%, 0.00%), (MDT, 6,513, 0.36%, 0.00%), (TMO, 1,220, 0.36%, 0.00%), (UNP, 2,674, 0.36%, 0.00%), (DIS, 4,971, 0.35%, 0.00%), (C, 5,922, 0.34%, 0.00%), (LMT, 1,217, 0.33%, 0.00%), (SCHW, 5,678, 0.33%, 0.00%), (SBUX, 6,039, 0.31%, 0.00%), (AMGN, 1,714, 0.30%, 0.00%), (MMM, 3,141, 0.29%, 0.00%), (AMAT, 2,973, 0.29%, 0.00%), (CVS, 6,391, 0.27%, 0.00%), (GILD, 3,975, 0.27%, 0.00%), (PFE, 18,074, 0.27%, 0.00%), (TJX, 3,280, 0.27%, 0.00%), (EMR, 3,289, 0.26%, 0.00%), (LOW, 1,650, 0.25%, 0.00%), (MO, 6,386, 0.25%, 0.00%), (DHR, 2,050, 0.25%, 0.00%), (INTC, 15,556, 0.23%, 0.00%), (ELV, 1,178, 0.22%, 0.00%), (CMCSA, 10,478, 0.21%, 0.00%), (MDLZ, 5,039, 0.19%, 0.00%), (BMY, 6,468, 0.18%, 0.00%), (UPS, 3,226, 0.17%, 0.00%), (PYPL, 3,808, 0.16%, 0.00%), (USB, 4,885, 0.14%, 0.00%), (CL, 2,803, 0.14%, 0.00%), (FDX, 992, 0.14%, 0.00%), (TGT, 1,357, 0.08%, 0.00%), (SC26771B, nan, nan%, 0.00%), (SC26773B, nan, nan%, 0.00%), (SP26772B, nan, nan%, 0.00%), (SP26774B, nan, nan%, 0.00%), (SP26775T, nan, nan%, 0.00%), (XP26775T, nan, nan%, 0.00%)</t>
  </si>
  <si>
    <t>(AVGO, 14,580, 3.17%, 0.00%), (META, 5,179, 2.86%, 0.00%), (BRK/B, 6,026, 2.17%, 0.00%), (GOOGL, 13,882, 2.10%, 0.00%), (LIN, 5,176, 1.83%, 0.00%), (CSCO, 36,587, 1.83%, 0.00%), (TSLA, 6,931, 1.77%, 0.00%), (GOOG, 11,307, 1.72%, 0.00%), (JPM, 7,630, 1.67%, 0.00%), (AMT, 10,501, 1.60%, 0.00%), (XOM, 18,469, 1.51%, 0.00%), (V, 5,681, 1.46%, 0.00%), (MA, 2,695, 1.17%, 0.00%), (LLY, 2,175, 1.17%, 0.00%), (CB, 5,796, 1.16%, 0.00%), (GE, 5,404, 1.08%, 0.00%), (WM, 6,492, 1.07%, 0.00%), (ORCL, 5,436, 0.93%, 0.00%), (NEE, 16,676, 0.92%, 0.00%), (NFLX, 1,016, 0.91%, 0.00%), (UNH, 4,045, 0.89%, 0.00%), (JNJ, 6,646, 0.86%, 0.00%), (PLTR, 6,933, 0.81%, 0.00%), (CVX, 7,023, 0.81%, 0.00%), (PG, 6,993, 0.80%, 0.00%), (COST, 1,129, 0.78%, 0.00%), (WMT, 11,063, 0.78%, 0.00%), (RTX, 6,646, 0.78%, 0.00%), (CAT, 2,411, 0.76%, 0.00%), (MCD, 3,304, 0.76%, 0.00%), (HD, 2,500, 0.75%, 0.00%), (ABBV, 4,878, 0.75%, 0.00%), (ABT, 7,624, 0.74%, 0.00%), (BAC, 18,091, 0.66%, 0.00%), (BKNG, 153, 0.64%, 0.00%), (BA, 3,733, 0.64%, 0.00%), (KO, 12,644, 0.64%, 0.00%), (NKE, 10,802, 0.62%, 0.00%), (PM, 5,071, 0.62%, 0.00%), (AMD, 5,066, 0.62%, 0.00%), (SO, 8,885, 0.61%, 0.00%), (CRM, 3,234, 0.58%, 0.00%), (UBER, 8,039, 0.57%, 0.00%), (DUK, 6,264, 0.57%, 0.00%), (GS, 1,032, 0.57%, 0.00%), (IBM, 3,127, 0.56%, 0.00%), (ISRG, 1,566, 0.55%, 0.00%), (WFC, 9,023, 0.54%, 0.00%), (MET, 8,992, 0.54%, 0.00%), (HON, 3,247, 0.53%, 0.00%), (ETN, 1,973, 0.51%, 0.00%), (PEP, 4,474, 0.48%, 0.00%), (INTU, 948, 0.46%, 0.00%), (DE, 1,270, 0.45%, 0.00%), (T, 21,531, 0.45%, 0.00%), (MS, 4,078, 0.45%, 0.00%), (NOW, 697, 0.44%, 0.00%), (MRK, 6,983, 0.44%, 0.00%), (TXN, 2,848, 0.43%, 0.00%), (AXP, 1,829, 0.43%, 0.00%), (SPGI, 1,044, 0.42%, 0.00%), (VZ, 12,632, 0.41%, 0.00%), (QCOM, 3,468, 0.40%, 0.00%), (BLK, 479, 0.40%, 0.00%), (ACN, 2,113, 0.40%, 0.00%), (ADBE, 1,489, 0.39%, 0.00%), (COP, 5,436, 0.39%, 0.00%), (MDT, 5,637, 0.38%, 0.00%), (UNP, 2,315, 0.38%, 0.00%), (TMO, 1,056, 0.38%, 0.00%), (DIS, 4,302, 0.37%, 0.00%), (C, 5,126, 0.36%, 0.00%), (LMT, 1,053, 0.35%, 0.00%), (SCHW, 4,914, 0.35%, 0.00%), (SBUX, 5,226, 0.33%, 0.00%), (AMGN, 1,484, 0.32%, 0.00%), (MMM, 2,719, 0.31%, 0.00%), (AMAT, 2,574, 0.31%, 0.00%), (CVS, 5,531, 0.29%, 0.00%), (GILD, 3,440, 0.29%, 0.00%), (PFE, 15,643, 0.29%, 0.00%), (TJX, 2,839, 0.28%, 0.00%), (EMR, 2,847, 0.28%, 0.00%), (LOW, 1,428, 0.27%, 0.00%), (MO, 5,527, 0.27%, 0.00%), (DHR, 1,774, 0.27%, 0.00%), (INTC, 13,464, 0.24%, 0.00%), (ELV, 1,019, 0.23%, 0.00%), (CMCSA, 9,069, 0.22%, 0.00%), (MDLZ, 4,361, 0.20%, 0.00%), (BMY, 5,599, 0.19%, 0.00%), (UPS, 2,792, 0.18%, 0.00%), (PYPL, 3,296, 0.17%, 0.00%), (USB, 4,228, 0.15%, 0.00%), (CL, 2,426, 0.15%, 0.00%), (FDX, 858, 0.15%, 0.00%), (TGT, 1,174, 0.08%, 0.00%), (SC23471B, nan, nan%, 0.00%), (SC23473B, nan, nan%, 0.00%), (SP23472B, nan, nan%, 0.00%), (SP23475B, nan, nan%, 0.00%), (SP23474B, nan, nan%, 0.00%), (XP23475B, nan, nan%, 0.00%)</t>
  </si>
  <si>
    <t>(AVGO, 10,868, 3.17%, 0.00%), (META, 3,861, 2.86%, 0.00%), (BRK/B, 4,492, 2.17%, 0.00%), (GOOGL, 10,348, 2.10%, 0.00%), (LIN, 3,859, 1.83%, 0.00%), (CSCO, 27,272, 1.83%, 0.00%), (TSLA, 5,166, 1.76%, 0.00%), (GOOG, 8,428, 1.72%, 0.00%), (JPM, 5,688, 1.66%, 0.00%), (AMT, 7,828, 1.60%, 0.00%), (XOM, 13,767, 1.50%, 0.00%), (V, 4,235, 1.46%, 0.00%), (MA, 2,009, 1.17%, 0.00%), (LLY, 1,621, 1.16%, 0.00%), (CB, 4,320, 1.16%, 0.00%), (GE, 4,028, 1.08%, 0.00%), (WM, 4,839, 1.07%, 0.00%), (ORCL, 4,052, 0.93%, 0.00%), (NEE, 12,431, 0.91%, 0.00%), (NFLX, 757, 0.91%, 0.00%), (UNH, 3,015, 0.89%, 0.00%), (JNJ, 4,954, 0.86%, 0.00%), (PLTR, 5,168, 0.81%, 0.00%), (CVX, 5,235, 0.81%, 0.00%), (PG, 5,213, 0.80%, 0.00%), (COST, 842, 0.78%, 0.00%), (WMT, 8,247, 0.78%, 0.00%), (RTX, 4,954, 0.77%, 0.00%), (CAT, 1,797, 0.76%, 0.00%), (MCD, 2,463, 0.76%, 0.00%), (HD, 1,864, 0.75%, 0.00%), (ABBV, 3,636, 0.74%, 0.00%), (ABT, 5,683, 0.73%, 0.00%), (BAC, 13,486, 0.66%, 0.00%), (BKNG, 114, 0.64%, 0.00%), (BA, 2,782, 0.64%, 0.00%), (KO, 9,425, 0.64%, 0.00%), (NKE, 8,052, 0.62%, 0.00%), (PM, 3,780, 0.62%, 0.00%), (AMD, 3,776, 0.62%, 0.00%), (SO, 6,623, 0.61%, 0.00%), (CRM, 2,410, 0.58%, 0.00%), (UBER, 5,993, 0.57%, 0.00%), (DUK, 4,670, 0.57%, 0.00%), (GS, 769, 0.56%, 0.00%), (IBM, 2,331, 0.55%, 0.00%), (ISRG, 1,167, 0.54%, 0.00%), (WFC, 6,726, 0.53%, 0.00%), (MET, 6,703, 0.53%, 0.00%), (HON, 2,420, 0.53%, 0.00%), (ETN, 1,471, 0.51%, 0.00%), (PEP, 3,335, 0.48%, 0.00%), (INTU, 707, 0.46%, 0.00%), (DE, 947, 0.45%, 0.00%), (T, 16,049, 0.45%, 0.00%), (MS, 3,040, 0.44%, 0.00%), (NOW, 519, 0.44%, 0.00%), (MRK, 5,205, 0.43%, 0.00%), (TXN, 2,123, 0.43%, 0.00%), (AXP, 1,364, 0.43%, 0.00%), (SPGI, 778, 0.42%, 0.00%), (VZ, 9,416, 0.41%, 0.00%), (QCOM, 2,585, 0.40%, 0.00%), (BLK, 357, 0.40%, 0.00%), (ACN, 1,575, 0.40%, 0.00%), (ADBE, 1,110, 0.39%, 0.00%), (COP, 4,052, 0.39%, 0.00%), (MDT, 4,202, 0.38%, 0.00%), (UNP, 1,725, 0.38%, 0.00%), (TMO, 787, 0.38%, 0.00%), (DIS, 3,207, 0.37%, 0.00%), (C, 3,821, 0.36%, 0.00%), (LMT, 785, 0.35%, 0.00%), (SCHW, 3,663, 0.35%, 0.00%), (SBUX, 3,896, 0.33%, 0.00%), (AMGN, 1,106, 0.31%, 0.00%), (MMM, 2,027, 0.31%, 0.00%), (AMAT, 1,918, 0.31%, 0.00%), (CVS, 4,123, 0.29%, 0.00%), (GILD, 2,564, 0.29%, 0.00%), (PFE, 11,661, 0.29%, 0.00%), (TJX, 2,116, 0.28%, 0.00%), (EMR, 2,122, 0.28%, 0.00%), (LOW, 1,064, 0.27%, 0.00%), (MO, 4,120, 0.27%, 0.00%), (DHR, 1,323, 0.27%, 0.00%), (INTC, 10,063, 0.24%, 0.00%), (ELV, 760, 0.23%, 0.00%), (CMCSA, 6,760, 0.22%, 0.00%), (MDLZ, 3,251, 0.20%, 0.00%), (BMY, 4,173, 0.19%, 0.00%), (UPS, 2,081, 0.18%, 0.00%), (PYPL, 2,457, 0.17%, 0.00%), (USB, 3,152, 0.15%, 0.00%), (CL, 1,808, 0.15%, 0.00%), (FDX, 640, 0.15%, 0.00%), (TGT, 875, 0.08%, 0.00%), (SC22171B, nan, nan%, 0.00%), (SC22173B, nan, nan%, 0.00%), (SP22172B, nan, nan%, 0.00%), (SP22175B, nan, nan%, 0.00%), (SP22174B, nan, nan%, 0.00%), (XP22175B, nan, nan%, 0.00%)</t>
  </si>
  <si>
    <t>(META, 1,460, 2.72%, 0.00%), (BRK/B, 1,699, 2.07%, 0.00%), (GOOGL, 3,914, 2.00%, 0.00%), (CSCO, 10,316, 1.74%, 0.00%), (LIN, 1,459, 1.74%, 0.00%), (TSLA, 1,954, 1.69%, 0.00%), (GOOG, 3,188, 1.64%, 0.00%), (JPM, 2,151, 1.59%, 0.00%), (AMT, 2,961, 1.52%, 0.00%), (XOM, 5,207, 1.44%, 0.00%), (V, 1,602, 1.39%, 0.00%), (MA, 760, 1.11%, 0.00%), (LLY, 613, 1.11%, 0.00%), (CB, 1,634, 1.10%, 0.00%), (GE, 1,524, 1.03%, 0.00%), (WM, 1,830, 1.02%, 0.00%), (ORCL, 1,533, 0.89%, 0.00%), (NEE, 4,702, 0.87%, 0.00%), (NFLX, 286, 0.86%, 0.00%), (UNH, 1,141, 0.85%, 0.00%), (JNJ, 1,874, 0.82%, 0.00%), (PLTR, 1,955, 0.77%, 0.00%), (CVX, 1,980, 0.77%, 0.00%), (PG, 1,972, 0.76%, 0.00%), (WMT, 3,119, 0.74%, 0.00%), (COST, 318, 0.74%, 0.00%), (RTX, 1,874, 0.74%, 0.00%), (CAT, 680, 0.73%, 0.00%), (MCD, 932, 0.72%, 0.00%), (HD, 705, 0.71%, 0.00%), (ABBV, 1,375, 0.71%, 0.00%), (ABT, 2,150, 0.70%, 0.00%), (BAC, 5,101, 0.63%, 0.00%), (BA, 1,052, 0.61%, 0.00%), (BKNG, 43, 0.61%, 0.00%), (KO, 3,565, 0.61%, 0.00%), (NKE, 3,046, 0.59%, 0.00%), (PM, 1,430, 0.59%, 0.00%), (AMD, 1,428, 0.59%, 0.00%), (SO, 2,505, 0.58%, 0.00%), (CRM, 912, 0.55%, 0.00%), (UBER, 2,267, 0.54%, 0.00%), (DUK, 1,766, 0.54%, 0.00%), (GS, 291, 0.54%, 0.00%), (IBM, 882, 0.53%, 0.00%), (ISRG, 441, 0.52%, 0.00%), (WFC, 2,544, 0.51%, 0.00%), (MET, 2,535, 0.51%, 0.00%), (HON, 915, 0.50%, 0.00%), (ETN, 556, 0.48%, 0.00%), (PEP, 1,262, 0.46%, 0.00%), (INTU, 267, 0.44%, 0.00%), (DE, 358, 0.43%, 0.00%), (T, 6,071, 0.43%, 0.00%), (MS, 1,150, 0.42%, 0.00%), (NOW, 196, 0.42%, 0.00%), (MRK, 1,969, 0.41%, 0.00%), (TXN, 803, 0.41%, 0.00%), (AXP, 516, 0.41%, 0.00%), (SPGI, 294, 0.40%, 0.00%), (VZ, 3,562, 0.39%, 0.00%), (QCOM, 978, 0.38%, 0.00%), (BLK, 135, 0.38%, 0.00%), (ACN, 596, 0.38%, 0.00%), (ADBE, 420, 0.37%, 0.00%), (COP, 1,533, 0.37%, 0.00%), (MDT, 1,589, 0.36%, 0.00%), (UNP, 653, 0.36%, 0.00%), (TMO, 298, 0.36%, 0.00%), (DIS, 1,213, 0.35%, 0.00%), (C, 1,445, 0.34%, 0.00%), (SCHW, 1,386, 0.33%, 0.00%), (LMT, 297, 0.33%, 0.00%), (SBUX, 1,474, 0.32%, 0.00%), (AMGN, 418, 0.30%, 0.00%), (MMM, 767, 0.30%, 0.00%), (AMAT, 726, 0.29%, 0.00%), (CVS, 1,560, 0.28%, 0.00%), (GILD, 970, 0.28%, 0.00%), (PFE, 4,411, 0.27%, 0.00%), (TJX, 800, 0.27%, 0.00%), (EMR, 803, 0.26%, 0.00%), (LOW, 403, 0.26%, 0.00%), (MO, 1,558, 0.26%, 0.00%), (DHR, 500, 0.26%, 0.00%), (INTC, 3,796, 0.23%, 0.00%), (ELV, 287, 0.22%, 0.00%), (CMCSA, 2,557, 0.21%, 0.00%), (MDLZ, 1,230, 0.19%, 0.00%), (BMY, 1,579, 0.18%, 0.00%), (UPS, 787, 0.17%, 0.00%), (PYPL, 929, 0.16%, 0.00%), (USB, 1,192, 0.14%, 0.00%), (CL, 684, 0.14%, 0.00%), (FDX, 242, 0.14%, 0.00%), (TGT, 331, 0.08%, 0.00%), (SC28181B, nan, nan%, 0.00%), (SC28183B, nan, nan%, 0.00%), (SP28182B, nan, nan%, 0.00%), (SP28185B, nan, nan%, 0.00%), (SP28184B, nan, nan%, 0.00%), (XP28185B, nan, nan%, 0.00%)</t>
  </si>
  <si>
    <t>(AVGO, 4,469, 3.05%, 0.00%), (META, 1,588, 2.75%, 0.00%), (BRK/B, 1,847, 2.09%, 0.00%), (GOOGL, 4,255, 2.02%, 0.00%), (CSCO, 11,215, 1.76%, 0.00%), (LIN, 1,587, 1.76%, 0.00%), (TSLA, 2,124, 1.70%, 0.00%), (GOOG, 3,466, 1.65%, 0.00%), (JPM, 2,339, 1.60%, 0.00%), (AMT, 3,219, 1.54%, 0.00%), (XOM, 5,661, 1.45%, 0.00%), (V, 1,741, 1.41%, 0.00%), (LLY, 667, 1.13%, 0.00%), (MA, 826, 1.13%, 0.00%), (CB, 1,776, 1.11%, 0.00%), (GE, 1,656, 1.04%, 0.00%), (WM, 1,990, 1.03%, 0.00%), (ORCL, 1,666, 0.90%, 0.00%), (NEE, 5,112, 0.88%, 0.00%), (NFLX, 311, 0.87%, 0.00%), (UNH, 1,240, 0.86%, 0.00%), (JNJ, 2,037, 0.83%, 0.00%), (PLTR, 2,125, 0.78%, 0.00%), (CVX, 2,153, 0.78%, 0.00%), (PG, 2,143, 0.77%, 0.00%), (WMT, 3,391, 0.75%, 0.00%), (COST, 346, 0.75%, 0.00%), (RTX, 2,037, 0.75%, 0.00%), (CAT, 739, 0.73%, 0.00%), (MCD, 1,013, 0.73%, 0.00%), (HD, 766, 0.72%, 0.00%), (ABBV, 1,495, 0.72%, 0.00%), (ABT, 2,337, 0.71%, 0.00%), (BAC, 5,545, 0.64%, 0.00%), (BKNG, 47, 0.62%, 0.00%), (BA, 1,144, 0.61%, 0.00%), (KO, 3,876, 0.61%, 0.00%), (NKE, 3,311, 0.60%, 0.00%), (PM, 1,554, 0.60%, 0.00%), (AMD, 1,553, 0.59%, 0.00%), (SO, 2,724, 0.58%, 0.00%), (CRM, 991, 0.56%, 0.00%), (UBER, 2,464, 0.55%, 0.00%), (DUK, 1,920, 0.55%, 0.00%), (GS, 316, 0.54%, 0.00%), (IBM, 959, 0.54%, 0.00%), (ISRG, 480, 0.52%, 0.00%), (WFC, 2,766, 0.52%, 0.00%), (MET, 2,756, 0.51%, 0.00%), (HON, 995, 0.51%, 0.00%), (ETN, 605, 0.49%, 0.00%), (PEP, 1,372, 0.46%, 0.00%), (INTU, 291, 0.44%, 0.00%), (DE, 389, 0.44%, 0.00%), (T, 6,600, 0.43%, 0.00%), (MS, 1,250, 0.43%, 0.00%), (NOW, 214, 0.43%, 0.00%), (MRK, 2,140, 0.42%, 0.00%), (AXP, 561, 0.41%, 0.00%), (TXN, 873, 0.41%, 0.00%), (SPGI, 320, 0.41%, 0.00%), (VZ, 3,872, 0.39%, 0.00%), (QCOM, 1,063, 0.39%, 0.00%), (BLK, 147, 0.39%, 0.00%), (ACN, 648, 0.38%, 0.00%), (ADBE, 456, 0.37%, 0.00%), (COP, 1,666, 0.37%, 0.00%), (MDT, 1,728, 0.37%, 0.00%), (TMO, 324, 0.36%, 0.00%), (UNP, 709, 0.36%, 0.00%), (DIS, 1,319, 0.36%, 0.00%), (C, 1,571, 0.35%, 0.00%), (LMT, 323, 0.34%, 0.00%), (SCHW, 1,506, 0.34%, 0.00%), (SBUX, 1,602, 0.32%, 0.00%), (AMGN, 455, 0.30%, 0.00%), (MMM, 833, 0.30%, 0.00%), (AMAT, 789, 0.30%, 0.00%), (CVS, 1,696, 0.28%, 0.00%), (GILD, 1,054, 0.28%, 0.00%), (PFE, 4,795, 0.28%, 0.00%), (TJX, 870, 0.27%, 0.00%), (EMR, 873, 0.27%, 0.00%), (LOW, 438, 0.26%, 0.00%), (MO, 1,694, 0.26%, 0.00%), (DHR, 544, 0.26%, 0.00%), (INTC, 4,127, 0.23%, 0.00%), (ELV, 312, 0.22%, 0.00%), (CMCSA, 2,780, 0.22%, 0.00%), (MDLZ, 1,337, 0.19%, 0.00%), (BMY, 1,716, 0.19%, 0.00%), (UPS, 856, 0.17%, 0.00%), (PYPL, 1,010, 0.16%, 0.00%), (USB, 1,296, 0.14%, 0.00%), (CL, 744, 0.14%, 0.00%), (FDX, 263, 0.14%, 0.00%), (TGT, 360, 0.08%, 0.00%), (SC13481B, nan, nan%, 0.00%), (SC13483B, nan, nan%, 0.00%), (SP13482B, nan, nan%, 0.00%), (SP13485B, nan, nan%, 0.00%), (SP13484B, nan, nan%, 0.00%), (XP13485B, nan, nan%, 0.00%)</t>
  </si>
  <si>
    <t>(AVGO, 8,403, 3.16%, 0.00%), (META, 2,985, 2.85%, 0.00%), (BRK/B, 3,473, 2.16%, 0.00%), (GOOGL, 8,001, 2.09%, 0.00%), (CSCO, 21,086, 1.83%, 0.00%), (LIN, 2,983, 1.83%, 0.00%), (TSLA, 3,994, 1.77%, 0.00%), (GOOG, 6,517, 1.71%, 0.00%), (JPM, 4,397, 1.66%, 0.00%), (AMT, 6,052, 1.59%, 0.00%), (XOM, 10,644, 1.50%, 0.00%), (V, 3,274, 1.46%, 0.00%), (MA, 1,553, 1.17%, 0.00%), (LLY, 1,254, 1.16%, 0.00%), (CB, 3,340, 1.15%, 0.00%), (GE, 3,114, 1.08%, 0.00%), (WM, 3,741, 1.07%, 0.00%), (ORCL, 3,133, 0.93%, 0.00%), (NEE, 9,611, 0.91%, 0.00%), (NFLX, 585, 0.91%, 0.00%), (UNH, 2,331, 0.89%, 0.00%), (JNJ, 3,830, 0.86%, 0.00%), (PLTR, 3,996, 0.81%, 0.00%), (CVX, 4,048, 0.81%, 0.00%), (PG, 4,030, 0.80%, 0.00%), (COST, 651, 0.78%, 0.00%), (WMT, 6,376, 0.78%, 0.00%), (RTX, 3,830, 0.77%, 0.00%), (CAT, 1,389, 0.76%, 0.00%), (MCD, 1,904, 0.76%, 0.00%), (HD, 1,441, 0.75%, 0.00%), (ABBV, 2,811, 0.74%, 0.00%), (ABT, 4,394, 0.73%, 0.00%), (BAC, 10,427, 0.66%, 0.00%), (BA, 2,151, 0.64%, 0.00%), (BKNG, 88, 0.64%, 0.00%), (KO, 7,287, 0.64%, 0.00%), (NKE, 6,226, 0.62%, 0.00%), (PM, 2,922, 0.62%, 0.00%), (AMD, 2,920, 0.62%, 0.00%), (SO, 5,121, 0.61%, 0.00%), (CRM, 1,864, 0.58%, 0.00%), (UBER, 4,633, 0.57%, 0.00%), (DUK, 3,610, 0.57%, 0.00%), (GS, 595, 0.56%, 0.00%), (IBM, 1,802, 0.55%, 0.00%), (ISRG, 902, 0.54%, 0.00%), (WFC, 5,201, 0.53%, 0.00%), (MET, 5,182, 0.53%, 0.00%), (HON, 1,871, 0.53%, 0.00%), (ETN, 1,137, 0.51%, 0.00%), (PEP, 2,579, 0.48%, 0.00%), (INTU, 546, 0.46%, 0.00%), (DE, 732, 0.45%, 0.00%), (T, 12,409, 0.45%, 0.00%), (MS, 2,350, 0.44%, 0.00%), (NOW, 402, 0.44%, 0.00%), (MRK, 4,024, 0.43%, 0.00%), (TXN, 1,641, 0.43%, 0.00%), (AXP, 1,054, 0.43%, 0.00%), (SPGI, 602, 0.42%, 0.00%), (VZ, 7,280, 0.41%, 0.00%), (QCOM, 1,999, 0.40%, 0.00%), (BLK, 276, 0.40%, 0.00%), (ACN, 1,218, 0.39%, 0.00%), (ADBE, 858, 0.39%, 0.00%), (COP, 3,133, 0.39%, 0.00%), (MDT, 3,249, 0.38%, 0.00%), (TMO, 609, 0.38%, 0.00%), (UNP, 1,334, 0.38%, 0.00%), (DIS, 2,480, 0.37%, 0.00%), (C, 2,954, 0.36%, 0.00%), (LMT, 607, 0.35%, 0.00%), (SCHW, 2,832, 0.35%, 0.00%), (SBUX, 3,012, 0.33%, 0.00%), (AMGN, 855, 0.31%, 0.00%), (MMM, 1,567, 0.31%, 0.00%), (AMAT, 1,483, 0.31%, 0.00%), (CVS, 3,188, 0.29%, 0.00%), (GILD, 1,983, 0.29%, 0.00%), (PFE, 9,016, 0.29%, 0.00%), (TJX, 1,636, 0.28%, 0.00%), (EMR, 1,641, 0.28%, 0.00%), (LOW, 823, 0.27%, 0.00%), (MO, 3,186, 0.27%, 0.00%), (DHR, 1,023, 0.27%, 0.00%), (INTC, 7,760, 0.24%, 0.00%), (ELV, 588, 0.23%, 0.00%), (CMCSA, 5,227, 0.22%, 0.00%), (MDLZ, 2,513, 0.20%, 0.00%), (BMY, 3,227, 0.19%, 0.00%), (UPS, 1,609, 0.18%, 0.00%), (PYPL, 1,899, 0.17%, 0.00%), (USB, 2,437, 0.15%, 0.00%), (CL, 1,398, 0.15%, 0.00%), (FDX, 495, 0.15%, 0.00%), (TGT, 677, 0.08%, 0.00%), (SC26771B, nan, nan%, 0.00%), (SC26773B, nan, nan%, 0.00%), (SP26772B, nan, nan%, 0.00%), (SP26775B, nan, nan%, 0.00%), (SP26774B, nan, nan%, 0.00%), (XP26775B, nan, nan%, 0.00%)</t>
  </si>
  <si>
    <t>EBAY, BK, META, MLI, GOOGL, MSFT, JPM, EA, BLK, BKNG, RJF</t>
  </si>
  <si>
    <t>(PHM, 8,199, 1.95%, 0.00%), (EWBC, 9,989, 1.92%, 0.01%), (AXP, 3,259, 1.90%, 0.00%), (HIG, 7,737, 1.86%, 0.00%), (V, 2,889, 1.83%, 0.00%), (TRV, 3,676, 1.81%, 0.00%), (NVDA, 5,399, 1.78%, 0.00%), (ROST, 6,437, 1.75%, 0.00%), (SNA, 2,881, 1.72%, 0.01%), (ADP, 3,087, 1.69%, 0.00%), (PCAR, 9,138, 1.68%, 0.00%), (SYF, 12,067, 1.66%, 0.00%), (AMAT, 5,536, 1.65%, 0.00%), (LEN, 6,821, 1.65%, 0.00%), (KLAC, 1,022, 1.65%, 0.00%), (UNM, 12,999, 1.64%, 0.01%), (CB, 3,260, 1.61%, 0.00%), (CTSH, 11,678, 1.53%, 0.00%), (CRM, 3,310, 1.50%, 0.00%), (PAYC, 3,535, 1.46%, 0.01%), (WSM, 4,086, 1.42%, 0.00%), (BKR, 17,186, 1.39%, 0.00%), (DHI, 4,533, 1.38%, 0.00%), (QCOM, 4,661, 1.35%, 0.00%), (ACN, 2,753, 1.28%, 0.00%), (AAPL, 3,009, 1.26%, 0.00%), (ELV, 2,213, 1.24%, 0.00%), (AFL, 6,383, 1.24%, 0.00%), (MPWR, 738, 1.16%, 0.00%), (LRCX, 5,953, 1.12%, 0.00%), (ODFL, 3,959, 1.10%, 0.00%), (CSCO, 8,646, 1.07%, 0.00%), (GE, 2,086, 1.03%, 0.00%), (STT, 4,792, 1.00%, 0.00%), (PNC, 2,566, 0.96%, 0.00%), (MTB, 2,550, 0.93%, 0.00%), (AMP, 933, 0.88%, 0.00%), (CF, 5,477, 0.86%, 0.00%), (COST, 479, 0.82%, 0.00%), (ABT, 3,450, 0.82%, 0.00%), (XOM, 4,012, 0.82%, 0.00%), (EOG, 3,609, 0.80%, 0.00%), (CSL, 1,074, 0.76%, 0.00%), (EG, 1,214, 0.76%, 0.00%), (GEV, 489, 0.55%, 0.00%), (NTRS, 2,224, 0.53%, 0.00%), (MA, 464, 0.50%, 0.00%), (CRBG, 7,642, 0.48%, 0.00%), (ACM, 2,104, 0.48%, 0.00%), (JNJ, 1,489, 0.48%, 0.00%), (LNC, 6,083, 0.47%, 0.00%), (WTFC, 1,792, 0.45%, 0.00%), (JXN, 2,511, 0.45%, 0.00%), (MTG, 8,740, 0.44%, 0.00%), (CINF, 1,547, 0.43%, 0.00%), (DOV, 1,301, 0.43%, 0.00%), (ADM, 3,704, 0.42%, 0.00%), (EQH, 4,312, 0.42%, 0.00%), (SLM, 7,142, 0.41%, 0.00%), (ALL, 1,102, 0.41%, 0.00%), (NUE, 1,487, 0.40%, 0.00%), (MCK, 321, 0.40%, 0.00%), (NKE, 2,711, 0.38%,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</si>
  <si>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3,876, 3.33%, 0.00%), (META, 1,377, 2.96%, 0.00%), (BRK/B, 1,602, 2.28%, 0.00%), (GOOGL, 3,691, 2.19%, 0.00%), (LIN, 1,376, 1.91%, 0.00%), (CSCO, 9,727, 1.91%, 0.00%), (TSLA, 1,843, 1.83%, 0.00%), (GOOG, 3,006, 1.79%, 0.00%), (JPM, 2,029, 1.74%, 0.00%), (AMT, 2,792, 1.63%, 0.00%), (XOM, 4,910, 1.59%, 0.00%), (V, 1,510, 1.52%, 0.00%), (MA, 716, 1.22%, 0.00%), (CB, 1,541, 1.21%, 0.00%), (LLY, 578, 1.21%, 0.00%), (GE, 1,437, 1.12%, 0.00%), (WM, 1,726, 1.12%, 0.00%), (ORCL, 1,445, 0.98%, 0.00%), (NFLX, 270, 0.95%, 0.00%), (NEE, 4,434, 0.94%, 0.00%), (UNH, 1,076, 0.94%, 0.00%), (JNJ, 1,767, 0.90%, 0.00%), (CVX, 1,867, 0.85%, 0.00%), (PG, 1,859, 0.84%, 0.00%), (PLTR, 1,843, 0.82%, 0.00%), (COST, 300, 0.82%, 0.00%), (WMT, 2,941, 0.81%, 0.00%), (RTX, 1,767, 0.81%, 0.00%), (CAT, 641, 0.80%, 0.00%), (MCD, 879, 0.79%, 0.00%), (HD, 665, 0.78%, 0.00%), (ABBV, 1,297, 0.78%, 0.00%), (ABT, 2,027, 0.77%, 0.00%), (BAC, 4,810, 0.69%, 0.00%), (BA, 992, 0.67%, 0.00%), (KO, 3,362, 0.67%, 0.00%), (BKNG, 41, 0.66%, 0.00%), (AMD, 1,347, 0.65%, 0.00%), (NKE, 2,872, 0.64%, 0.00%), (PM, 1,348, 0.64%, 0.00%), (SO, 2,362, 0.63%, 0.00%), (CRM, 860, 0.62%, 0.00%), (DUK, 1,666, 0.59%, 0.00%), (GS, 274, 0.59%, 0.00%), (UBER, 2,137, 0.59%, 0.00%), (IBM, 832, 0.58%, 0.00%), (WFC, 2,399, 0.56%, 0.00%), (ISRG, 416, 0.56%, 0.00%), (MET, 2,391, 0.56%, 0.00%), (HON, 863, 0.55%, 0.00%), (ETN, 525, 0.53%, 0.00%), (PEP, 1,190, 0.51%, 0.00%), (INTU, 252, 0.48%, 0.00%), (DE, 338, 0.48%, 0.00%), (T, 5,724, 0.48%, 0.00%), (NOW, 185, 0.47%, 0.00%), (MS, 1,084, 0.46%, 0.00%), (AXP, 486, 0.45%, 0.00%), (MRK, 1,857, 0.45%, 0.00%), (TXN, 757, 0.45%, 0.00%), (SPGI, 278, 0.44%, 0.00%), (VZ, 3,358, 0.43%, 0.00%), (QCOM, 922, 0.42%, 0.00%), (ACN, 562, 0.42%, 0.00%), (BLK, 127, 0.41%, 0.00%), (ADBE, 396, 0.41%, 0.00%), (COP, 1,445, 0.41%, 0.00%), (MDT, 1,499, 0.40%, 0.00%), (TMO, 281, 0.39%, 0.00%), (UNP, 615, 0.39%, 0.00%), (DIS, 1,144, 0.39%, 0.00%), (C, 1,363, 0.38%, 0.00%), (SCHW, 1,307, 0.36%, 0.00%), (LMT, 280, 0.36%, 0.00%), (SBUX, 1,390, 0.35%, 0.00%), (AMGN, 395, 0.33%, 0.00%), (MMM, 723, 0.33%, 0.00%), (AMAT, 684, 0.32%, 0.00%), (CVS, 1,471, 0.30%, 0.00%), (PFE, 4,159, 0.30%, 0.00%), (GILD, 915, 0.30%, 0.00%), (TJX, 755, 0.30%, 0.00%), (EMR, 757, 0.29%, 0.00%), (LOW, 380, 0.28%, 0.00%), (MO, 1,470, 0.28%, 0.00%), (DHR, 472, 0.28%, 0.00%), (INTC, 3,580, 0.26%, 0.00%), (ELV, 271, 0.24%, 0.00%), (CMCSA, 2,411, 0.23%, 0.00%), (MDLZ, 1,159, 0.21%, 0.00%), (BMY, 1,489, 0.20%, 0.00%), (UPS, 742, 0.19%, 0.00%), (PYPL, 876, 0.18%, 0.00%), (USB, 1,124, 0.16%, 0.00%), (CL, 645, 0.16%, 0.00%), (FDX, 228, 0.15%, 0.00%), (TGT, 312, 0.09%, 0.00%), (SC31761B, nan, nan%, 0.00%), (SC31763B, nan, nan%, 0.00%), (SP31762B, nan, nan%, 0.00%), (SP31765B, nan, nan%, 0.00%), (SP31764B, nan, nan%, 0.00%), (XP31765B, nan, nan%, 0.00%)</t>
  </si>
  <si>
    <t>(AVGO, 2,555, 3.24%, 0.00%), (META, 908, 2.88%, 0.00%), (BRK/B, 1,056, 2.22%, 0.00%), (GOOGL, 2,433, 2.13%, 0.00%), (LIN, 907, 1.86%, 0.00%), (CSCO, 6,412, 1.86%, 0.00%), (TSLA, 1,215, 1.78%, 0.00%), (GOOG, 1,982, 1.75%, 0.00%), (JPM, 1,337, 1.69%, 0.00%), (AMT, 1,840, 1.59%, 0.00%), (XOM, 3,237, 1.54%, 0.00%), (V, 996, 1.48%, 0.00%), (MA, 472, 1.18%, 0.00%), (CB, 1,016, 1.18%, 0.00%), (LLY, 381, 1.18%, 0.00%), (WM, 1,138, 1.09%, 0.00%), (GE, 947, 1.09%, 0.00%), (ORCL, 953, 0.95%, 0.00%), (NFLX, 178, 0.93%, 0.00%), (NEE, 2,923, 0.92%, 0.00%), (UNH, 709, 0.91%, 0.00%), (JNJ, 1,165, 0.88%, 0.00%), (CVX, 1,231, 0.83%, 0.00%), (PG, 1,226, 0.82%, 0.00%), (PLTR, 1,215, 0.80%, 0.00%), (COST, 198, 0.80%, 0.00%), (WMT, 1,939, 0.79%, 0.00%), (RTX, 1,165, 0.79%, 0.00%), (CAT, 422, 0.78%, 0.00%), (MCD, 579, 0.76%, 0.00%), (HD, 438, 0.76%, 0.00%), (ABBV, 855, 0.76%, 0.00%), (ABT, 1,336, 0.75%, 0.00%), (BAC, 3,171, 0.68%, 0.00%), (BA, 654, 0.65%, 0.00%), (KO, 2,216, 0.65%, 0.00%), (BKNG, 27, 0.64%, 0.00%), (AMD, 888, 0.63%, 0.00%), (NKE, 1,893, 0.62%, 0.00%), (PM, 889, 0.62%, 0.00%), (SO, 1,557, 0.62%, 0.00%), (CRM, 567, 0.60%, 0.00%), (DUK, 1,098, 0.58%, 0.00%), (GS, 181, 0.58%, 0.00%), (UBER, 1,409, 0.57%, 0.00%), (IBM, 548, 0.57%, 0.00%), (WFC, 1,581, 0.55%, 0.00%), (ISRG, 274, 0.55%, 0.00%), (MET, 1,576, 0.54%, 0.00%), (HON, 569, 0.53%, 0.00%), (ETN, 346, 0.51%, 0.00%), (PEP, 784, 0.49%, 0.00%), (INTU, 166, 0.47%, 0.00%), (DE, 223, 0.47%, 0.00%), (T, 3,773, 0.46%, 0.00%), (NOW, 122, 0.46%, 0.00%), (MS, 715, 0.45%, 0.00%), (AXP, 321, 0.44%, 0.00%), (MRK, 1,224, 0.44%, 0.00%), (TXN, 499, 0.44%, 0.00%), (SPGI, 183, 0.43%, 0.00%), (VZ, 2,214, 0.42%, 0.00%), (QCOM, 608, 0.41%, 0.00%), (BLK, 84, 0.40%, 0.00%), (ACN, 370, 0.40%, 0.00%), (COP, 953, 0.39%, 0.00%), (ADBE, 261, 0.39%, 0.00%), (MDT, 988, 0.39%, 0.00%), (TMO, 185, 0.38%, 0.00%), (UNP, 406, 0.38%, 0.00%), (DIS, 754, 0.38%, 0.00%), (C, 898, 0.37%, 0.00%), (SCHW, 861, 0.35%, 0.00%), (LMT, 185, 0.35%, 0.00%), (SBUX, 916, 0.34%, 0.00%), (AMGN, 260, 0.32%, 0.00%), (MMM, 477, 0.32%, 0.00%), (AMAT, 451, 0.31%, 0.00%), (CVS, 969, 0.29%, 0.00%), (PFE, 2,742, 0.29%, 0.00%), (GILD, 603, 0.29%, 0.00%), (TJX, 498, 0.29%, 0.00%), (EMR, 499, 0.28%, 0.00%), (LOW, 250, 0.27%, 0.00%), (MO, 969, 0.27%, 0.00%), (DHR, 311, 0.27%, 0.00%), (INTC, 2,360, 0.25%, 0.00%), (ELV, 179, 0.24%, 0.00%), (CMCSA, 1,589, 0.23%, 0.00%), (MDLZ, 764, 0.20%, 0.00%), (BMY, 981, 0.20%, 0.00%), (UPS, 489, 0.18%, 0.00%), (PYPL, 578, 0.17%, 0.00%), (USB, 741, 0.15%, 0.00%), (CL, 425, 0.15%, 0.00%), (FDX, 150, 0.15%, 0.00%), (TGT, 206, 0.09%, 0.00%), (SC9061B, nan, nan%, 0.00%), (SC9063B, nan, nan%, 0.00%), (SP9062B, nan, nan%, 0.00%), (SP9065B, nan, nan%, 0.00%), (SP9064B, nan, nan%, 0.00%), (XP9065B, nan, nan%, 0.00%)</t>
  </si>
  <si>
    <t>(META, 868, 2.62%, 0.00%), (BRK/B, 1,009, 2.02%, 0.00%), (GOOGL, 2,326, 1.94%, 0.00%), (LIN, 867, 1.69%, 0.00%), (CSCO, 6,129, 1.69%, 0.00%), (TSLA, 1,161, 1.62%, 0.00%), (GOOG, 1,894, 1.59%, 0.00%), (JPM, 1,278, 1.54%, 0.00%), (AMT, 1,759, 1.44%, 0.00%), (XOM, 3,094, 1.40%, 0.00%), (V, 952, 1.34%, 0.00%), (MA, 451, 1.08%, 0.00%), (CB, 971, 1.07%, 0.00%), (LLY, 364, 1.07%, 0.00%), (GE, 905, 0.99%, 0.00%), (WM, 1,088, 0.99%, 0.00%), (ORCL, 911, 0.87%, 0.00%), (NFLX, 170, 0.84%, 0.00%), (NEE, 2,794, 0.83%, 0.00%), (UNH, 678, 0.83%, 0.00%), (JNJ, 1,113, 0.79%, 0.00%), (CVX, 1,177, 0.76%, 0.00%), (PG, 1,171, 0.74%, 0.00%), (PLTR, 1,161, 0.73%, 0.00%), (COST, 189, 0.73%, 0.00%), (WMT, 1,853, 0.72%, 0.00%), (RTX, 1,113, 0.72%, 0.00%), (CAT, 404, 0.71%, 0.00%), (MCD, 554, 0.70%, 0.00%), (HD, 419, 0.69%, 0.00%), (ABBV, 817, 0.69%, 0.00%), (ABT, 1,277, 0.68%, 0.00%), (BAC, 3,031, 0.61%, 0.00%), (BA, 625, 0.59%, 0.00%), (BKNG, 26, 0.59%, 0.00%), (KO, 2,118, 0.59%, 0.00%), (AMD, 849, 0.57%, 0.00%), (NKE, 1,810, 0.57%, 0.00%), (PM, 849, 0.56%, 0.00%), (SO, 1,489, 0.56%, 0.00%), (CRM, 542, 0.55%, 0.00%), (DUK, 1,049, 0.52%, 0.00%), (GS, 173, 0.52%, 0.00%), (UBER, 1,347, 0.52%, 0.00%), (IBM, 524, 0.52%, 0.00%), (WFC, 1,512, 0.50%, 0.00%), (ISRG, 262, 0.50%, 0.00%), (MET, 1,506, 0.49%, 0.00%), (HON, 544, 0.49%, 0.00%), (ETN, 331, 0.47%, 0.00%), (PEP, 750, 0.45%, 0.00%), (INTU, 159, 0.43%, 0.00%), (DE, 213, 0.42%, 0.00%), (T, 3,607, 0.42%, 0.00%), (NOW, 117, 0.42%, 0.00%), (MS, 683, 0.41%, 0.00%), (AXP, 306, 0.40%, 0.00%), (MRK, 1,170, 0.40%, 0.00%), (TXN, 477, 0.40%, 0.00%), (SPGI, 175, 0.39%, 0.00%), (VZ, 2,116, 0.38%, 0.00%), (QCOM, 581, 0.37%, 0.00%), (ACN, 354, 0.37%, 0.00%), (BLK, 80, 0.37%, 0.00%), (COP, 911, 0.36%, 0.00%), (ADBE, 249, 0.36%, 0.00%), (MDT, 944, 0.35%, 0.00%), (TMO, 177, 0.35%, 0.00%), (UNP, 388, 0.35%, 0.00%), (DIS, 721, 0.34%, 0.00%), (C, 859, 0.34%, 0.00%), (LMT, 176, 0.32%, 0.00%), (SCHW, 823, 0.32%, 0.00%), (SBUX, 876, 0.31%, 0.00%), (AMGN, 249, 0.29%, 0.00%), (MMM, 455, 0.29%, 0.00%), (AMAT, 431, 0.29%, 0.00%), (CVS, 927, 0.27%, 0.00%), (PFE, 2,621, 0.27%, 0.00%), (GILD, 576, 0.26%, 0.00%), (TJX, 476, 0.26%, 0.00%), (EMR, 477, 0.26%, 0.00%), (LOW, 239, 0.25%, 0.00%), (MO, 926, 0.25%, 0.00%), (DHR, 297, 0.25%, 0.00%), (INTC, 2,255, 0.23%, 0.00%), (ELV, 171, 0.21%, 0.00%), (CMCSA, 1,519, 0.21%, 0.00%), (MDLZ, 731, 0.18%, 0.00%), (BMY, 938, 0.18%, 0.00%), (UPS, 468, 0.17%, 0.00%), (PYPL, 552, 0.16%, 0.00%), (USB, 708, 0.14%, 0.00%), (CL, 406, 0.14%, 0.00%), (FDX, 144, 0.14%, 0.00%), (TGT, 197, 0.08%, 0.00%), (SC28781H, nan, nan%, 0.00%), (SC28783H, nan, nan%, 0.00%), (SP28782H, nan, nan%, 0.00%), (SP28785B, nan, nan%, 0.00%), (SP28784H, nan, nan%, 0.00%), (XP28785B, nan, nan%, 0.00%)</t>
  </si>
  <si>
    <t>(AVGO, 1,619, 3.15%, 0.00%), (META, 575, 2.79%, 0.00%), (BRK/B, 669, 2.15%, 0.00%), (GOOGL, 1,541, 2.07%, 0.00%), (LIN, 575, 1.81%, 0.00%), (CSCO, 4,062, 1.80%, 0.00%), (TSLA, 770, 1.73%, 0.00%), (GOOG, 1,255, 1.69%, 0.00%), (JPM, 847, 1.64%, 0.00%), (AMT, 1,166, 1.54%, 0.00%), (XOM, 2,051, 1.50%, 0.00%), (V, 631, 1.44%, 0.00%), (MA, 299, 1.15%, 0.00%), (CB, 643, 1.14%, 0.00%), (LLY, 241, 1.13%, 0.00%), (GE, 600, 1.06%, 0.00%), (WM, 721, 1.06%, 0.00%), (ORCL, 604, 0.92%, 0.00%), (NFLX, 113, 0.90%, 0.00%), (NEE, 1,852, 0.89%, 0.00%), (UNH, 449, 0.89%, 0.00%), (JNJ, 738, 0.85%, 0.00%), (CVX, 780, 0.81%, 0.00%), (PG, 776, 0.79%, 0.00%), (PLTR, 770, 0.78%, 0.00%), (COST, 125, 0.77%, 0.00%), (WMT, 1,228, 0.77%, 0.00%), (RTX, 738, 0.76%, 0.00%), (CAT, 268, 0.75%, 0.00%), (MCD, 367, 0.74%, 0.00%), (HD, 278, 0.74%, 0.00%), (ABBV, 542, 0.73%, 0.00%), (ABT, 847, 0.72%, 0.00%), (BAC, 2,009, 0.66%, 0.00%), (BA, 414, 0.63%, 0.00%), (KO, 1,404, 0.63%, 0.00%), (BKNG, 17, 0.62%, 0.00%), (AMD, 562, 0.61%, 0.00%), (NKE, 1,199, 0.61%, 0.00%), (PM, 563, 0.60%, 0.00%), (SO, 987, 0.60%, 0.00%), (CRM, 359, 0.58%, 0.00%), (GS, 115, 0.56%, 0.00%), (DUK, 696, 0.56%, 0.00%), (UBER, 893, 0.55%, 0.00%), (IBM, 347, 0.55%, 0.00%), (WFC, 1,002, 0.53%, 0.00%), (ISRG, 174, 0.53%, 0.00%), (MET, 998, 0.53%, 0.00%), (HON, 360, 0.52%, 0.00%), (ETN, 219, 0.50%, 0.00%), (PEP, 497, 0.48%, 0.00%), (INTU, 105, 0.45%, 0.00%), (DE, 141, 0.45%, 0.00%), (T, 2,391, 0.45%, 0.00%), (NOW, 77, 0.44%, 0.00%), (MS, 453, 0.44%, 0.00%), (AXP, 203, 0.43%, 0.00%), (MRK, 775, 0.42%, 0.00%), (TXN, 316, 0.42%, 0.00%), (SPGI, 116, 0.41%, 0.00%), (VZ, 1,403, 0.40%, 0.00%), (QCOM, 385, 0.40%, 0.00%), (ACN, 235, 0.39%, 0.00%), (BLK, 53, 0.39%, 0.00%), (COP, 604, 0.38%, 0.00%), (ADBE, 165, 0.38%, 0.00%), (MDT, 626, 0.37%, 0.00%), (TMO, 117, 0.37%, 0.00%), (UNP, 257, 0.37%, 0.00%), (DIS, 478, 0.37%, 0.00%), (C, 569, 0.36%, 0.00%), (LMT, 117, 0.35%, 0.00%), (SCHW, 546, 0.34%, 0.00%), (SBUX, 580, 0.33%, 0.00%), (AMGN, 165, 0.31%, 0.00%), (MMM, 302, 0.31%, 0.00%), (AMAT, 286, 0.30%, 0.00%), (CVS, 614, 0.29%, 0.00%), (PFE, 1,737, 0.28%, 0.00%), (GILD, 382, 0.28%, 0.00%), (TJX, 315, 0.28%, 0.00%), (EMR, 316, 0.27%, 0.00%), (LOW, 159, 0.27%, 0.00%), (MO, 614, 0.27%, 0.00%), (DHR, 197, 0.26%, 0.00%), (INTC, 1,495, 0.24%, 0.00%), (ELV, 113, 0.23%, 0.00%), (CMCSA, 1,007, 0.22%, 0.00%), (MDLZ, 484, 0.19%, 0.00%), (BMY, 622, 0.19%, 0.00%), (UPS, 310, 0.18%, 0.00%), (PYPL, 366, 0.17%, 0.00%), (USB, 469,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</si>
  <si>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6,002, 2.67%, 0.00%), (BRK/B, 6,983, 2.06%, 0.00%), (GOOGL, 16,087, 1.98%, 0.00%), (LIN, 5,999, 1.73%, 0.00%), (CSCO, 42,398, 1.73%, 0.00%), (TSLA, 8,031, 1.65%, 0.00%), (GOOG, 13,103, 1.62%, 0.00%), (JPM, 8,842, 1.57%, 0.00%), (AMT, 12,170, 1.48%, 0.00%), (XOM, 21,403, 1.43%, 0.00%), (V, 6,583, 1.37%, 0.00%), (MA, 3,123, 1.10%, 0.00%), (CB, 6,716, 1.09%, 0.00%), (LLY, 2,520, 1.09%, 0.00%), (GE, 6,262, 1.01%, 0.00%), (WM, 7,523, 1.01%, 0.00%), (ORCL, 6,300, 0.88%, 0.00%), (NFLX, 1,177, 0.86%, 0.00%), (NEE, 19,325, 0.85%, 0.00%), (UNH, 4,688, 0.85%, 0.00%), (JNJ, 7,702, 0.81%, 0.00%), (CVX, 8,139, 0.77%, 0.00%), (PG, 8,104, 0.76%, 0.00%), (PLTR, 8,035, 0.75%, 0.00%), (COST, 1,309, 0.74%, 0.00%), (WMT, 12,821, 0.73%, 0.00%), (RTX, 7,701, 0.73%, 0.00%), (CAT, 2,794, 0.72%, 0.00%), (MCD, 3,829, 0.71%, 0.00%), (HD, 2,897, 0.70%, 0.00%), (ABBV, 5,653, 0.70%, 0.00%), (ABT, 8,835, 0.69%, 0.00%), (BAC, 20,965, 0.63%, 0.00%), (BA, 4,326, 0.60%, 0.00%), (KO, 14,653, 0.60%, 0.00%), (BKNG, 177, 0.59%, 0.00%), (AMD, 5,871, 0.58%, 0.00%), (NKE, 12,518, 0.58%, 0.00%), (PM, 5,876, 0.58%, 0.00%), (SO, 10,297, 0.57%, 0.00%), (CRM, 3,747, 0.56%, 0.00%), (DUK, 7,259, 0.54%, 0.00%), (GS, 1,196, 0.53%, 0.00%), (UBER, 9,317, 0.53%, 0.00%), (IBM, 3,624, 0.53%, 0.00%), (WFC, 10,457, 0.51%, 0.00%), (ISRG, 1,814, 0.51%, 0.00%), (MET, 10,420, 0.50%, 0.00%), (HON, 3,762, 0.50%, 0.00%), (ETN, 2,287, 0.48%, 0.00%), (PEP, 5,185, 0.46%, 0.00%), (INTU, 1,099, 0.43%, 0.00%), (DE, 1,472, 0.43%, 0.00%), (T, 24,951, 0.43%, 0.00%), (NOW, 807, 0.43%, 0.00%), (MS, 4,726, 0.42%, 0.00%), (AXP, 2,120, 0.41%, 0.00%), (MRK, 8,092, 0.41%, 0.00%), (TXN, 3,300, 0.40%, 0.00%), (SPGI, 1,210, 0.40%, 0.00%), (VZ, 14,638, 0.39%, 0.00%), (QCOM, 4,019, 0.38%, 0.00%), (ACN, 2,449, 0.38%, 0.00%), (BLK, 555, 0.37%, 0.00%), (COP, 6,299, 0.37%, 0.00%), (ADBE, 1,725, 0.37%, 0.00%), (MDT, 6,533, 0.36%, 0.00%), (TMO, 1,224, 0.36%, 0.00%), (UNP, 2,682, 0.35%, 0.00%), (DIS, 4,986, 0.35%, 0.00%), (C, 5,940, 0.34%, 0.00%), (LMT, 1,221, 0.33%, 0.00%), (SCHW, 5,695, 0.33%, 0.00%), (SBUX, 6,057, 0.32%, 0.00%), (AMGN, 1,720, 0.30%, 0.00%), (MMM, 3,151, 0.29%, 0.00%), (AMAT, 2,982, 0.29%, 0.00%), (CVS, 6,410, 0.27%, 0.00%), (PFE, 18,128, 0.27%, 0.00%), (GILD, 3,987, 0.27%, 0.00%), (TJX, 3,290, 0.27%, 0.00%), (EMR, 3,299, 0.26%, 0.00%), (LOW, 1,655, 0.26%, 0.00%), (MO, 6,405, 0.25%, 0.00%), (DHR, 2,056, 0.25%, 0.00%), (INTC, 15,602, 0.23%, 0.00%), (ELV, 1,181, 0.22%, 0.00%), (CMCSA, 10,509, 0.21%, 0.00%), (MDLZ, 5,054, 0.19%, 0.00%), (BMY, 6,488, 0.18%, 0.00%), (UPS, 3,236, 0.17%, 0.00%), (PYPL, 3,819, 0.16%, 0.00%), (USB, 4,900, 0.14%, 0.00%), (CL, 2,811, 0.14%, 0.00%), (FDX, 995, 0.14%, 0.00%), (TGT, 1,361, 0.08%, 0.00%), (SC26771B, nan, nan%, 0.00%), (SC26773B, nan, nan%, 0.00%), (SP26772B, nan, nan%, 0.00%), (SP26774B, nan, nan%, 0.00%), (SP26775T, nan, nan%, 0.00%), (XP26775T, nan, nan%, 0.00%)</t>
  </si>
  <si>
    <t>(AVGO, 14,624, 3.21%, 0.00%), (META, 5,195, 2.84%, 0.00%), (BRK/B, 6,044, 2.19%, 0.00%), (GOOGL, 13,923, 2.11%, 0.00%), (LIN, 5,192, 1.84%, 0.00%), (CSCO, 36,696, 1.84%, 0.00%), (TSLA, 6,951, 1.76%, 0.00%), (GOOG, 11,341, 1.73%, 0.00%), (JPM, 7,653, 1.67%, 0.00%), (AMT, 10,533, 1.57%, 0.00%), (XOM, 18,524, 1.53%, 0.00%), (V, 5,698, 1.46%, 0.00%), (MA, 2,703, 1.17%, 0.00%), (CB, 5,813, 1.17%, 0.00%), (LLY, 2,182, 1.16%, 0.00%), (GE, 5,420, 1.08%, 0.00%), (WM, 6,511, 1.08%, 0.00%), (ORCL, 5,452, 0.94%, 0.00%), (NFLX, 1,019, 0.91%, 0.00%), (NEE, 16,726, 0.91%, 0.00%), (UNH, 4,057, 0.90%, 0.00%), (JNJ, 6,666, 0.86%, 0.00%), (CVX, 7,044, 0.82%, 0.00%), (PG, 7,014, 0.81%, 0.00%), (PLTR, 6,954, 0.79%, 0.00%), (COST, 1,133, 0.79%, 0.00%), (WMT, 11,096, 0.78%, 0.00%), (RTX, 6,666, 0.78%, 0.00%), (CAT, 2,418, 0.77%, 0.00%), (MCD, 3,314, 0.76%, 0.00%), (HD, 2,508, 0.75%, 0.00%), (ABBV, 4,893, 0.75%, 0.00%), (ABT, 7,647, 0.74%, 0.00%), (BAC, 18,145, 0.67%, 0.00%), (BA, 3,744, 0.64%, 0.00%), (KO, 12,682, 0.64%, 0.00%), (BKNG, 153, 0.63%, 0.00%), (AMD, 5,081, 0.62%, 0.00%), (NKE, 10,834, 0.62%, 0.00%), (PM, 5,086, 0.61%, 0.00%), (SO, 8,912, 0.61%, 0.00%), (CRM, 3,243, 0.59%, 0.00%), (DUK, 6,283, 0.57%, 0.00%), (GS, 1,035, 0.57%, 0.00%), (UBER, 8,064, 0.56%, 0.00%), (IBM, 3,137, 0.56%, 0.00%), (WFC, 9,050, 0.54%, 0.00%), (ISRG, 1,570, 0.54%, 0.00%), (MET, 9,019, 0.54%, 0.00%), (HON, 3,256, 0.53%, 0.00%), (ETN, 1,979, 0.51%, 0.00%), (PEP, 4,488, 0.49%, 0.00%), (INTU, 951, 0.46%, 0.00%), (DE, 1,274, 0.46%, 0.00%), (T, 21,595, 0.46%, 0.00%), (NOW, 699, 0.45%, 0.00%), (MS, 4,090, 0.45%, 0.00%), (AXP, 1,835, 0.43%, 0.00%), (MRK, 7,004, 0.43%, 0.00%), (TXN, 2,856, 0.43%, 0.00%), (SPGI, 1,047, 0.42%, 0.00%), (VZ, 12,670, 0.41%, 0.00%), (QCOM, 3,479, 0.41%, 0.00%), (ACN, 2,120, 0.40%, 0.00%), (BLK, 480, 0.40%, 0.00%), (COP, 5,452, 0.39%, 0.00%), (ADBE, 1,493, 0.39%, 0.00%), (MDT, 5,654, 0.38%, 0.00%), (TMO, 1,059, 0.38%, 0.00%), (UNP, 2,322, 0.38%, 0.00%), (DIS, 4,315, 0.37%, 0.00%), (C, 5,141, 0.36%, 0.00%), (LMT, 1,056, 0.35%, 0.00%), (SCHW, 4,929, 0.35%, 0.00%), (SBUX, 5,242, 0.34%, 0.00%), (AMGN, 1,488, 0.31%, 0.00%), (MMM, 2,727, 0.31%, 0.00%), (AMAT, 2,581, 0.31%, 0.00%), (CVS, 5,548, 0.29%, 0.00%), (PFE, 15,690, 0.29%, 0.00%), (GILD, 3,450, 0.29%, 0.00%), (TJX, 2,847, 0.29%, 0.00%), (EMR, 2,856, 0.28%, 0.00%), (LOW, 1,432, 0.27%, 0.00%), (MO, 5,544, 0.27%, 0.00%), (DHR, 1,780, 0.27%, 0.00%), (INTC, 13,504, 0.25%, 0.00%), (ELV, 1,023, 0.23%, 0.00%), (CMCSA, 9,096, 0.23%, 0.00%), (MDLZ, 4,374, 0.20%, 0.00%), (BMY, 5,615, 0.20%, 0.00%), (UPS, 2,801, 0.18%, 0.00%), (PYPL, 3,306, 0.17%, 0.00%), (USB, 4,241, 0.15%, 0.00%), (CL, 2,433, 0.15%, 0.00%), (FDX, 861, 0.15%, 0.00%), (TGT, 1,178, 0.08%, 0.00%), (SC23471B, nan, nan%, 0.00%), (SC23473B, nan, nan%, 0.00%), (SP23472B, nan, nan%, 0.00%), (SP23475B, nan, nan%, 0.00%), (SP23474B, nan, nan%, 0.00%), (XP23475B, nan, nan%, 0.00%)</t>
  </si>
  <si>
    <t>(AVGO, 10,900, 3.20%, 0.00%), (META, 3,872, 2.84%, 0.00%), (BRK/B, 4,505, 2.19%, 0.00%), (GOOGL, 10,378, 2.10%, 0.00%), (LIN, 3,870, 1.84%, 0.00%), (CSCO, 27,352, 1.83%, 0.00%), (TSLA, 5,181, 1.76%, 0.00%), (GOOG, 8,453, 1.72%, 0.00%), (JPM, 5,704, 1.67%, 0.00%), (AMT, 7,851, 1.57%, 0.00%), (XOM, 13,807, 1.52%, 0.00%), (V, 4,247, 1.46%, 0.00%), (MA, 2,014, 1.17%, 0.00%), (CB, 4,333, 1.16%, 0.00%), (LLY, 1,626, 1.16%, 0.00%), (GE, 4,040, 1.08%, 0.00%), (WM, 4,853, 1.08%, 0.00%), (ORCL, 4,064, 0.94%, 0.00%), (NFLX, 759, 0.91%, 0.00%), (NEE, 12,467, 0.91%, 0.00%), (UNH, 3,024, 0.90%, 0.00%), (JNJ, 4,968, 0.86%, 0.00%), (CVX, 5,250, 0.82%, 0.00%), (PG, 5,228, 0.81%, 0.00%), (PLTR, 5,183, 0.79%, 0.00%), (COST, 844, 0.79%, 0.00%), (WMT, 8,271, 0.78%, 0.00%), (RTX, 4,968, 0.78%, 0.00%), (CAT, 1,802, 0.77%, 0.00%), (MCD, 2,470, 0.75%, 0.00%), (HD, 1,869, 0.75%, 0.00%), (ABBV, 3,647, 0.74%, 0.00%), (ABT, 5,700, 0.74%, 0.00%), (BAC, 13,525, 0.67%, 0.00%), (BA, 2,790, 0.64%, 0.00%), (KO, 9,452, 0.64%, 0.00%), (BKNG, 114, 0.63%, 0.00%), (AMD, 3,787, 0.62%, 0.00%), (NKE, 8,075, 0.62%, 0.00%), (PM, 3,791, 0.61%, 0.00%), (SO, 6,643, 0.61%, 0.00%), (CRM, 2,417, 0.59%, 0.00%), (DUK, 4,683, 0.57%, 0.00%), (GS, 771, 0.57%, 0.00%), (UBER, 6,010, 0.56%, 0.00%), (IBM, 2,338, 0.56%, 0.00%), (WFC, 6,746, 0.54%, 0.00%), (ISRG, 1,170, 0.54%, 0.00%), (MET, 6,722, 0.54%, 0.00%), (HON, 2,427, 0.53%, 0.00%), (ETN, 1,475, 0.51%, 0.00%), (PEP, 3,345, 0.49%, 0.00%), (INTU, 709, 0.46%, 0.00%), (DE, 950, 0.46%, 0.00%), (T, 16,096, 0.46%, 0.00%), (NOW, 521, 0.45%, 0.00%), (MS, 3,049, 0.45%, 0.00%), (AXP, 1,368, 0.43%, 0.00%), (MRK, 5,220, 0.43%, 0.00%), (TXN, 2,129, 0.43%, 0.00%), (SPGI, 780, 0.42%, 0.00%), (VZ, 9,443, 0.41%, 0.00%), (QCOM, 2,593, 0.41%, 0.00%), (ACN, 1,580, 0.40%, 0.00%), (BLK, 358, 0.40%, 0.00%), (COP, 4,064, 0.39%, 0.00%), (ADBE, 1,113, 0.39%, 0.00%), (MDT, 4,214, 0.38%, 0.00%), (TMO, 789, 0.38%, 0.00%), (UNP, 1,730, 0.38%, 0.00%), (DIS, 3,216, 0.37%, 0.00%), (C, 3,832, 0.36%, 0.00%), (LMT, 787, 0.35%, 0.00%), (SCHW, 3,674, 0.35%, 0.00%), (SBUX, 3,907, 0.34%, 0.00%), (AMGN, 1,109, 0.31%, 0.00%), (MMM, 2,033, 0.31%, 0.00%), (AMAT, 1,924, 0.31%, 0.00%), (CVS, 4,135, 0.29%, 0.00%), (PFE, 11,695, 0.29%, 0.00%), (GILD, 2,572, 0.29%, 0.00%), (TJX, 2,122, 0.29%, 0.00%), (EMR, 2,128, 0.28%, 0.00%), (LOW, 1,067, 0.27%, 0.00%), (MO, 4,132, 0.27%, 0.00%), (DHR, 1,327, 0.27%, 0.00%), (INTC, 10,065, 0.25%, 0.00%), (ELV, 762, 0.23%, 0.00%), (CMCSA, 6,780, 0.23%, 0.00%), (MDLZ, 3,260, 0.20%, 0.00%), (BMY, 4,185, 0.20%, 0.00%), (UPS, 2,087, 0.18%, 0.00%), (PYPL, 2,464, 0.17%, 0.00%), (USB, 3,161, 0.15%, 0.00%), (CL, 1,814, 0.15%, 0.00%), (FDX, 642, 0.15%, 0.00%), (TGT, 878, 0.08%, 0.00%), (SC22171B, nan, nan%, 0.00%), (SC22173B, nan, nan%, 0.00%), (SP22172B, nan, nan%, 0.00%), (SP22175B, nan, nan%, 0.00%), (SP22174B, nan, nan%, 0.00%), (XP22175B, nan, nan%, 0.00%)</t>
  </si>
  <si>
    <t>(AVGO, 4,121, 3.05%, 0.00%), (META, 1,464, 2.71%, 0.00%), (BRK/B, 1,703, 2.08%, 0.00%), (GOOGL, 3,923, 2.01%, 0.00%), (LIN, 1,463, 1.75%, 0.00%), (CSCO, 10,340, 1.75%, 0.00%), (TSLA, 1,959, 1.68%, 0.00%), (GOOG, 3,196, 1.64%, 0.00%), (JPM, 2,156, 1.59%, 0.00%), (AMT, 2,968, 1.49%, 0.00%), (XOM, 5,220, 1.45%, 0.00%), (V, 1,606, 1.39%, 0.00%), (MA, 762, 1.11%, 0.00%), (LLY, 615, 1.11%, 0.00%), (CB, 1,638, 1.11%, 0.00%), (GE, 1,527, 1.03%, 0.00%), (WM, 1,835, 1.03%, 0.00%), (ORCL, 1,536, 0.90%, 0.00%), (NFLX, 287, 0.86%, 0.00%), (NEE, 4,713, 0.86%, 0.00%), (UNH, 1,143, 0.86%, 0.00%), (JNJ, 1,878, 0.82%, 0.00%), (CVX, 1,985, 0.78%, 0.00%), (PG, 1,976, 0.77%, 0.00%), (PLTR, 1,959, 0.76%, 0.00%), (COST, 319, 0.75%, 0.00%), (WMT, 3,127, 0.74%, 0.00%), (RTX, 1,878, 0.74%, 0.00%), (CAT, 681, 0.73%, 0.00%), (MCD, 934, 0.72%, 0.00%), (HD, 707, 0.71%, 0.00%), (ABBV, 1,379, 0.71%, 0.00%), (ABT, 2,155, 0.70%, 0.00%), (BAC, 5,113, 0.64%, 0.00%), (BA, 1,055, 0.61%, 0.00%), (KO, 3,574, 0.61%, 0.00%), (BKNG, 43, 0.60%, 0.00%), (AMD, 1,432, 0.59%, 0.00%), (NKE, 3,053, 0.59%, 0.00%), (PM, 1,433, 0.58%, 0.00%), (SO, 2,511, 0.58%, 0.00%), (CRM, 914, 0.57%, 0.00%), (DUK, 1,770, 0.54%, 0.00%), (GS, 292, 0.54%, 0.00%), (UBER, 2,272, 0.54%, 0.00%), (IBM, 884, 0.53%, 0.00%), (WFC, 2,550, 0.52%, 0.00%), (ISRG, 442, 0.52%, 0.00%), (MET, 2,541, 0.51%, 0.00%), (HON, 918, 0.50%, 0.00%), (ETN, 558, 0.48%, 0.00%), (PEP, 1,265, 0.46%, 0.00%), (INTU, 268, 0.44%, 0.00%), (DE, 359, 0.44%, 0.00%), (T, 6,085, 0.44%, 0.00%), (NOW, 197, 0.43%, 0.00%), (MS, 1,153, 0.43%, 0.00%), (AXP, 517, 0.41%, 0.00%), (MRK, 1,974, 0.41%, 0.00%), (TXN, 805, 0.41%, 0.00%), (SPGI, 295, 0.40%, 0.00%), (VZ, 3,570, 0.39%, 0.00%), (QCOM, 980, 0.39%, 0.00%), (ACN, 597, 0.38%, 0.00%), (BLK, 135, 0.38%, 0.00%), (COP, 1,536, 0.37%, 0.00%), (ADBE, 421, 0.37%, 0.00%), (MDT, 1,593, 0.36%, 0.00%), (TMO, 298, 0.36%, 0.00%), (UNP, 654, 0.36%, 0.00%), (DIS, 1,216, 0.36%, 0.00%), (C, 1,449, 0.35%, 0.00%), (LMT, 298, 0.33%, 0.00%), (SCHW, 1,389, 0.33%, 0.00%), (SBUX, 1,477, 0.32%, 0.00%), (AMGN, 419, 0.30%, 0.00%), (MMM, 768, 0.30%, 0.00%), (AMAT, 727, 0.29%, 0.00%), (CVS, 1,563, 0.28%, 0.00%), (PFE, 4,421, 0.27%, 0.00%), (GILD, 972, 0.27%, 0.00%), (TJX, 802, 0.27%, 0.00%), (EMR, 805, 0.27%, 0.00%), (LOW, 404, 0.26%, 0.00%), (MO, 1,562, 0.26%, 0.00%), (DHR, 502, 0.25%, 0.00%), (INTC, 3,805, 0.23%, 0.00%), (ELV, 288, 0.22%, 0.00%), (CMCSA, 2,563, 0.21%, 0.00%), (MDLZ, 1,233, 0.19%, 0.00%), (BMY, 1,582, 0.19%, 0.00%), (UPS, 789, 0.17%, 0.00%), (PYPL, 931, 0.16%, 0.00%), (USB, 1,195, 0.14%, 0.00%), (CL, 686, 0.14%, 0.00%), (FDX, 243, 0.14%, 0.00%), (TGT, 332, 0.08%, 0.00%), (SC28181B, nan, nan%, 0.00%), (SC28183B, nan, nan%, 0.00%), (SP28182B, nan, nan%, 0.00%), (SP28185B, nan, nan%, 0.00%), (SP28184B, nan, nan%, 0.00%), (XP28185B, nan, nan%, 0.00%)</t>
  </si>
  <si>
    <t>(AVGO, 4,478, 3.08%, 0.00%), (META, 1,591, 2.73%, 0.00%), (BRK/B, 1,851, 2.11%, 0.00%), (GOOGL, 4,264, 2.03%, 0.00%), (LIN, 1,590, 1.77%, 0.00%), (CSCO, 11,237, 1.77%, 0.00%), (TSLA, 2,129, 1.69%, 0.00%), (GOOG, 3,473, 1.66%, 0.00%), (JPM, 2,343, 1.61%, 0.00%), (AMT, 3,225, 1.51%, 0.00%), (XOM, 5,672, 1.47%, 0.00%), (V, 1,745, 1.40%, 0.00%), (MA, 828, 1.13%, 0.00%), (LLY, 668, 1.12%, 0.00%), (CB, 1,780, 1.12%, 0.00%), (GE, 1,660, 1.04%, 0.00%), (WM, 1,994, 1.04%, 0.00%), (ORCL, 1,670, 0.90%, 0.00%), (NFLX, 312, 0.87%, 0.00%), (NEE, 5,122, 0.87%, 0.00%), (UNH, 1,242, 0.87%, 0.00%), (JNJ, 2,041, 0.83%, 0.00%), (CVX, 2,157, 0.79%, 0.00%), (PG, 2,148, 0.78%, 0.00%), (PLTR, 2,129, 0.76%, 0.00%), (COST, 347, 0.76%, 0.00%), (WMT, 3,398, 0.75%, 0.00%), (RTX, 2,041, 0.75%, 0.00%), (CAT, 740, 0.74%, 0.00%), (MCD, 1,015, 0.73%, 0.00%), (HD, 768, 0.72%, 0.00%), (ABBV, 1,498, 0.72%, 0.00%), (ABT, 2,342, 0.71%, 0.00%), (BAC, 5,556, 0.64%, 0.00%), (BA, 1,146, 0.62%, 0.00%), (KO, 3,883, 0.61%, 0.00%), (BKNG, 47, 0.61%, 0.00%), (AMD, 1,556, 0.60%, 0.00%), (NKE, 3,318, 0.59%, 0.00%), (PM, 1,557, 0.59%, 0.00%), (SO, 2,729, 0.59%, 0.00%), (CRM, 993, 0.57%, 0.00%), (DUK, 1,924, 0.55%, 0.00%), (GS, 317, 0.54%, 0.00%), (UBER, 2,469, 0.54%, 0.00%), (IBM, 961, 0.54%, 0.00%), (WFC, 2,771, 0.52%, 0.00%), (ISRG, 481, 0.52%, 0.00%), (MET, 2,762, 0.52%, 0.00%), (HON, 997, 0.51%, 0.00%), (ETN, 606, 0.49%, 0.00%), (PEP, 1,374, 0.47%, 0.00%), (INTU, 291, 0.44%, 0.00%), (DE, 390, 0.44%, 0.00%), (T, 6,613, 0.44%, 0.00%), (NOW, 214, 0.44%, 0.00%), (MS, 1,252, 0.43%, 0.00%), (AXP, 562, 0.42%, 0.00%), (MRK, 2,145, 0.41%, 0.00%), (TXN, 875, 0.41%, 0.00%), (SPGI, 321, 0.41%, 0.00%), (VZ, 3,880, 0.40%, 0.00%), (QCOM, 1,065, 0.39%, 0.00%), (ACN, 649, 0.38%, 0.00%), (BLK, 147, 0.38%, 0.00%), (COP, 1,669, 0.37%, 0.00%), (ADBE, 457, 0.37%, 0.00%), (MDT, 1,731, 0.37%, 0.00%), (TMO, 324, 0.36%, 0.00%), (UNP, 711, 0.36%, 0.00%), (DIS, 1,321, 0.36%, 0.00%), (C, 1,574, 0.35%, 0.00%), (LMT, 324, 0.34%, 0.00%), (SCHW, 1,509, 0.33%, 0.00%), (SBUX, 1,605, 0.32%, 0.00%), (AMGN, 456, 0.30%, 0.00%), (MMM, 835, 0.30%, 0.00%), (AMAT, 790, 0.30%, 0.00%), (CVS, 1,699, 0.28%, 0.00%), (PFE, 4,805, 0.28%, 0.00%), (GILD, 1,057, 0.28%, 0.00%), (TJX, 872, 0.27%, 0.00%), (EMR, 874, 0.27%, 0.00%), (LOW, 439, 0.26%, 0.00%), (MO, 1,698, 0.26%, 0.00%), (DHR, 545, 0.26%, 0.00%), (INTC, 4,135, 0.24%, 0.00%), (ELV, 313, 0.22%, 0.00%), (CMCSA, 2,785, 0.22%, 0.00%), (MDLZ, 1,339, 0.19%, 0.00%), (BMY, 1,720, 0.19%, 0.00%), (UPS, 858, 0.17%, 0.00%), (PYPL, 1,012, 0.16%, 0.00%), (USB, 1,299, 0.15%, 0.00%), (CL, 745,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</si>
  <si>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8,423, 3.19%, 0.00%), (META, 2,992, 2.83%, 0.00%), (BRK/B, 3,481, 2.18%, 0.00%), (GOOGL, 8,020, 2.10%, 0.00%), (LIN, 2,990, 1.83%, 0.00%), (CSCO, 21,136, 1.83%, 0.00%), (TSLA, 4,004, 1.76%, 0.00%), (GOOG, 6,532, 1.72%, 0.00%), (JPM, 4,408, 1.67%, 0.00%), (AMT, 6,067, 1.56%, 0.00%), (XOM, 10,670, 1.52%, 0.00%), (V, 3,282, 1.45%, 0.00%), (MA, 1,557, 1.17%, 0.00%), (LLY, 1,257, 1.16%, 0.00%), (CB, 3,348, 1.16%, 0.00%), (GE, 3,122, 1.08%, 0.00%), (WM, 3,750, 1.07%, 0.00%), (ORCL, 3,141, 0.94%, 0.00%), (NFLX, 587, 0.91%, 0.00%), (NEE, 9,634, 0.90%, 0.00%), (UNH, 2,337, 0.90%, 0.00%), (JNJ, 3,839, 0.86%, 0.00%), (CVX, 4,057, 0.82%, 0.00%), (PG, 4,040, 0.80%, 0.00%), (PLTR, 4,005, 0.79%, 0.00%), (COST, 652, 0.78%, 0.00%), (WMT, 6,391, 0.78%, 0.00%), (RTX, 3,839, 0.78%, 0.00%), (CAT, 1,393, 0.76%, 0.00%), (MCD, 1,909, 0.75%, 0.00%), (HD, 1,444, 0.75%, 0.00%), (ABBV, 2,818, 0.74%, 0.00%), (ABT, 4,404, 0.73%, 0.00%), (BAC, 10,452, 0.66%, 0.00%), (BA, 2,156, 0.64%, 0.00%), (KO, 7,305, 0.64%, 0.00%), (BKNG, 88, 0.63%, 0.00%), (AMD, 2,927, 0.62%, 0.00%), (NKE, 6,240, 0.61%, 0.00%), (PM, 2,929, 0.61%, 0.00%), (SO, 5,133, 0.61%, 0.00%), (CRM, 1,868, 0.59%, 0.00%), (DUK, 3,619, 0.57%, 0.00%), (GS, 596, 0.57%, 0.00%), (UBER, 4,644, 0.56%, 0.00%), (IBM, 1,807, 0.56%, 0.00%), (WFC, 5,213, 0.54%, 0.00%), (ISRG, 904, 0.54%, 0.00%), (MET, 5,195, 0.53%, 0.00%), (HON, 1,876, 0.53%, 0.00%), (ETN, 1,140, 0.51%, 0.00%), (PEP, 2,585, 0.48%, 0.00%), (INTU, 548, 0.46%, 0.00%), (DE, 734, 0.46%, 0.00%), (T, 12,439, 0.46%, 0.00%), (NOW, 403, 0.45%, 0.00%), (MS, 2,356, 0.45%, 0.00%), (AXP, 1,057, 0.43%, 0.00%), (MRK, 4,034, 0.43%, 0.00%), (TXN, 1,645, 0.43%, 0.00%), (SPGI, 603, 0.42%, 0.00%), (VZ, 7,297, 0.41%, 0.00%), (QCOM, 2,004, 0.40%, 0.00%), (ACN, 1,221, 0.40%, 0.00%), (BLK, 276, 0.40%, 0.00%), (COP, 3,140, 0.39%, 0.00%), (ADBE, 860, 0.39%, 0.00%), (MDT, 3,257, 0.38%, 0.00%), (TMO, 610, 0.38%, 0.00%), (UNP, 1,337, 0.37%, 0.00%), (DIS, 2,486, 0.37%, 0.00%), (C, 2,961, 0.36%, 0.00%), (LMT, 609, 0.35%, 0.00%), (SCHW, 2,839, 0.35%, 0.00%), (SBUX, 3,019, 0.34%, 0.00%), (AMGN, 857, 0.31%, 0.00%), (MMM, 1,571, 0.31%, 0.00%), (AMAT, 1,487, 0.31%, 0.00%), (CVS, 3,196, 0.29%, 0.00%), (PFE, 9,037, 0.29%, 0.00%), (GILD, 1,987, 0.29%, 0.00%), (TJX, 1,640, 0.28%, 0.00%), (EMR, 1,645, 0.28%, 0.00%), (LOW, 825, 0.27%, 0.00%), (MO, 3,193, 0.27%, 0.00%), (DHR, 1,025, 0.27%, 0.00%), (INTC, 7,778, 0.24%, 0.00%), (ELV, 589, 0.23%, 0.00%), (CMCSA, 5,239, 0.22%, 0.00%), (MDLZ, 2,519, 0.20%, 0.00%), (BMY, 3,234, 0.20%, 0.00%), (UPS, 1,613, 0.18%, 0.00%), (PYPL, 1,904, 0.17%, 0.00%), (USB, 2,443, 0.15%, 0.00%), (CL, 1,401, 0.15%, 0.00%), (FDX, 496, 0.15%, 0.00%), (TGT, 678, 0.08%, 0.00%), (SC26771B, nan, nan%, 0.00%), (SC26773B, nan, nan%, 0.00%), (SP26772B, nan, nan%, 0.00%), (SP26775B, nan, nan%, 0.00%), (SP26774B, nan, nan%, 0.00%), (XP26775B, nan, nan%, 0.00%)</t>
  </si>
  <si>
    <t>EBAY, BK, META, GOOGL, MLI, JPM, MSFT, BKNG, EA, BLK, RJF</t>
  </si>
  <si>
    <t>(PHM, 8,199, 1.95%, 0.00%), (AXP, 3,259, 1.93%, 0.00%), (EWBC, 9,989, 1.92%, 0.01%), (HIG, 7,737, 1.85%, 0.00%), (V, 2,889, 1.83%, 0.00%), (TRV, 3,676, 1.80%, 0.00%), (NVDA, 5,399, 1.76%, 0.00%), (ROST, 6,437, 1.74%, 0.00%), (SNA, 2,881, 1.71%, 0.01%), (ADP, 3,087, 1.70%, 0.00%), (SYF, 12,067, 1.68%, 0.00%), (PCAR, 9,138, 1.67%, 0.00%), (AMAT, 5,536, 1.66%, 0.00%), (KLAC, 1,022, 1.66%, 0.00%), (LEN, 6,821, 1.65%, 0.00%), (UNM, 12,999, 1.63%, 0.01%), (CB, 3,260, 1.61%, 0.00%), (CRM, 3,310, 1.53%, 0.00%), (CTSH, 11,678, 1.52%, 0.00%), (PAYC, 3,535, 1.45%, 0.01%), (BKR, 17,186, 1.42%, 0.00%), (WSM, 4,086, 1.39%, 0.00%), (DHI, 4,533, 1.39%, 0.00%), (QCOM, 4,661, 1.36%, 0.00%), (ACN, 2,753, 1.28%, 0.00%), (AAPL, 3,009, 1.27%, 0.00%), (ELV, 2,213, 1.25%, 0.00%), (AFL, 6,383, 1.23%, 0.00%), (MPWR, 738, 1.15%, 0.00%), (LRCX, 5,953, 1.12%, 0.00%), (CSCO, 8,646, 1.09%, 0.00%), (ODFL, 3,959, 1.07%, 0.00%), (GE, 2,086, 1.04%, 0.00%), (STT, 4,792, 1.00%, 0.00%), (PNC, 2,566, 0.96%, 0.00%), (MTB, 2,550, 0.93%, 0.00%), (AMP, 933, 0.87%, 0.00%), (CF, 5,477, 0.87%, 0.00%), (XOM, 4,012, 0.82%, 0.00%), (ABT, 3,450, 0.82%, 0.00%), (COST, 479, 0.82%, 0.00%), (EOG, 3,609, 0.81%, 0.00%), (CSL, 1,074, 0.75%, 0.00%), (EG, 1,214, 0.75%, 0.00%), (GEV, 489, 0.56%, 0.00%), (NTRS, 2,224, 0.53%, 0.00%), (MA, 464, 0.50%, 0.00%), (CRBG, 7,642, 0.48%, 0.00%), (ACM, 2,104, 0.48%, 0.00%), (JNJ, 1,489, 0.47%, 0.00%), (LNC, 6,083, 0.47%, 0.00%), (WTFC, 1,792, 0.45%, 0.00%), (JXN, 2,511, 0.45%, 0.00%), (MTG, 8,740, 0.44%, 0.00%), (CINF, 1,547, 0.43%, 0.00%), (DOV, 1,301, 0.43%, 0.00%), (ADM, 3,704, 0.42%, 0.00%), (EQH, 4,312, 0.42%, 0.00%), (ALL, 1,102, 0.41%, 0.00%), (SLM, 7,142, 0.41%, 0.00%), (NUE, 1,487, 0.40%, 0.00%), (MCK, 321, 0.40%, 0.00%), (NKE, 2,711, 0.38%, 0.00%), (PGR, 811, 0.36%, 0.00%), (FANG, 1,158, 0.31%, 0.00%), (SC13N61B, nan, nan%, 0.00%), (SC13N63B, nan, nan%, 0.00%), (SP13N62B, nan, nan%, 0.00%), (SP13N65B, nan, nan%, 0.00%), (SP13N64B, nan, nan%, 0.00%), (SPX Index, nan, nan%, 0.00%), (XP13N65B, nan, nan%, 0.00%)</t>
  </si>
  <si>
    <t>(AVGO, 3,876, 3.39%, 0.00%), (META, 1,377, 2.97%, 0.00%), (BRK/B, 1,602, 2.28%, 0.00%), (GOOGL, 3,691, 2.22%, 0.00%), (CSCO, 9,727, 1.93%, 0.00%), (LIN, 1,376, 1.90%, 0.00%), (GOOG, 3,006, 1.82%, 0.00%), (TSLA, 1,843, 1.82%, 0.00%), (JPM, 2,029, 1.74%, 0.00%), (AMT, 2,792, 1.62%, 0.00%), (XOM, 4,910, 1.59%, 0.00%), (V, 1,510, 1.51%, 0.00%), (MA, 716, 1.21%, 0.00%), (CB, 1,541, 1.21%, 0.00%), (LLY, 578, 1.20%, 0.00%), (GE, 1,437, 1.13%, 0.00%), (WM, 1,726, 1.11%, 0.00%), (ORCL, 1,445, 0.99%, 0.00%), (NFLX, 270, 0.95%, 0.00%), (UNH, 1,076, 0.93%, 0.00%), (NEE, 4,434, 0.92%, 0.00%), (JNJ, 1,767, 0.89%, 0.00%), (CVX, 1,867, 0.85%, 0.00%), (PLTR, 1,843, 0.83%, 0.00%), (PG, 1,859, 0.83%, 0.00%), (COST, 300, 0.81%, 0.00%), (WMT, 2,941, 0.81%, 0.00%), (RTX, 1,767, 0.81%, 0.00%), (CAT, 641, 0.80%, 0.00%), (MCD, 879, 0.79%, 0.00%), (HD, 665, 0.78%, 0.00%), (ABBV, 1,297, 0.77%, 0.00%), (ABT, 2,027, 0.76%, 0.00%), (BAC, 4,810, 0.69%, 0.00%), (BA, 992, 0.67%, 0.00%), (BKNG, 41, 0.67%, 0.00%), (KO, 3,362, 0.66%, 0.00%), (AMD, 1,347, 0.65%, 0.00%), (PM, 1,348, 0.64%, 0.00%), (NKE, 2,872, 0.64%, 0.00%), (SO, 2,362, 0.63%, 0.00%), (CRM, 860, 0.62%, 0.00%), (GS, 274, 0.59%, 0.00%), (UBER, 2,137, 0.59%, 0.00%), (DUK, 1,666, 0.59%, 0.00%), (IBM, 832, 0.58%, 0.00%), (ISRG, 416, 0.57%, 0.00%), (WFC, 2,399, 0.56%, 0.00%), (MET, 2,391, 0.55%, 0.00%), (HON, 863, 0.55%, 0.00%), (ETN, 525, 0.53%, 0.00%), (PEP, 1,190, 0.50%, 0.00%), (NOW, 185, 0.49%, 0.00%), (INTU, 252, 0.48%, 0.00%), (DE, 338, 0.48%, 0.00%), (T, 5,724, 0.47%, 0.00%), (MS, 1,084, 0.47%, 0.00%), (AXP, 486, 0.45%, 0.00%), (MRK, 1,857, 0.44%, 0.00%), (TXN, 757, 0.44%, 0.00%), (SPGI, 278, 0.44%, 0.00%), (QCOM, 922, 0.42%, 0.00%), (VZ, 3,358, 0.42%, 0.00%), (ACN, 562, 0.41%, 0.00%), (BLK, 127, 0.41%, 0.00%), (COP, 1,445, 0.41%, 0.00%), (ADBE, 396, 0.40%, 0.00%), (MDT, 1,499, 0.40%, 0.00%), (TMO, 281, 0.39%, 0.00%), (UNP, 615, 0.39%, 0.00%), (DIS, 1,144, 0.39%, 0.00%), (C, 1,363, 0.38%, 0.00%), (LMT, 280, 0.36%, 0.00%), (SCHW, 1,307, 0.36%, 0.00%), (SBUX, 1,390, 0.35%, 0.00%), (MMM, 723, 0.33%, 0.00%), (AMGN, 395, 0.32%, 0.00%), (AMAT, 684, 0.32%, 0.00%), (CVS, 1,471, 0.30%, 0.00%), (TJX, 755, 0.30%, 0.00%), (GILD, 915, 0.30%, 0.00%), (PFE, 4,159, 0.29%, 0.00%), (EMR, 757, 0.29%, 0.00%), (LOW, 380, 0.28%, 0.00%), (MO, 1,470, 0.28%, 0.00%), (DHR, 472, 0.28%, 0.00%), (INTC, 3,580, 0.26%, 0.00%), (ELV, 271, 0.24%, 0.00%), (CMCSA, 2,411, 0.23%, 0.00%), (MDLZ, 1,159, 0.20%, 0.00%), (BMY, 1,489, 0.20%, 0.00%), (UPS, 742, 0.19%, 0.00%), (PYPL, 876, 0.18%, 0.00%), (USB, 1,124, 0.16%, 0.00%), (CL, 645, 0.15%, 0.00%), (FDX, 228, 0.15%, 0.00%), (TGT, 312, 0.09%, 0.00%), (SC31761B, nan, nan%, 0.00%), (SC31763B, nan, nan%, 0.00%), (SP31762B, nan, nan%, 0.00%), (SP31765B, nan, nan%, 0.00%), (SP31764B, nan, nan%, 0.00%), (XP31765B, nan, nan%, 0.00%)</t>
  </si>
  <si>
    <t>(AVGO, 2,555, 3.30%, 0.00%), (META, 908, 2.89%, 0.00%), (BRK/B, 1,056, 2.22%, 0.00%), (GOOGL, 2,433, 2.16%, 0.00%), (CSCO, 6,412, 1.88%, 0.00%), (LIN, 907, 1.85%, 0.00%), (GOOG, 1,982, 1.77%, 0.00%), (TSLA, 1,215, 1.77%, 0.00%), (JPM, 1,337, 1.70%, 0.00%), (AMT, 1,840, 1.58%, 0.00%), (XOM, 3,237, 1.55%, 0.00%), (V, 996, 1.48%, 0.00%), (MA, 472, 1.18%, 0.00%), (CB, 1,016, 1.18%, 0.00%), (LLY, 381, 1.17%, 0.00%), (GE, 947, 1.10%, 0.00%), (WM, 1,138, 1.08%, 0.00%), (ORCL, 953, 0.97%, 0.00%), (NFLX, 178, 0.93%, 0.00%), (UNH, 709, 0.91%, 0.00%), (NEE, 2,923, 0.89%, 0.00%), (JNJ, 1,165, 0.87%, 0.00%), (CVX, 1,231, 0.83%, 0.00%), (PLTR, 1,215, 0.81%, 0.00%), (PG, 1,226, 0.81%, 0.00%), (COST, 198, 0.79%, 0.00%), (WMT, 1,939, 0.79%, 0.00%), (RTX, 1,165, 0.79%, 0.00%), (CAT, 422, 0.78%, 0.00%), (MCD, 579, 0.77%, 0.00%), (HD, 438, 0.76%, 0.00%), (ABBV, 855, 0.75%, 0.00%), (ABT, 1,336, 0.74%, 0.00%), (BAC, 3,171, 0.67%, 0.00%), (BA, 654, 0.65%, 0.00%), (BKNG, 27, 0.65%, 0.00%), (KO, 2,216, 0.64%, 0.00%), (AMD, 888, 0.63%, 0.00%), (PM, 889, 0.62%, 0.00%), (NKE, 1,893, 0.62%, 0.00%), (SO, 1,557, 0.61%, 0.00%), (CRM, 567, 0.60%, 0.00%), (GS, 181, 0.58%, 0.00%), (UBER, 1,409, 0.57%, 0.00%), (DUK, 1,098, 0.57%, 0.00%), (IBM, 548, 0.57%, 0.00%), (ISRG, 274, 0.55%, 0.00%), (WFC, 1,581, 0.54%, 0.00%), (MET, 1,576, 0.54%, 0.00%), (HON, 569, 0.53%, 0.00%), (ETN, 346, 0.52%, 0.00%), (PEP, 784, 0.49%, 0.00%), (NOW, 122, 0.48%, 0.00%), (INTU, 166, 0.47%, 0.00%), (DE, 223, 0.46%, 0.00%), (T, 3,773, 0.46%, 0.00%), (MS, 715, 0.45%, 0.00%), (AXP, 321, 0.44%, 0.00%), (MRK, 1,224, 0.43%, 0.00%), (TXN, 499, 0.43%, 0.00%), (SPGI, 183, 0.42%, 0.00%), (VZ, 2,214, 0.41%, 0.00%), (QCOM, 608, 0.41%, 0.00%), (BLK, 84, 0.40%, 0.00%), (ACN, 370, 0.40%, 0.00%), (COP, 953, 0.40%, 0.00%), (ADBE, 261, 0.39%, 0.00%), (MDT, 988, 0.39%, 0.00%), (TMO, 185, 0.38%, 0.00%), (UNP, 406, 0.38%, 0.00%), (DIS, 754, 0.38%, 0.00%), (C, 898, 0.37%, 0.00%), (LMT, 185, 0.35%, 0.00%), (SCHW, 861, 0.35%, 0.00%), (SBUX, 916, 0.34%, 0.00%), (MMM, 477, 0.32%, 0.00%), (AMGN, 260, 0.31%, 0.00%), (AMAT, 451, 0.31%, 0.00%), (CVS, 969, 0.29%, 0.00%), (TJX, 498, 0.29%, 0.00%), (GILD, 603, 0.29%, 0.00%), (PFE, 2,742, 0.29%, 0.00%), (EMR, 499, 0.28%, 0.00%), (LOW, 250, 0.27%, 0.00%), (MO, 969, 0.27%, 0.00%), (DHR, 311, 0.27%, 0.00%), (INTC, 2,360, 0.25%, 0.00%), (ELV, 179, 0.24%, 0.00%), (CMCSA, 1,589, 0.23%, 0.00%), (MDLZ, 764, 0.20%, 0.00%), (BMY, 981, 0.19%, 0.00%), (UPS, 489, 0.18%, 0.00%), (PYPL, 578, 0.17%, 0.00%), (USB, 741, 0.15%, 0.00%), (CL, 425, 0.15%, 0.00%), (FDX, 150, 0.15%, 0.00%), (TGT, 206, 0.08%, 0.00%), (SC9061B, nan, nan%, 0.00%), (SC9063B, nan, nan%, 0.00%), (SP9062B, nan, nan%, 0.00%), (SP9065B, nan, nan%, 0.00%), (SP9064B, nan, nan%, 0.00%), (XP9065B, nan, nan%, 0.00%)</t>
  </si>
  <si>
    <t>(META, 868, 2.63%, 0.00%), (BRK/B, 1,009, 2.02%, 0.00%), (GOOGL, 2,326, 1.97%, 0.00%), (CSCO, 6,129, 1.71%, 0.00%), (LIN, 867, 1.69%, 0.00%), (GOOG, 1,894, 1.61%, 0.00%), (TSLA, 1,161, 1.61%, 0.00%), (JPM, 1,278, 1.54%, 0.00%), (AMT, 1,759, 1.44%, 0.00%), (XOM, 3,094, 1.41%, 0.00%), (V, 952, 1.34%, 0.00%), (MA, 451, 1.07%, 0.00%), (CB, 971, 1.07%, 0.00%), (LLY, 364, 1.07%, 0.00%), (GE, 905, 1.00%, 0.00%), (WM, 1,088, 0.99%, 0.00%), (ORCL, 911, 0.88%, 0.00%), (NFLX, 170, 0.84%, 0.00%), (UNH, 678, 0.83%, 0.00%), (NEE, 2,794, 0.81%, 0.00%), (JNJ, 1,113, 0.79%, 0.00%), (CVX, 1,177, 0.76%, 0.00%), (PLTR, 1,161, 0.74%, 0.00%), (PG, 1,171, 0.73%, 0.00%), (COST, 189, 0.72%, 0.00%), (WMT, 1,853, 0.72%, 0.00%), (RTX, 1,113, 0.72%, 0.00%), (CAT, 404, 0.71%, 0.00%), (MCD, 554, 0.70%, 0.00%), (HD, 419, 0.69%, 0.00%), (ABBV, 817, 0.68%, 0.00%), (ABT, 1,277, 0.68%, 0.00%), (BAC, 3,031, 0.61%, 0.00%), (BA, 625, 0.59%, 0.00%), (BKNG, 26, 0.59%, 0.00%), (KO, 2,118, 0.58%, 0.00%), (AMD, 849, 0.58%, 0.00%), (NKE, 1,810, 0.57%, 0.00%), (PM, 849, 0.57%, 0.00%), (SO, 1,489, 0.55%, 0.00%), (CRM, 542, 0.55%, 0.00%), (GS, 173, 0.52%, 0.00%), (UBER, 1,347, 0.52%, 0.00%), (IBM, 524, 0.52%, 0.00%), (DUK, 1,049, 0.52%, 0.00%), (ISRG, 262, 0.50%, 0.00%), (WFC, 1,512, 0.50%, 0.00%), (MET, 1,506, 0.49%, 0.00%), (HON, 544, 0.49%, 0.00%), (ETN, 331, 0.47%, 0.00%), (PEP, 750, 0.44%, 0.00%), (NOW, 117, 0.44%, 0.00%), (INTU, 159, 0.43%, 0.00%), (DE, 213, 0.42%, 0.00%), (T, 3,607, 0.42%, 0.00%), (MS, 683, 0.41%, 0.00%), (AXP, 306, 0.40%, 0.00%), (MRK, 1,170, 0.39%, 0.00%), (TXN, 477, 0.39%, 0.00%), (SPGI, 175, 0.39%, 0.00%), (QCOM, 581, 0.38%, 0.00%), (VZ, 2,116, 0.37%, 0.00%), (ACN, 354, 0.37%, 0.00%), (BLK, 80, 0.36%, 0.00%), (COP, 911, 0.36%, 0.00%), (ADBE, 249, 0.36%, 0.00%), (MDT, 944, 0.35%, 0.00%), (TMO, 177, 0.35%, 0.00%), (UNP, 388, 0.35%, 0.00%), (DIS, 721, 0.34%, 0.00%), (C, 859, 0.33%, 0.00%), (LMT, 176, 0.32%, 0.00%), (SCHW, 823, 0.32%, 0.00%), (SBUX, 876, 0.31%, 0.00%), (MMM, 455, 0.29%, 0.00%), (AMGN, 249, 0.29%, 0.00%), (AMAT, 431, 0.29%, 0.00%), (CVS, 927, 0.27%, 0.00%), (TJX, 476, 0.26%, 0.00%), (GILD, 576, 0.26%, 0.00%), (PFE, 2,621, 0.26%, 0.00%), (EMR, 477, 0.26%, 0.00%), (LOW, 239, 0.25%, 0.00%), (MO, 926, 0.25%, 0.00%), (DHR, 297, 0.25%, 0.00%), (INTC, 2,255, 0.23%, 0.00%), (ELV, 171, 0.21%, 0.00%), (CMCSA, 1,519, 0.21%, 0.00%), (MDLZ, 731, 0.18%, 0.00%), (BMY, 938, 0.18%, 0.00%), (UPS, 468, 0.16%, 0.00%), (PYPL, 552, 0.16%, 0.00%), (USB, 708, 0.14%, 0.00%), (CL, 406, 0.14%, 0.00%), (FDX, 144, 0.13%, 0.00%), (TGT, 197, 0.08%, 0.00%), (SC28781H, nan, nan%, 0.00%), (SC28783H, nan, nan%, 0.00%), (SP28782H, nan, nan%, 0.00%), (SP28785B, nan, nan%, 0.00%), (SP28784H, nan, nan%, 0.00%), (XP28785B, nan, nan%, 0.00%)</t>
  </si>
  <si>
    <t>(AVGO, 1,619, 3.20%, 0.00%), (META, 575, 2.80%, 0.00%), (BRK/B, 669, 2.15%, 0.00%), (GOOGL, 1,541, 2.10%, 0.00%), (CSCO, 4,062, 1.82%, 0.00%), (LIN, 575, 1.80%, 0.00%), (TSLA, 770, 1.72%, 0.00%), (GOOG, 1,255, 1.72%, 0.00%), (JPM, 847, 1.65%, 0.00%), (AMT, 1,166, 1.53%, 0.00%), (XOM, 2,051, 1.50%, 0.00%), (V, 631, 1.43%, 0.00%), (MA, 299, 1.15%, 0.00%), (CB, 643, 1.14%, 0.00%), (LLY, 241, 1.13%, 0.00%), (GE, 600, 1.07%, 0.00%), (WM, 721, 1.05%, 0.00%), (ORCL, 604, 0.94%, 0.00%), (NFLX, 113, 0.90%, 0.00%), (UNH, 449, 0.88%, 0.00%), (NEE, 1,852, 0.87%, 0.00%), (JNJ, 738, 0.84%, 0.00%), (CVX, 780, 0.81%, 0.00%), (PLTR, 770, 0.79%, 0.00%), (PG, 776, 0.78%, 0.00%), (COST, 125, 0.77%, 0.00%), (WMT, 1,228, 0.77%, 0.00%), (RTX, 738, 0.76%, 0.00%), (CAT, 268, 0.75%, 0.00%), (MCD, 367, 0.74%, 0.00%), (HD, 278, 0.73%, 0.00%), (ABBV, 542, 0.73%, 0.00%), (ABT, 847, 0.72%, 0.00%), (BAC, 2,009, 0.65%, 0.00%), (BA, 414, 0.63%, 0.00%), (BKNG, 17, 0.62%, 0.00%), (KO, 1,404, 0.62%, 0.00%), (AMD, 562, 0.61%, 0.00%), (PM, 563, 0.61%, 0.00%), (NKE, 1,199, 0.61%, 0.00%), (SO, 987, 0.59%, 0.00%), (CRM, 359, 0.59%, 0.00%), (GS, 115, 0.56%, 0.00%), (UBER, 893, 0.56%, 0.00%), (DUK, 696, 0.55%, 0.00%), (IBM, 347, 0.55%, 0.00%), (ISRG, 174, 0.53%, 0.00%), (WFC, 1,002, 0.53%, 0.00%), (MET, 998, 0.52%, 0.00%), (HON, 360, 0.52%, 0.00%), (ETN, 219, 0.50%, 0.00%), (PEP, 497, 0.47%, 0.00%), (NOW, 77, 0.46%, 0.00%), (INTU, 105, 0.46%, 0.00%), (DE, 141, 0.45%, 0.00%), (T, 2,391, 0.45%, 0.00%), (MS, 453, 0.44%, 0.00%), (AXP, 203, 0.43%, 0.00%), (MRK, 775, 0.42%, 0.00%), (TXN, 316, 0.42%, 0.00%), (SPGI, 116, 0.41%, 0.00%), (VZ, 1,403, 0.40%, 0.00%), (QCOM, 385, 0.40%, 0.00%), (ACN, 235, 0.39%, 0.00%), (BLK, 53, 0.39%, 0.00%), (COP, 604, 0.39%, 0.00%), (ADBE, 165, 0.38%, 0.00%), (MDT, 626, 0.37%, 0.00%), (TMO, 117, 0.37%, 0.00%), (UNP, 257, 0.37%, 0.00%), (DIS, 478, 0.36%, 0.00%), (C, 569, 0.36%, 0.00%), (LMT, 117, 0.35%, 0.00%), (SCHW, 546, 0.34%, 0.00%), (SBUX, 580, 0.33%, 0.00%), (MMM, 302, 0.31%, 0.00%), (AMGN, 165, 0.31%, 0.00%), (AMAT, 286, 0.30%, 0.00%), (CVS, 614, 0.29%, 0.00%), (TJX, 315, 0.28%, 0.00%), (GILD, 382, 0.28%, 0.00%), (PFE, 1,737, 0.28%, 0.00%), (EMR, 316, 0.28%, 0.00%), (LOW, 159, 0.27%, 0.00%), (MO, 614, 0.26%, 0.00%), (DHR, 197, 0.26%, 0.00%), (INTC, 1,495, 0.24%, 0.00%), (ELV, 113, 0.23%, 0.00%), (CMCSA, 1,007, 0.22%, 0.00%), (MDLZ, 484, 0.19%, 0.00%), (BMY, 622, 0.19%, 0.00%), (UPS, 310, 0.18%, 0.00%), (PYPL, 366, 0.17%, 0.00%), (USB, 469, 0.15%, 0.00%), (CL, 269, 0.15%, 0.00%), (FDX, 95, 0.14%, 0.00%), (TGT, 130, 0.08%, 0.00%), (SC8071B, nan, nan%, 0.00%), (SC8073B, nan, nan%, 0.00%), (SP8072B, nan, nan%, 0.00%), (SP8075B, nan, nan%, 0.00%), (SP8074B, nan, nan%, 0.00%), (XP8075B, nan, nan%, 0.00%)</t>
  </si>
  <si>
    <t>(META, 6,002, 2.68%, 0.00%), (BRK/B, 6,983, 2.06%, 0.00%), (GOOGL, 16,087, 2.01%, 0.00%), (CSCO, 42,398, 1.74%, 0.00%), (LIN, 5,999, 1.72%, 0.00%), (GOOG, 13,103, 1.64%, 0.00%), (TSLA, 8,031, 1.64%, 0.00%), (JPM, 8,842, 1.58%, 0.00%), (AMT, 12,170, 1.47%, 0.00%), (XOM, 21,403, 1.43%, 0.00%), (V, 6,583, 1.37%, 0.00%), (MA, 3,123, 1.10%, 0.00%), (CB, 6,716, 1.09%, 0.00%), (LLY, 2,520, 1.09%, 0.00%), (GE, 6,262, 1.02%, 0.00%), (WM, 7,523, 1.01%, 0.00%), (ORCL, 6,300, 0.90%, 0.00%), (NFLX, 1,177, 0.86%, 0.00%), (UNH, 4,688, 0.84%, 0.00%), (NEE, 19,325, 0.83%, 0.00%), (JNJ, 7,702, 0.80%, 0.00%), (CVX, 8,139, 0.77%, 0.00%), (PLTR, 8,035, 0.75%, 0.00%), (PG, 8,104, 0.75%, 0.00%), (COST, 1,309, 0.74%, 0.00%), (WMT, 12,821, 0.73%, 0.00%), (RTX, 7,701, 0.73%, 0.00%), (CAT, 2,794, 0.72%, 0.00%), (MCD, 3,829, 0.71%, 0.00%), (HD, 2,897, 0.70%, 0.00%), (ABBV, 5,653, 0.70%, 0.00%), (ABT, 8,835, 0.69%, 0.00%), (BAC, 20,965, 0.63%, 0.00%), (BA, 4,326, 0.60%, 0.00%), (KO, 14,653, 0.60%, 0.00%), (BKNG, 177, 0.60%, 0.00%), (AMD, 5,871, 0.59%, 0.00%), (PM, 5,876, 0.58%, 0.00%), (NKE, 12,518, 0.58%, 0.00%), (SO, 10,297, 0.57%, 0.00%), (CRM, 3,747, 0.56%, 0.00%), (GS, 1,196, 0.53%, 0.00%), (UBER, 9,317, 0.53%, 0.00%), (DUK, 7,259, 0.53%, 0.00%), (IBM, 3,624, 0.53%, 0.00%), (ISRG, 1,814, 0.51%, 0.00%), (WFC, 10,457, 0.50%, 0.00%), (MET, 10,420, 0.50%, 0.00%), (HON, 3,762, 0.50%, 0.00%), (ETN, 2,287, 0.48%, 0.00%), (PEP, 5,185, 0.45%, 0.00%), (NOW, 807, 0.44%, 0.00%), (INTU, 1,099, 0.44%, 0.00%), (DE, 1,472, 0.43%, 0.00%), (T, 24,951, 0.43%, 0.00%), (MS, 4,726, 0.42%, 0.00%), (AXP, 2,120, 0.41%, 0.00%), (MRK, 8,092, 0.40%, 0.00%), (TXN, 3,300, 0.40%, 0.00%), (SPGI, 1,210, 0.39%, 0.00%), (QCOM, 4,019, 0.38%, 0.00%), (VZ, 14,638, 0.38%, 0.00%), (BLK, 555, 0.37%, 0.00%), (ACN, 2,449, 0.37%, 0.00%), (COP, 6,299, 0.37%, 0.00%), (ADBE, 1,725, 0.36%, 0.00%), (MDT, 6,533, 0.36%, 0.00%), (TMO, 1,224, 0.36%, 0.00%), (UNP, 2,682, 0.35%, 0.00%), (DIS, 4,986, 0.35%, 0.00%), (C, 5,940, 0.34%, 0.00%), (LMT, 1,221, 0.33%, 0.00%), (SCHW, 5,695, 0.33%, 0.00%), (SBUX, 6,057, 0.32%, 0.00%), (MMM, 3,151, 0.30%, 0.00%), (AMGN, 1,720, 0.29%, 0.00%), (AMAT, 2,982, 0.29%, 0.00%), (CVS, 6,410, 0.27%, 0.00%), (TJX, 3,290, 0.27%, 0.00%), (GILD, 3,987, 0.27%, 0.00%), (PFE, 18,128, 0.27%, 0.00%), (EMR, 3,299, 0.26%, 0.00%), (LOW, 1,655, 0.25%, 0.00%), (MO, 6,405, 0.25%, 0.00%), (DHR, 2,056, 0.25%, 0.00%), (INTC, 15,602, 0.23%, 0.00%), (ELV, 1,181, 0.22%, 0.00%), (CMCSA, 10,509, 0.21%, 0.00%), (MDLZ, 5,054, 0.18%, 0.00%), (BMY, 6,488, 0.18%, 0.00%), (UPS, 3,236, 0.17%, 0.00%), (PYPL, 3,819, 0.16%, 0.00%), (USB, 4,900, 0.14%, 0.00%), (CL, 2,811, 0.14%, 0.00%), (FDX, 995, 0.14%, 0.00%), (TGT, 1,361, 0.08%, 0.00%), (SC26771B, nan, nan%, 0.00%), (SC26773B, nan, nan%, 0.00%), (SP26772B, nan, nan%, 0.00%), (SP26774B, nan, nan%, 0.00%), (SP26775T, nan, nan%, 0.00%), (XP26775T, nan, nan%, 0.00%)</t>
  </si>
  <si>
    <t>(AVGO, 14,624, 3.26%, 0.00%), (META, 5,195, 2.85%, 0.00%), (BRK/B, 6,044, 2.20%, 0.00%), (GOOGL, 13,923, 2.14%, 0.00%), (CSCO, 36,696, 1.86%, 0.00%), (LIN, 5,192, 1.83%, 0.00%), (GOOG, 11,341, 1.75%, 0.00%), (TSLA, 6,951, 1.75%, 0.00%), (JPM, 7,653, 1.68%, 0.00%), (AMT, 10,533, 1.56%, 0.00%), (XOM, 18,524, 1.53%, 0.00%), (V, 5,698, 1.46%, 0.00%), (MA, 2,703, 1.17%, 0.00%), (CB, 5,813, 1.16%, 0.00%), (LLY, 2,182, 1.16%, 0.00%), (GE, 5,420, 1.09%, 0.00%), (WM, 6,511, 1.07%, 0.00%), (ORCL, 5,452, 0.95%, 0.00%), (NFLX, 1,019, 0.91%, 0.00%), (UNH, 4,057, 0.90%, 0.00%), (NEE, 16,726, 0.88%, 0.00%), (JNJ, 6,666, 0.86%, 0.00%), (CVX, 7,044, 0.82%, 0.00%), (PLTR, 6,954, 0.80%, 0.00%), (PG, 7,014, 0.80%, 0.00%), (COST, 1,133, 0.78%, 0.00%), (WMT, 11,096, 0.78%, 0.00%), (RTX, 6,666, 0.78%, 0.00%), (CAT, 2,418, 0.77%, 0.00%), (MCD, 3,314, 0.76%, 0.00%), (HD, 2,508, 0.75%, 0.00%), (ABBV, 4,893, 0.74%, 0.00%), (ABT, 7,647, 0.74%, 0.00%), (BAC, 18,145, 0.67%, 0.00%), (BA, 3,744, 0.64%, 0.00%), (KO, 12,682, 0.63%, 0.00%), (BKNG, 153, 0.63%, 0.00%), (AMD, 5,081, 0.62%, 0.00%), (PM, 5,086, 0.62%, 0.00%), (NKE, 10,834, 0.62%, 0.00%), (SO, 8,912, 0.60%, 0.00%), (CRM, 3,243, 0.60%, 0.00%), (GS, 1,035, 0.57%, 0.00%), (UBER, 8,064, 0.57%, 0.00%), (DUK, 6,283, 0.56%, 0.00%), (IBM, 3,137, 0.56%, 0.00%), (ISRG, 1,570, 0.54%, 0.00%), (WFC, 9,050, 0.54%, 0.00%), (MET, 9,019, 0.53%, 0.00%), (HON, 3,256, 0.53%, 0.00%), (ETN, 1,979, 0.51%, 0.00%), (PEP, 4,488, 0.48%, 0.00%), (NOW, 699, 0.47%, 0.00%), (INTU, 951, 0.46%, 0.00%), (DE, 1,274, 0.46%, 0.00%), (T, 21,595, 0.46%, 0.00%), (MS, 4,090, 0.45%, 0.00%), (AXP, 1,835, 0.44%, 0.00%), (MRK, 7,004, 0.43%, 0.00%), (TXN, 2,856, 0.43%, 0.00%), (SPGI, 1,047, 0.42%, 0.00%), (QCOM, 3,479, 0.41%, 0.00%), (VZ, 12,670, 0.41%, 0.00%), (ACN, 2,120, 0.40%, 0.00%), (BLK, 480, 0.40%, 0.00%), (COP, 5,452, 0.39%, 0.00%), (ADBE, 1,493, 0.39%, 0.00%), (MDT, 5,654, 0.38%, 0.00%), (TMO, 1,059, 0.38%, 0.00%), (UNP, 2,322, 0.38%, 0.00%), (DIS, 4,315, 0.37%, 0.00%), (C, 5,141, 0.36%, 0.00%), (LMT, 1,056, 0.35%, 0.00%), (SCHW, 4,929, 0.35%, 0.00%), (SBUX, 5,242, 0.34%, 0.00%), (MMM, 2,727, 0.31%, 0.00%), (AMGN, 1,488, 0.31%, 0.00%), (AMAT, 2,581, 0.31%, 0.00%), (CVS, 5,548, 0.29%, 0.00%), (TJX, 2,847, 0.29%, 0.00%), (GILD, 3,450, 0.28%, 0.00%), (PFE, 15,690, 0.28%, 0.00%), (EMR, 2,856, 0.28%, 0.00%), (LOW, 1,432, 0.27%, 0.00%), (MO, 5,544, 0.27%, 0.00%), (DHR, 1,780, 0.27%, 0.00%), (INTC, 13,504, 0.25%, 0.00%), (ELV, 1,023, 0.23%, 0.00%), (CMCSA, 9,096, 0.22%, 0.00%), (MDLZ, 4,374, 0.20%, 0.00%), (BMY, 5,615, 0.19%, 0.00%), (UPS, 2,801, 0.18%, 0.00%), (PYPL, 3,306, 0.17%, 0.00%), (USB, 4,241, 0.15%, 0.00%), (CL, 2,433, 0.15%, 0.00%), (FDX, 861, 0.15%, 0.00%), (TGT, 1,178, 0.08%, 0.00%), (SC23471B, nan, nan%, 0.00%), (SC23473B, nan, nan%, 0.00%), (SP23472B, nan, nan%, 0.00%), (SP23475B, nan, nan%, 0.00%), (SP23474B, nan, nan%, 0.00%), (XP23475B, nan, nan%, 0.00%)</t>
  </si>
  <si>
    <t>(AVGO, 10,900, 3.25%, 0.00%), (META, 3,872, 2.85%, 0.00%), (BRK/B, 4,505, 2.19%, 0.00%), (GOOGL, 10,378, 2.13%, 0.00%), (CSCO, 27,352, 1.85%, 0.00%), (LIN, 3,870, 1.83%, 0.00%), (GOOG, 8,453, 1.75%, 0.00%), (TSLA, 5,181, 1.75%, 0.00%), (JPM, 5,704, 1.67%, 0.00%), (AMT, 7,851, 1.56%, 0.00%), (XOM, 13,807, 1.52%, 0.00%), (V, 4,247, 1.46%, 0.00%), (MA, 2,014, 1.17%, 0.00%), (CB, 4,333, 1.16%, 0.00%), (LLY, 1,626, 1.16%, 0.00%), (GE, 4,040, 1.08%, 0.00%), (WM, 4,853, 1.07%, 0.00%), (ORCL, 4,064, 0.95%, 0.00%), (NFLX, 759, 0.91%, 0.00%), (UNH, 3,024, 0.90%, 0.00%), (NEE, 12,467, 0.88%, 0.00%), (JNJ, 4,968, 0.85%, 0.00%), (CVX, 5,250, 0.82%, 0.00%), (PLTR, 5,183, 0.80%, 0.00%), (PG, 5,228, 0.80%, 0.00%), (COST, 844, 0.78%, 0.00%), (WMT, 8,271, 0.78%, 0.00%), (RTX, 4,968, 0.78%, 0.00%), (CAT, 1,802, 0.77%, 0.00%), (MCD, 2,470, 0.76%, 0.00%), (HD, 1,869, 0.75%, 0.00%), (ABBV, 3,647, 0.74%, 0.00%), (ABT, 5,700, 0.73%, 0.00%), (BAC, 13,525, 0.67%, 0.00%), (BA, 2,790, 0.64%, 0.00%), (KO, 9,452, 0.63%, 0.00%), (BKNG, 114, 0.63%, 0.00%), (AMD, 3,787, 0.62%, 0.00%), (PM, 3,791, 0.62%, 0.00%), (NKE, 8,075, 0.62%, 0.00%), (SO, 6,643, 0.60%, 0.00%), (CRM, 2,417, 0.60%, 0.00%), (GS, 771, 0.57%, 0.00%), (UBER, 6,010, 0.57%, 0.00%), (DUK, 4,683, 0.56%, 0.00%), (IBM, 2,338, 0.56%, 0.00%), (ISRG, 1,170, 0.54%, 0.00%), (WFC, 6,746, 0.54%, 0.00%), (MET, 6,722, 0.53%, 0.00%), (HON, 2,427, 0.53%, 0.00%), (ETN, 1,475, 0.51%, 0.00%), (PEP, 3,345, 0.48%, 0.00%), (NOW, 521, 0.47%, 0.00%), (INTU, 709, 0.46%, 0.00%), (DE, 950, 0.46%, 0.00%), (T, 16,096, 0.45%, 0.00%), (MS, 3,049, 0.45%, 0.00%), (AXP, 1,368, 0.44%, 0.00%), (MRK, 5,220, 0.43%, 0.00%), (TXN, 2,129, 0.43%, 0.00%), (SPGI, 780, 0.42%, 0.00%), (QCOM, 2,593, 0.41%, 0.00%), (VZ, 9,443, 0.41%, 0.00%), (BLK, 358, 0.40%, 0.00%), (ACN, 1,580, 0.40%, 0.00%), (COP, 4,064, 0.39%, 0.00%), (ADBE, 1,113, 0.39%, 0.00%), (MDT, 4,214, 0.38%, 0.00%), (TMO, 789, 0.38%, 0.00%), (UNP, 1,730, 0.38%, 0.00%), (DIS, 3,216, 0.37%, 0.00%), (C, 3,832, 0.36%, 0.00%), (LMT, 787, 0.35%, 0.00%), (SCHW, 3,674, 0.35%, 0.00%), (SBUX, 3,907, 0.34%, 0.00%), (MMM, 2,033, 0.31%, 0.00%), (AMGN, 1,109, 0.31%, 0.00%), (AMAT, 1,924, 0.31%, 0.00%), (CVS, 4,135, 0.29%, 0.00%), (TJX, 2,122, 0.28%, 0.00%), (GILD, 2,572, 0.28%, 0.00%), (PFE, 11,695, 0.28%, 0.00%), (EMR, 2,128, 0.28%, 0.00%), (LOW, 1,067, 0.27%, 0.00%), (MO, 4,132, 0.27%, 0.00%), (DHR, 1,327, 0.27%, 0.00%), (INTC, 10,065, 0.25%, 0.00%), (ELV, 762, 0.23%, 0.00%), (CMCSA, 6,780, 0.22%, 0.00%), (MDLZ, 3,260, 0.20%, 0.00%), (BMY, 4,185, 0.19%, 0.00%), (UPS, 2,087, 0.18%, 0.00%), (PYPL, 2,464, 0.17%, 0.00%), (USB, 3,161, 0.15%, 0.00%), (CL, 1,814, 0.15%, 0.00%), (FDX, 642, 0.15%, 0.00%), (TGT, 878, 0.08%, 0.00%), (SC22171B, nan, nan%, 0.00%), (SC22173B, nan, nan%, 0.00%), (SP22172B, nan, nan%, 0.00%), (SP22175B, nan, nan%, 0.00%), (SP22174B, nan, nan%, 0.00%), (XP22175B, nan, nan%, 0.00%)</t>
  </si>
  <si>
    <t>(AVGO, 4,121, 3.11%, 0.00%), (META, 1,464, 2.71%, 0.00%), (BRK/B, 1,703, 2.09%, 0.00%), (GOOGL, 3,923, 2.03%, 0.00%), (CSCO, 10,340, 1.77%, 0.00%), (LIN, 1,463, 1.74%, 0.00%), (GOOG, 3,196, 1.67%, 0.00%), (TSLA, 1,959, 1.67%, 0.00%), (JPM, 2,156, 1.60%, 0.00%), (AMT, 2,968, 1.49%, 0.00%), (XOM, 5,220, 1.45%, 0.00%), (V, 1,606, 1.39%, 0.00%), (MA, 762, 1.11%, 0.00%), (LLY, 615, 1.11%, 0.00%), (CB, 1,638, 1.11%, 0.00%), (GE, 1,527, 1.03%, 0.00%), (WM, 1,835, 1.02%, 0.00%), (ORCL, 1,536, 0.91%, 0.00%), (NFLX, 287, 0.87%, 0.00%), (UNH, 1,143, 0.85%, 0.00%), (NEE, 4,713, 0.84%, 0.00%), (JNJ, 1,878, 0.81%, 0.00%), (CVX, 1,985, 0.78%, 0.00%), (PLTR, 1,959, 0.76%, 0.00%), (PG, 1,976, 0.76%, 0.00%), (COST, 319, 0.74%, 0.00%), (WMT, 3,127, 0.74%, 0.00%), (RTX, 1,878, 0.74%, 0.00%), (CAT, 681, 0.73%, 0.00%), (MCD, 934, 0.72%, 0.00%), (HD, 707, 0.71%, 0.00%), (ABBV, 1,379, 0.71%, 0.00%), (ABT, 2,155, 0.70%, 0.00%), (BAC, 5,113, 0.63%, 0.00%), (BA, 1,055, 0.61%, 0.00%), (KO, 3,574, 0.60%, 0.00%), (BKNG, 43, 0.60%, 0.00%), (AMD, 1,432, 0.59%, 0.00%), (NKE, 3,053, 0.59%, 0.00%), (PM, 1,433, 0.59%, 0.00%), (SO, 2,511, 0.57%, 0.00%), (CRM, 914, 0.57%, 0.00%), (GS, 292, 0.54%, 0.00%), (UBER, 2,272, 0.54%, 0.00%), (DUK, 1,770, 0.54%, 0.00%), (IBM, 884, 0.53%, 0.00%), (ISRG, 442, 0.52%, 0.00%), (WFC, 2,550, 0.51%, 0.00%), (MET, 2,541, 0.51%, 0.00%), (HON, 918, 0.50%, 0.00%), (ETN, 558, 0.49%, 0.00%), (PEP, 1,265, 0.46%, 0.00%), (NOW, 197, 0.45%, 0.00%), (INTU, 268, 0.44%, 0.00%), (DE, 359, 0.44%, 0.00%), (T, 6,085, 0.43%, 0.00%), (MS, 1,153, 0.43%, 0.00%), (AXP, 517, 0.42%, 0.00%), (MRK, 1,974, 0.41%, 0.00%), (TXN, 805, 0.41%, 0.00%), (SPGI, 295, 0.40%, 0.00%), (QCOM, 980, 0.39%, 0.00%), (VZ, 3,570, 0.39%, 0.00%), (ACN, 597, 0.38%, 0.00%), (BLK, 135, 0.38%, 0.00%), (COP, 1,536, 0.37%, 0.00%), (ADBE, 421, 0.37%, 0.00%), (MDT, 1,593, 0.36%, 0.00%), (TMO, 298, 0.36%, 0.00%), (UNP, 654, 0.36%, 0.00%), (DIS, 1,216, 0.35%, 0.00%), (C, 1,449, 0.34%, 0.00%), (LMT, 298, 0.33%, 0.00%), (SCHW, 1,389, 0.33%, 0.00%), (SBUX, 1,477, 0.32%, 0.00%), (MMM, 768, 0.30%, 0.00%), (AMGN, 419, 0.30%, 0.00%), (AMAT, 727, 0.30%, 0.00%), (CVS, 1,563, 0.28%, 0.00%), (TJX, 802, 0.27%, 0.00%), (GILD, 972, 0.27%, 0.00%), (PFE, 4,421, 0.27%, 0.00%), (EMR, 805, 0.27%, 0.00%), (LOW, 404, 0.26%, 0.00%), (MO, 1,562, 0.26%, 0.00%), (DHR, 502, 0.25%, 0.00%), (INTC, 3,805, 0.23%, 0.00%), (ELV, 288, 0.22%, 0.00%), (CMCSA, 2,563, 0.21%, 0.00%), (MDLZ, 1,233, 0.19%, 0.00%), (BMY, 1,582, 0.18%, 0.00%), (UPS, 789, 0.17%, 0.00%), (PYPL, 931, 0.16%, 0.00%), (USB, 1,195, 0.14%, 0.00%), (CL, 686, 0.14%, 0.00%), (FDX, 243, 0.14%, 0.00%), (TGT, 332, 0.08%, 0.00%), (SC28181B, nan, nan%, 0.00%), (SC28183B, nan, nan%, 0.00%), (SP28182B, nan, nan%, 0.00%), (SP28185B, nan, nan%, 0.00%), (SP28184B, nan, nan%, 0.00%), (XP28185B, nan, nan%, 0.00%)</t>
  </si>
  <si>
    <t>(AVGO, 4,478, 3.14%, 0.00%), (META, 1,591, 2.74%, 0.00%), (BRK/B, 1,851, 2.11%, 0.00%), (GOOGL, 4,264, 2.06%, 0.00%), (CSCO, 11,237, 1.78%, 0.00%), (LIN, 1,590, 1.76%, 0.00%), (GOOG, 3,473, 1.68%, 0.00%), (TSLA, 2,129, 1.68%, 0.00%), (JPM, 2,343, 1.61%, 0.00%), (AMT, 3,225, 1.50%, 0.00%), (XOM, 5,672, 1.47%, 0.00%), (V, 1,745, 1.40%, 0.00%), (MA, 828, 1.12%, 0.00%), (LLY, 668, 1.12%, 0.00%), (CB, 1,780, 1.12%, 0.00%), (GE, 1,660, 1.04%, 0.00%), (WM, 1,994, 1.03%, 0.00%), (ORCL, 1,670, 0.92%, 0.00%), (NFLX, 312, 0.88%, 0.00%), (UNH, 1,242, 0.86%, 0.00%), (NEE, 5,122, 0.85%, 0.00%), (JNJ, 2,041, 0.82%, 0.00%), (CVX, 2,157, 0.79%, 0.00%), (PLTR, 2,129, 0.77%, 0.00%), (PG, 2,148, 0.77%, 0.00%), (COST, 347, 0.75%, 0.00%), (RTX, 2,041, 0.75%, 0.00%), (WMT, 3,398, 0.75%, 0.00%), (CAT, 740, 0.74%, 0.00%), (MCD, 1,015, 0.73%, 0.00%), (HD, 768, 0.72%, 0.00%), (ABBV, 1,498, 0.71%, 0.00%), (ABT, 2,342, 0.71%, 0.00%), (BAC, 5,556, 0.64%, 0.00%), (BA, 1,146, 0.62%, 0.00%), (BKNG, 47, 0.61%, 0.00%), (KO, 3,883, 0.61%, 0.00%), (AMD, 1,556, 0.60%, 0.00%), (NKE, 3,318, 0.59%, 0.00%), (PM, 1,557, 0.59%, 0.00%), (SO, 2,729, 0.58%, 0.00%), (CRM, 993, 0.58%, 0.00%), (GS, 317, 0.54%, 0.00%), (UBER, 2,469, 0.54%, 0.00%), (IBM, 961, 0.54%, 0.00%), (DUK, 1,924, 0.54%, 0.00%), (ISRG, 481, 0.52%, 0.00%), (WFC, 2,771, 0.52%, 0.00%), (MET, 2,762, 0.51%, 0.00%), (HON, 997, 0.51%, 0.00%), (ETN, 606, 0.49%, 0.00%), (PEP, 1,374, 0.46%, 0.00%), (NOW, 214, 0.46%, 0.00%), (INTU, 291, 0.44%, 0.00%), (DE, 390, 0.44%, 0.00%), (T, 6,613, 0.44%, 0.00%), (MS, 1,252, 0.43%, 0.00%), (AXP, 562, 0.42%, 0.00%), (TXN, 875, 0.41%, 0.00%), (MRK, 2,145, 0.41%, 0.00%), (SPGI, 321, 0.40%, 0.00%), (QCOM, 1,065, 0.39%, 0.00%), (VZ, 3,880, 0.39%, 0.00%), (ACN, 649, 0.38%, 0.00%), (BLK, 147, 0.38%, 0.00%), (COP, 1,669, 0.38%, 0.00%), (ADBE, 457, 0.37%, 0.00%), (MDT, 1,731, 0.37%, 0.00%), (TMO, 324, 0.36%, 0.00%), (UNP, 711, 0.36%, 0.00%), (DIS, 1,321, 0.36%, 0.00%), (C, 1,574, 0.35%, 0.00%), (LMT, 324, 0.34%, 0.00%), (SCHW, 1,509, 0.33%, 0.00%), (SBUX, 1,605, 0.32%, 0.00%), (MMM, 835, 0.30%, 0.00%), (AMGN, 456, 0.30%, 0.00%), (AMAT, 790, 0.30%, 0.00%), (CVS, 1,699, 0.28%, 0.00%), (TJX, 872, 0.27%, 0.00%), (GILD, 1,057, 0.27%, 0.00%), (PFE, 4,805, 0.27%, 0.00%), (EMR, 874, 0.27%, 0.00%), (LOW, 439, 0.26%, 0.00%), (MO, 1,698, 0.26%, 0.00%), (DHR, 545, 0.26%, 0.00%), (INTC, 4,135, 0.24%, 0.00%), (ELV, 313, 0.22%, 0.00%), (CMCSA, 2,785, 0.21%, 0.00%), (MDLZ, 1,339, 0.19%, 0.00%), (BMY, 1,720, 0.19%, 0.00%), (UPS, 858, 0.17%, 0.00%), (PYPL, 1,012, 0.16%, 0.00%), (USB, 1,299, 0.14%, 0.00%), (CL, 745, 0.14%, 0.00%), (FDX, 264, 0.14%, 0.00%), (TGT, 361, 0.08%, 0.00%), (SC13481B, nan, nan%, 0.00%), (SC13483B, nan, nan%, 0.00%), (SP13482B, nan, nan%, 0.00%), (SP13485B, nan, nan%, 0.00%), (SP13484B, nan, nan%, 0.00%), (XP13485B, nan, nan%, 0.00%)</t>
  </si>
  <si>
    <t>(AVGO, 8,423, 3.25%, 0.00%), (META, 2,992, 2.84%, 0.00%), (BRK/B, 3,481, 2.19%, 0.00%), (GOOGL, 8,020, 2.13%, 0.00%), (CSCO, 21,136, 1.85%, 0.00%), (LIN, 2,990, 1.82%, 0.00%), (GOOG, 6,532, 1.74%, 0.00%), (TSLA, 4,004, 1.74%, 0.00%), (JPM, 4,408, 1.67%, 0.00%), (AMT, 6,067, 1.55%, 0.00%), (XOM, 10,670, 1.52%, 0.00%), (V, 3,282, 1.45%, 0.00%), (MA, 1,557, 1.16%, 0.00%), (CB, 3,348, 1.16%, 0.00%), (LLY, 1,257, 1.16%, 0.00%), (GE, 3,122, 1.08%, 0.00%), (WM, 3,750, 1.07%, 0.00%), (ORCL, 3,141, 0.95%, 0.00%), (NFLX, 587, 0.91%, 0.00%), (UNH, 2,337, 0.89%, 0.00%), (NEE, 9,634, 0.88%, 0.00%), (JNJ, 3,839, 0.85%, 0.00%), (CVX, 4,057, 0.82%, 0.00%), (PLTR, 4,005, 0.80%, 0.00%), (PG, 4,040, 0.80%, 0.00%), (COST, 652, 0.78%, 0.00%), (RTX, 3,839, 0.78%, 0.00%), (WMT, 6,391, 0.78%, 0.00%), (CAT, 1,393, 0.77%, 0.00%), (MCD, 1,909, 0.75%, 0.00%), (HD, 1,444, 0.74%, 0.00%), (ABBV, 2,818, 0.74%, 0.00%), (ABT, 4,404, 0.73%, 0.00%), (BAC, 10,452, 0.66%, 0.00%), (BA, 2,156, 0.64%, 0.00%), (KO, 7,305, 0.63%, 0.00%), (BKNG, 88, 0.63%, 0.00%), (AMD, 2,927, 0.62%, 0.00%), (NKE, 6,240, 0.61%, 0.00%), (PM, 2,929, 0.61%, 0.00%), (SO, 5,133, 0.60%, 0.00%), (CRM, 1,868, 0.60%, 0.00%), (GS, 596, 0.57%, 0.00%), (UBER, 4,644, 0.56%, 0.00%), (DUK, 3,619, 0.56%, 0.00%), (IBM, 1,807, 0.56%, 0.00%), (ISRG, 904, 0.54%, 0.00%), (WFC, 5,213, 0.54%, 0.00%), (MET, 5,195, 0.53%, 0.00%), (HON, 1,876, 0.52%, 0.00%), (ETN, 1,140, 0.51%, 0.00%), (PEP, 2,585, 0.48%, 0.00%), (NOW, 403, 0.47%, 0.00%), (INTU, 548, 0.46%, 0.00%), (DE, 734, 0.46%, 0.00%), (T, 12,439, 0.45%, 0.00%), (MS, 2,356, 0.45%, 0.00%), (AXP, 1,057, 0.44%, 0.00%), (MRK, 4,034, 0.42%, 0.00%), (TXN, 1,645, 0.42%, 0.00%), (SPGI, 603, 0.42%, 0.00%), (QCOM, 2,004, 0.41%, 0.00%), (VZ, 7,297, 0.41%, 0.00%), (ACN, 1,221, 0.40%, 0.00%), (BLK, 276, 0.39%, 0.00%), (COP, 3,140, 0.39%, 0.00%), (ADBE, 860, 0.38%, 0.00%), (MDT, 3,257, 0.38%, 0.00%), (TMO, 610, 0.38%, 0.00%), (UNP, 1,337, 0.38%, 0.00%), (DIS, 2,486, 0.37%, 0.00%), (C, 2,961, 0.36%, 0.00%), (LMT, 609, 0.35%, 0.00%), (SCHW, 2,839, 0.35%, 0.00%), (SBUX, 3,019, 0.34%, 0.00%), (MMM, 1,571, 0.31%, 0.00%), (AMAT, 1,487, 0.31%, 0.00%), (AMGN, 857, 0.31%, 0.00%), (CVS, 3,196, 0.29%, 0.00%), (TJX, 1,640, 0.28%, 0.00%), (GILD, 1,987, 0.28%, 0.00%), (PFE, 9,037, 0.28%, 0.00%), (EMR, 1,645, 0.28%, 0.00%), (LOW, 825, 0.27%, 0.00%), (MO, 3,193, 0.27%, 0.00%), (DHR, 1,025, 0.27%, 0.00%), (INTC, 7,778, 0.24%, 0.00%), (ELV, 589, 0.23%, 0.00%), (CMCSA, 5,239, 0.22%, 0.00%), (MDLZ, 2,519, 0.20%, 0.00%), (BMY, 3,234, 0.19%, 0.00%), (UPS, 1,613, 0.18%, 0.00%), (PYPL, 1,904, 0.17%, 0.00%), (USB, 2,443, 0.15%, 0.00%), (CL, 1,401, 0.15%, 0.00%), (FDX, 496, 0.15%, 0.00%), (TGT, 678, 0.08%, 0.00%), (SC26771B, nan, nan%, 0.00%), (SC26773B, nan, nan%, 0.00%), (SP26772B, nan, nan%, 0.00%), (SP26775B, nan, nan%, 0.00%), (SP26774B, nan, nan%, 0.00%), (XP26775B, nan, nan%, 0.00%)</t>
  </si>
  <si>
    <t>EBAY, BK, GOOGL, META, MLI, JPM, MSFT, EA, BLK, RJF, BKNG, PHM</t>
  </si>
  <si>
    <t>(AXP, 3,217, 1.93%, 0.00%), (EWBC, 9,857, 1.87%, 0.01%), (HIG, 7,635, 1.82%, 0.00%), (V, 2,851, 1.81%, 0.00%), (TRV, 3,628, 1.78%, 0.00%), (ROST, 6,353, 1.69%, 0.00%), (NVDA, 5,328, 1.68%, 0.00%), (ADP, 3,047, 1.67%, 0.00%), (SNA, 2,843, 1.67%, 0.01%), (SYF, 11,908, 1.64%, 0.00%), (PCAR, 9,017, 1.63%, 0.00%), (LEN, 6,731, 1.62%, 0.00%), (UNM, 12,828, 1.62%, 0.01%), (CB, 3,217, 1.60%, 0.00%), (KLAC, 1,009, 1.59%, 0.00%), (AMAT, 5,463, 1.59%, 0.00%), (CRM, 3,267, 1.51%, 0.00%), (CTSH, 11,525, 1.50%, 0.00%), (PAYC, 3,488, 1.43%, 0.01%), (BKR, 16,960, 1.39%, 0.00%), (WSM, 4,032, 1.37%, 0.00%), (DHI, 4,473, 1.37%, 0.00%), (QCOM, 4,600, 1.34%, 0.00%), (ACN, 2,717, 1.28%, 0.00%), (ELV, 2,184, 1.26%, 0.00%), (AAPL, 2,970, 1.25%, 0.00%), (AFL, 6,299, 1.22%, 0.00%), (MPWR, 728, 1.10%, 0.00%), (ODFL, 3,907, 1.07%, 0.00%), (CSCO, 8,532, 1.06%, 0.00%), (LRCX, 5,875, 1.06%, 0.00%), (GE, 2,059, 1.02%, 0.00%), (STT, 4,729, 0.98%, 0.00%), (PNC, 2,532, 0.95%, 0.00%), (MTB, 2,516, 0.92%, 0.00%), (AMP, 921, 0.86%, 0.00%), (CF, 5,405, 0.85%, 0.00%), (XOM, 3,959, 0.82%, 0.00%), (ABT, 3,404, 0.82%, 0.00%), (COST, 473, 0.81%, 0.00%), (EOG, 3,562, 0.80%, 0.00%), (EG, 1,198, 0.74%, 0.00%), (CSL, 1,060, 0.74%, 0.00%), (GEV, 482, 0.53%, 0.00%), (NTRS, 2,195, 0.52%, 0.00%), (MA, 458, 0.49%, 0.00%), (CRBG, 7,541, 0.47%, 0.00%), (JNJ, 1,470, 0.47%, 0.00%), (ACM, 2,077, 0.47%, 0.00%), (LNC, 6,003, 0.47%, 0.00%), (JXN, 2,478, 0.44%, 0.00%), (WTFC, 1,768, 0.44%, 0.00%), (MTG, 8,625, 0.43%, 0.00%), (CINF, 1,527, 0.42%, 0.00%), (DOV, 1,283, 0.41%, 0.00%), (ADM, 3,655, 0.41%, 0.00%), (EQH, 4,255, 0.41%, 0.00%), (ALL, 1,087, 0.40%, 0.00%), (SLM, 7,048, 0.40%, 0.00%), (NUE, 1,467, 0.39%, 0.00%), (MCK, 317, 0.39%, 0.00%), (NKE, 2,676, 0.37%, 0.00%), (PGR, 801, 0.36%, 0.00%), (FANG, 1,143, 0.31%, 0.00%), (SC13N61B, nan, nan%, 0.00%), (SC13N63B, nan, nan%, 0.00%), (SP13N62B, nan, nan%, 0.00%), (SP13N65B, nan, nan%, 0.00%), (SP13N64B, nan, nan%, 0.00%), (SPX Index, nan, nan%, 0.00%), (XP13N65B, nan, nan%, 0.00%)</t>
  </si>
  <si>
    <t>(AVGO, 3,821, 3.27%, 0.00%), (META, 1,357, 2.89%, 0.00%), (BRK/B, 1,579, 2.27%, 0.00%), (GOOGL, 3,639, 2.21%, 0.00%), (CSCO, 9,589, 1.90%, 0.00%), (LIN, 1,357, 1.87%, 0.00%), (GOOG, 2,963, 1.81%, 0.00%), (TSLA, 1,817, 1.75%, 0.00%), (JPM, 2,000, 1.73%, 0.00%), (AMT, 2,752, 1.62%, 0.00%), (XOM, 4,840, 1.58%, 0.00%), (V, 1,489, 1.51%, 0.00%), (MA, 706, 1.21%, 0.00%), (CB, 1,519, 1.20%, 0.00%), (LLY, 570, 1.19%, 0.00%), (GE, 1,417, 1.11%, 0.00%), (WM, 1,702, 1.11%, 0.00%), (UNH, 1,061, 0.95%, 0.00%), (ORCL, 1,425, 0.93%, 0.00%), (NFLX, 266, 0.92%, 0.00%), (NEE, 4,371, 0.91%, 0.00%), (JNJ, 1,742, 0.89%, 0.00%), (CVX, 1,841, 0.85%, 0.00%), (PG, 1,833, 0.83%, 0.00%), (PLTR, 1,817, 0.82%, 0.00%), (WMT, 2,899, 0.81%, 0.00%), (COST, 296, 0.80%, 0.00%), (RTX, 1,742, 0.79%, 0.00%), (MCD, 867, 0.78%, 0.00%), (ABBV, 1,279, 0.77%, 0.00%), (HD, 656, 0.77%, 0.00%), (ABT, 1,998, 0.76%, 0.00%), (CAT, 632, 0.76%, 0.00%), (BAC, 4,742, 0.69%, 0.00%), (KO, 3,314, 0.66%, 0.00%), (BA, 978, 0.66%, 0.00%), (BKNG, 40, 0.64%, 0.00%), (PM, 1,329, 0.64%, 0.00%), (NKE, 2,831, 0.63%, 0.00%), (AMD, 1,328, 0.62%, 0.00%), (CRM, 848, 0.62%, 0.00%), (SO, 2,329, 0.62%, 0.00%), (DUK, 1,642, 0.58%, 0.00%), (IBM, 820, 0.57%, 0.00%), (UBER, 2,107, 0.57%, 0.00%), (ISRG, 410, 0.56%, 0.00%), (WFC, 2,365, 0.55%, 0.00%), (MET, 2,357, 0.55%, 0.00%), (HON, 851, 0.54%, 0.00%), (ETN, 518, 0.52%, 0.00%), (PEP, 1,173, 0.50%, 0.00%), (NOW, 182, 0.48%, 0.00%), (INTU, 248, 0.48%, 0.00%), (T, 5,643, 0.47%, 0.00%), (MS, 1,069, 0.46%, 0.00%), (DE, 333, 0.46%, 0.00%), (AXP, 479, 0.45%, 0.00%), (MRK, 1,831, 0.44%, 0.00%), (TXN, 746, 0.43%, 0.00%), (SPGI, 274, 0.43%, 0.00%), (VZ, 3,310, 0.42%, 0.00%), (QCOM, 909, 0.42%, 0.00%), (ACN, 554, 0.41%, 0.00%), (BLK, 125, 0.41%, 0.00%), (COP, 1,425, 0.40%, 0.00%), (ADBE, 390, 0.40%, 0.00%), (MDT, 1,478, 0.39%, 0.00%), (TMO, 277, 0.39%, 0.00%), (UNP, 606, 0.39%, 0.00%), (DIS, 1,128, 0.38%, 0.00%), (C, 1,344, 0.37%, 0.00%), (GS, 170, 0.36%, 0.00%), (LMT, 276, 0.36%, 0.00%), (SCHW, 1,288, 0.35%, 0.00%), (SBUX, 1,370, 0.35%, 0.00%), (AMGN, 389, 0.32%, 0.00%), (MMM, 713, 0.32%, 0.00%), (AMAT, 674, 0.31%, 0.00%), (CVS, 1,450, 0.30%, 0.00%), (GILD, 902, 0.29%, 0.00%), (PFE, 4,100, 0.29%, 0.00%), (TJX, 744, 0.29%, 0.00%), (EMR, 746, 0.28%, 0.00%), (MO, 1,449, 0.28%, 0.00%), (LOW, 375, 0.28%, 0.00%), (DHR, 465, 0.28%, 0.00%), (INTC, 3,529, 0.25%, 0.00%), (ELV, 267, 0.25%, 0.00%), (CMCSA, 2,377, 0.23%, 0.00%), (MDLZ, 1,143, 0.20%, 0.00%), (BMY, 1,468, 0.20%, 0.00%), (UPS, 731, 0.18%, 0.00%), (PYPL, 864, 0.17%, 0.00%), (USB, 1,108, 0.16%, 0.00%), (CL, 636, 0.15%, 0.00%), (FDX, 225, 0.15%, 0.00%), (TGT, 308, 0.09%, 0.00%), (SC31761B, nan, nan%, 0.00%), (SC31763B, nan, nan%, 0.00%), (SP31762B, nan, nan%, 0.00%), (SP31765B, nan, nan%, 0.00%), (SP31764B, nan, nan%, 0.00%), (XP31765B, nan, nan%, 0.00%)</t>
  </si>
  <si>
    <t>(AVGO, 2,518, 3.18%, 0.00%), (META, 895, 2.81%, 0.00%), (BRK/B, 1,041, 2.21%, 0.00%), (GOOGL, 2,398, 2.15%, 0.00%), (CSCO, 6,320, 1.85%, 0.00%), (LIN, 894, 1.82%, 0.00%), (GOOG, 1,954, 1.76%, 0.00%), (TSLA, 1,198, 1.70%, 0.00%), (JPM, 1,318, 1.68%, 0.00%), (AMT, 1,814, 1.57%, 0.00%), (XOM, 3,191, 1.54%, 0.00%), (V, 982, 1.47%, 0.00%), (MA, 465, 1.18%, 0.00%), (CB, 1,001, 1.17%, 0.00%), (LLY, 376, 1.16%, 0.00%), (GE, 933, 1.08%, 0.00%), (WM, 1,122, 1.08%, 0.00%), (UNH, 699, 0.92%, 0.00%), (ORCL, 939, 0.90%, 0.00%), (NFLX, 175, 0.90%, 0.00%), (NEE, 2,881, 0.88%, 0.00%), (JNJ, 1,148, 0.86%, 0.00%), (CVX, 1,213, 0.83%, 0.00%), (PG, 1,208, 0.81%, 0.00%), (PLTR, 1,198, 0.80%, 0.00%), (WMT, 1,911, 0.79%, 0.00%), (COST, 195, 0.78%, 0.00%), (RTX, 1,148, 0.77%, 0.00%), (MCD, 571, 0.76%, 0.00%), (ABBV, 843, 0.75%, 0.00%), (HD, 432, 0.75%, 0.00%), (ABT, 1,317, 0.74%, 0.00%), (CAT, 416, 0.74%, 0.00%), (BAC, 3,126, 0.67%, 0.00%), (BKNG, 27, 0.64%, 0.00%), (KO, 2,184, 0.64%, 0.00%), (BA, 645, 0.64%, 0.00%), (PM, 876, 0.62%, 0.00%), (NKE, 1,866, 0.61%, 0.00%), (AMD, 875, 0.61%, 0.00%), (SO, 1,535, 0.60%, 0.00%), (CRM, 559, 0.60%, 0.00%), (GS, 178, 0.56%, 0.00%), (DUK, 1,082, 0.56%, 0.00%), (IBM, 540, 0.56%, 0.00%), (UBER, 1,389, 0.55%, 0.00%), (ISRG, 270, 0.54%, 0.00%), (WFC, 1,558, 0.54%, 0.00%), (MET, 1,553, 0.54%, 0.00%), (HON, 561, 0.52%, 0.00%), (ETN, 341, 0.51%, 0.00%), (PEP, 773, 0.49%, 0.00%), (NOW, 120, 0.47%, 0.00%), (INTU, 164, 0.47%, 0.00%), (T, 3,719, 0.46%, 0.00%), (MS, 705, 0.45%, 0.00%), (DE, 220, 0.45%, 0.00%), (AXP, 316, 0.44%, 0.00%), (MRK, 1,206, 0.43%, 0.00%), (TXN, 492, 0.42%, 0.00%), (SPGI, 180, 0.42%, 0.00%), (VZ, 2,182, 0.41%, 0.00%), (QCOM, 599, 0.41%, 0.00%), (ACN, 365, 0.40%, 0.00%), (BLK, 83, 0.40%, 0.00%), (COP, 939, 0.39%, 0.00%), (ADBE, 257, 0.39%, 0.00%), (MDT, 974, 0.38%, 0.00%), (TMO, 182, 0.38%, 0.00%), (UNP, 400, 0.38%, 0.00%), (DIS, 743, 0.37%, 0.00%), (C, 885, 0.36%, 0.00%), (LMT, 182, 0.35%, 0.00%), (SCHW, 849, 0.35%, 0.00%), (SBUX, 903, 0.34%, 0.00%), (AMGN, 256, 0.31%, 0.00%), (MMM, 470, 0.31%, 0.00%), (AMAT, 445, 0.30%, 0.00%), (CVS, 955, 0.29%, 0.00%), (GILD, 594, 0.29%, 0.00%), (TJX, 491, 0.28%, 0.00%), (PFE, 2,703, 0.28%, 0.00%), (EMR, 492, 0.28%, 0.00%), (MO, 955, 0.27%, 0.00%), (LOW, 246, 0.27%, 0.00%), (DHR, 307, 0.27%, 0.00%), (INTC, 2,326, 0.24%, 0.00%), (ELV, 176, 0.24%, 0.00%), (CMCSA, 1,566, 0.23%, 0.00%), (MDLZ, 753, 0.20%, 0.00%), (BMY, 967, 0.19%, 0.00%), (UPS, 482, 0.18%, 0.00%), (PYPL, 570, 0.17%, 0.00%), (USB, 730, 0.15%, 0.00%), (CL, 419, 0.15%, 0.00%), (FDX, 148, 0.15%, 0.00%), (TGT, 203, 0.08%, 0.00%), (SC9061B, nan, nan%, 0.00%), (SC9063B, nan, nan%, 0.00%), (SP9062B, nan, nan%, 0.00%), (SP9065B, nan, nan%, 0.00%), (SP9064B, nan, nan%, 0.00%), (XP9065B, nan, nan%, 0.00%)</t>
  </si>
  <si>
    <t>(META, 858, 2.56%, 0.00%), (BRK/B, 997, 2.01%, 0.00%), (GOOGL, 2,299, 1.96%, 0.00%), (CSCO, 6,057, 1.69%, 0.00%), (LIN, 857, 1.66%, 0.00%), (GOOG, 1,872, 1.61%, 0.00%), (TSLA, 1,147, 1.55%, 0.00%), (JPM, 1,263, 1.53%, 0.00%), (AMT, 1,738, 1.43%, 0.00%), (XOM, 3,058, 1.40%, 0.00%), (V, 941, 1.34%, 0.00%), (MA, 446, 1.07%, 0.00%), (CB, 960, 1.07%, 0.00%), (LLY, 360, 1.06%, 0.00%), (GE, 894, 0.99%, 0.00%), (WM, 1,075, 0.98%, 0.00%), (UNH, 670, 0.84%, 0.00%), (ORCL, 900, 0.82%, 0.00%), (NFLX, 168, 0.82%, 0.00%), (NEE, 2,761, 0.80%, 0.00%), (JNJ, 1,100, 0.79%, 0.00%), (CVX, 1,163, 0.75%, 0.00%), (PG, 1,157, 0.73%, 0.00%), (PLTR, 1,147, 0.73%, 0.00%), (WMT, 1,831, 0.72%, 0.00%), (COST, 187, 0.71%, 0.00%), (RTX, 1,100, 0.70%, 0.00%), (MCD, 548, 0.69%, 0.00%), (ABBV, 807, 0.69%, 0.00%), (HD, 414, 0.68%, 0.00%), (ABT, 1,262, 0.68%, 0.00%), (CAT, 399, 0.68%, 0.00%), (BAC, 2,996, 0.61%, 0.00%), (BKNG, 26, 0.59%, 0.00%), (BA, 618, 0.58%, 0.00%), (KO, 2,093, 0.58%, 0.00%), (PM, 839, 0.57%, 0.00%), (NKE, 1,789, 0.56%, 0.00%), (CRM, 536, 0.55%, 0.00%), (AMD, 839, 0.55%, 0.00%), (SO, 1,472, 0.55%, 0.00%), (GS, 171, 0.52%, 0.00%), (DUK, 1,037, 0.51%, 0.00%), (IBM, 518, 0.51%, 0.00%), (UBER, 1,331, 0.50%, 0.00%), (ISRG, 259, 0.50%, 0.00%), (WFC, 1,494, 0.49%, 0.00%), (MET, 1,488, 0.49%, 0.00%), (HON, 538, 0.48%, 0.00%), (ETN, 327, 0.46%, 0.00%), (PEP, 741, 0.45%, 0.00%), (NOW, 116, 0.43%, 0.00%), (INTU, 157, 0.42%, 0.00%), (T, 3,565, 0.42%, 0.00%), (MS, 675, 0.41%, 0.00%), (DE, 211, 0.41%, 0.00%), (AXP, 302, 0.40%, 0.00%), (MRK, 1,156, 0.39%, 0.00%), (TXN, 471, 0.39%, 0.00%), (SPGI, 173, 0.38%, 0.00%), (VZ, 2,091, 0.37%, 0.00%), (QCOM, 574, 0.37%, 0.00%), (ACN, 350, 0.37%, 0.00%), (BLK, 79, 0.36%, 0.00%), (COP, 900, 0.36%, 0.00%), (ADBE, 246, 0.35%, 0.00%), (MDT, 933, 0.35%, 0.00%), (TMO, 175, 0.35%, 0.00%), (UNP, 383, 0.35%, 0.00%), (DIS, 713, 0.34%, 0.00%), (C, 849, 0.33%, 0.00%), (LMT, 174, 0.32%, 0.00%), (SCHW, 813, 0.31%, 0.00%), (SBUX, 866, 0.31%, 0.00%), (AMGN, 246, 0.29%, 0.00%), (MMM, 450, 0.28%, 0.00%), (AMAT, 426, 0.28%, 0.00%), (CVS, 916, 0.27%, 0.00%), (GILD, 569, 0.26%, 0.00%), (TJX, 470, 0.26%, 0.00%), (PFE, 2,590, 0.26%, 0.00%), (EMR, 471, 0.25%, 0.00%), (MO, 915, 0.25%, 0.00%), (LOW, 236, 0.25%, 0.00%), (DHR, 294, 0.24%, 0.00%), (INTC, 2,229, 0.22%, 0.00%), (ELV, 169, 0.22%, 0.00%), (CMCSA, 1,501, 0.21%, 0.00%), (MDLZ, 722, 0.18%, 0.00%), (BMY, 927, 0.18%, 0.00%), (UPS, 463, 0.16%, 0.00%), (PYPL, 546, 0.15%, 0.00%), (USB, 700, 0.14%, 0.00%), (CL, 401, 0.14%, 0.00%), (FDX, 142, 0.13%, 0.00%), (TGT, 195, 0.08%, 0.00%), (SC28781H, nan, nan%, 0.00%), (SC28783H, nan, nan%, 0.00%), (SP28782H, nan, nan%, 0.00%), (SP28785B, nan, nan%, 0.00%), (SP28784H, nan, nan%, 0.00%), (XP28785B, nan, nan%, 0.00%)</t>
  </si>
  <si>
    <t>(AVGO, 1,600, 3.09%, 0.00%), (META, 568, 2.73%, 0.00%), (BRK/B, 661, 2.14%, 0.00%), (GOOGL, 1,523, 2.09%, 0.00%), (CSCO, 4,015, 1.80%, 0.00%), (LIN, 568, 1.77%, 0.00%), (GOOG, 1,241, 1.71%, 0.00%), (TSLA, 761, 1.65%, 0.00%), (JPM, 837, 1.63%, 0.00%), (AMT, 1,153, 1.53%, 0.00%), (XOM, 2,027, 1.50%, 0.00%), (V, 624, 1.43%, 0.00%), (MA, 296, 1.15%, 0.00%), (CB, 636, 1.14%, 0.00%), (LLY, 238, 1.12%, 0.00%), (GE, 593, 1.06%, 0.00%), (WM, 713, 1.05%, 0.00%), (UNH, 444, 0.89%, 0.00%), (NFLX, 112, 0.88%, 0.00%), (ORCL, 597, 0.88%, 0.00%), (NEE, 1,831, 0.86%, 0.00%), (JNJ, 729, 0.84%, 0.00%), (CVX, 771, 0.81%, 0.00%), (PG, 767, 0.78%, 0.00%), (PLTR, 761, 0.78%, 0.00%), (WMT, 1,214, 0.77%, 0.00%), (COST, 124, 0.76%, 0.00%), (RTX, 729, 0.75%, 0.00%), (MCD, 363, 0.74%, 0.00%), (ABBV, 536, 0.73%, 0.00%), (HD, 275, 0.73%, 0.00%), (CAT, 265, 0.72%, 0.00%), (ABT, 837, 0.72%, 0.00%), (BAC, 1,986, 0.65%, 0.00%), (KO, 1,388, 0.62%, 0.00%), (BA, 409, 0.62%, 0.00%), (BKNG, 17, 0.62%, 0.00%), (PM, 557, 0.61%, 0.00%), (NKE, 1,185, 0.60%, 0.00%), (AMD, 556, 0.59%, 0.00%), (SO, 976, 0.59%, 0.00%), (CRM, 355, 0.59%, 0.00%), (GS, 114, 0.55%, 0.00%), (DUK, 688, 0.55%, 0.00%), (IBM, 343, 0.54%, 0.00%), (UBER, 883, 0.54%, 0.00%), (ISRG, 172, 0.53%, 0.00%), (WFC, 990, 0.53%, 0.00%), (MET, 986, 0.52%, 0.00%), (HON, 356, 0.51%, 0.00%), (ETN, 216, 0.49%, 0.00%), (PEP, 491, 0.48%, 0.00%), (NOW, 76, 0.45%, 0.00%), (INTU, 104, 0.45%, 0.00%), (T, 2,363, 0.45%, 0.00%), (MS, 448, 0.44%, 0.00%), (AXP, 201, 0.43%, 0.00%), (DE, 139, 0.43%, 0.00%), (MRK, 766, 0.42%, 0.00%), (TXN, 312, 0.41%, 0.00%), (SPGI, 115, 0.41%, 0.00%), (VZ, 1,387, 0.40%, 0.00%), (QCOM, 381, 0.40%, 0.00%), (ACN, 232, 0.39%, 0.00%), (COP, 597, 0.38%, 0.00%), (BLK, 52, 0.38%, 0.00%), (ADBE, 163, 0.38%, 0.00%), (MDT, 619, 0.37%, 0.00%), (TMO, 116, 0.37%, 0.00%), (UNP, 254, 0.37%, 0.00%), (DIS, 472, 0.36%, 0.00%), (C, 562, 0.35%, 0.00%), (LMT, 116, 0.34%, 0.00%), (SCHW, 540, 0.34%, 0.00%), (SBUX, 573, 0.33%, 0.00%), (AMGN, 163, 0.31%, 0.00%), (MMM, 299, 0.30%, 0.00%), (AMAT, 283, 0.30%, 0.00%), (CVS, 607, 0.29%, 0.00%), (GILD, 378, 0.28%, 0.00%), (PFE, 1,717, 0.28%, 0.00%), (TJX, 311, 0.28%, 0.00%), (EMR, 312, 0.27%, 0.00%), (MO, 607, 0.27%, 0.00%), (LOW, 157, 0.26%, 0.00%), (DHR, 195, 0.26%, 0.00%), (INTC, 1,478, 0.23%, 0.00%), (ELV, 112, 0.23%, 0.00%), (CMCSA, 995, 0.22%, 0.00%), (MDLZ, 478, 0.19%, 0.00%), (BMY, 615, 0.19%, 0.00%), (UPS, 306, 0.17%, 0.00%), (PYPL, 362, 0.17%,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</si>
  <si>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(META, 5,916, 2.61%, 0.00%), (BRK/B, 6,883, 2.05%, 0.00%), (GOOGL, 15,857, 1.99%, 0.00%), (CSCO, 41,792, 1.72%, 0.00%), (LIN, 5,913, 1.69%, 0.00%), (GOOG, 12,916, 1.63%, 0.00%), (TSLA, 7,916, 1.58%, 0.00%), (JPM, 8,716, 1.56%, 0.00%), (AMT, 11,996, 1.46%, 0.00%), (XOM, 21,097, 1.43%, 0.00%), (V, 6,489, 1.36%, 0.00%), (MA, 3,078, 1.09%, 0.00%), (CB, 6,620, 1.09%, 0.00%), (LLY, 2,484, 1.08%, 0.00%), (GE, 6,172, 1.01%, 0.00%), (WM, 7,415, 1.00%, 0.00%), (UNH, 4,621, 0.85%, 0.00%), (ORCL, 6,210, 0.84%, 0.00%), (NFLX, 1,160, 0.84%, 0.00%), (NEE, 19,049, 0.82%, 0.00%), (JNJ, 7,592, 0.80%, 0.00%), (CVX, 8,023, 0.77%, 0.00%), (PG, 7,988, 0.75%, 0.00%), (PLTR, 7,920, 0.74%, 0.00%), (WMT, 12,638, 0.73%, 0.00%), (COST, 1,290, 0.73%, 0.00%), (RTX, 7,591, 0.72%, 0.00%), (MCD, 3,774, 0.71%, 0.00%), (ABBV, 5,572, 0.70%, 0.00%), (HD, 2,856, 0.69%, 0.00%), (ABT, 8,709, 0.69%, 0.00%), (CAT, 2,754, 0.69%, 0.00%), (BAC, 20,665, 0.62%, 0.00%), (KO, 14,443, 0.59%, 0.00%), (BA, 4,264, 0.59%, 0.00%), (BKNG, 174, 0.58%, 0.00%), (PM, 5,792, 0.58%, 0.00%), (NKE, 12,339, 0.57%, 0.00%), (AMD, 5,787, 0.56%, 0.00%), (CRM, 3,693, 0.56%, 0.00%), (SO, 10,150, 0.56%, 0.00%), (DUK, 7,155, 0.52%, 0.00%), (IBM, 3,572, 0.52%, 0.00%), (UBER, 9,184, 0.51%, 0.00%), (ISRG, 1,788, 0.50%, 0.00%), (WFC, 10,307, 0.50%, 0.00%), (MET, 10,271, 0.50%, 0.00%), (HON, 3,708, 0.49%, 0.00%), (ETN, 2,254, 0.47%, 0.00%), (PEP, 5,111, 0.45%, 0.00%), (NOW, 795, 0.43%, 0.00%), (INTU, 1,083, 0.43%, 0.00%), (T, 24,594, 0.43%, 0.00%), (MS, 4,658, 0.42%, 0.00%), (DE, 1,451, 0.41%, 0.00%), (AXP, 2,090, 0.41%, 0.00%), (MRK, 7,976, 0.40%, 0.00%), (TXN, 3,253, 0.39%, 0.00%), (GS, 879, 0.39%, 0.00%), (SPGI, 1,193, 0.39%, 0.00%), (VZ, 14,429, 0.38%, 0.00%), (QCOM, 3,962, 0.38%, 0.00%), (ACN, 2,414, 0.37%, 0.00%), (BLK, 547, 0.37%, 0.00%), (COP, 6,209, 0.36%, 0.00%), (ADBE, 1,700, 0.36%, 0.00%), (MDT, 6,440, 0.36%, 0.00%), (TMO, 1,207, 0.35%, 0.00%), (UNP, 2,644, 0.35%, 0.00%), (DIS, 4,915, 0.35%, 0.00%), (C, 5,855, 0.34%, 0.00%), (LMT, 1,204, 0.33%, 0.00%), (SCHW, 5,614, 0.32%, 0.00%), (SBUX, 5,970, 0.31%, 0.00%), (AMGN, 1,695, 0.29%, 0.00%), (MMM, 3,106, 0.29%, 0.00%), (AMAT, 2,939, 0.28%, 0.00%), (CVS, 6,318, 0.27%, 0.00%), (GILD, 3,930, 0.26%, 0.00%), (PFE, 17,869, 0.26%, 0.00%), (TJX, 3,243, 0.26%, 0.00%), (EMR, 3,252, 0.26%, 0.00%), (MO, 6,313, 0.25%, 0.00%), (LOW, 1,631, 0.25%, 0.00%), (DHR, 2,027, 0.25%, 0.00%), (INTC, 15,379, 0.22%, 0.00%), (ELV, 1,164, 0.22%, 0.00%), (CMCSA, 10,359, 0.21%, 0.00%), (MDLZ, 4,982, 0.18%, 0.00%), (BMY, 6,395, 0.18%, 0.00%), (UPS, 3,190, 0.17%, 0.00%), (PYPL, 3,764, 0.16%, 0.00%), (USB, 4,830, 0.14%, 0.00%), (CL, 2,771, 0.14%, 0.00%), (FDX, 981, 0.14%, 0.00%), (TGT, 1,342, 0.08%, 0.00%), (SC26771B, nan, nan%, 0.00%), (SC26773B, nan, nan%, 0.00%), (SP26772B, nan, nan%, 0.00%), (SP26774B, nan, nan%, 0.00%), (SP26775T, nan, nan%, 0.00%), (XP26775T, nan, nan%, 0.00%)</t>
  </si>
  <si>
    <t>(AVGO, 14,420, 3.15%, 0.00%), (META, 5,122, 2.78%, 0.00%), (BRK/B, 5,960, 2.18%, 0.00%), (GOOGL, 13,728, 2.13%, 0.00%), (CSCO, 36,183, 1.83%, 0.00%), (LIN, 5,119, 1.80%, 0.00%), (GOOG, 11,182, 1.74%, 0.00%), (TSLA, 6,854, 1.68%, 0.00%), (JPM, 7,546, 1.66%, 0.00%), (AMT, 10,386, 1.56%, 0.00%), (XOM, 18,265, 1.52%, 0.00%), (V, 5,618, 1.45%, 0.00%), (MA, 2,665, 1.17%, 0.00%), (CB, 5,732, 1.16%, 0.00%), (LLY, 2,151, 1.15%, 0.00%), (GE, 5,344, 1.07%, 0.00%), (WM, 6,420, 1.07%, 0.00%), (UNH, 4,000, 0.91%, 0.00%), (ORCL, 5,376, 0.89%, 0.00%), (NFLX, 1,005, 0.89%, 0.00%), (NEE, 16,492, 0.87%, 0.00%), (JNJ, 6,573, 0.86%, 0.00%), (CVX, 6,946, 0.82%, 0.00%), (PG, 6,916, 0.80%, 0.00%), (PLTR, 6,857, 0.79%, 0.00%), (WMT, 10,941, 0.78%, 0.00%), (COST, 1,117, 0.77%, 0.00%), (RTX, 6,573, 0.76%, 0.00%), (MCD, 3,268, 0.75%, 0.00%), (ABBV, 4,825, 0.75%, 0.00%), (HD, 2,473, 0.74%, 0.00%), (ABT, 7,540, 0.73%, 0.00%), (CAT, 2,384, 0.73%, 0.00%), (BAC, 17,891, 0.66%, 0.00%), (KO, 12,505, 0.63%, 0.00%), (BA, 3,692, 0.63%, 0.00%), (BKNG, 151, 0.62%, 0.00%), (PM, 5,015, 0.62%, 0.00%), (NKE, 10,683, 0.61%, 0.00%), (AMD, 5,010, 0.60%, 0.00%), (CRM, 3,198, 0.60%, 0.00%), (SO, 8,787, 0.60%, 0.00%), (DUK, 6,195, 0.56%, 0.00%), (IBM, 3,093, 0.55%, 0.00%), (UBER, 7,951, 0.55%, 0.00%), (ISRG, 1,548, 0.54%, 0.00%), (WFC, 8,923, 0.53%, 0.00%), (MET, 8,893, 0.53%, 0.00%), (HON, 3,210, 0.52%, 0.00%), (ETN, 1,951, 0.50%, 0.00%), (PEP, 4,425, 0.48%, 0.00%), (NOW, 689, 0.46%, 0.00%), (INTU, 938, 0.46%, 0.00%), (T, 21,293, 0.45%, 0.00%), (MS, 4,033, 0.44%, 0.00%), (DE, 1,256, 0.44%, 0.00%), (AXP, 1,809, 0.44%, 0.00%), (MRK, 6,906, 0.43%, 0.00%), (TXN, 2,816, 0.42%, 0.00%), (SPGI, 1,032, 0.42%, 0.00%), (VZ, 12,493, 0.41%, 0.00%), (QCOM, 3,430, 0.40%, 0.00%), (ACN, 2,090, 0.40%, 0.00%), (GS, 721, 0.39%, 0.00%), (BLK, 473, 0.39%, 0.00%), (COP, 5,376, 0.39%, 0.00%), (ADBE, 1,472, 0.39%, 0.00%), (MDT, 5,575, 0.38%, 0.00%), (TMO, 1,044, 0.38%, 0.00%), (UNP, 2,290, 0.38%, 0.00%), (DIS, 4,255, 0.37%, 0.00%), (C, 5,069, 0.36%, 0.00%), (LMT, 1,041, 0.35%, 0.00%), (SCHW, 4,860, 0.34%, 0.00%), (SBUX, 5,169, 0.33%, 0.00%), (AMGN, 1,467, 0.31%, 0.00%), (MMM, 2,689, 0.31%, 0.00%), (AMAT, 2,545, 0.30%, 0.00%), (CVS, 5,470, 0.29%, 0.00%), (GILD, 3,402, 0.28%, 0.00%), (PFE, 15,471, 0.28%, 0.00%), (TJX, 2,807, 0.28%, 0.00%), (EMR, 2,816, 0.27%, 0.00%), (MO, 5,466, 0.27%, 0.00%), (LOW, 1,412, 0.27%, 0.00%), (DHR, 1,755, 0.27%, 0.00%), (INTC, 13,315, 0.24%, 0.00%), (ELV, 1,009, 0.24%, 0.00%), (CMCSA, 8,969, 0.22%, 0.00%), (MDLZ, 4,313, 0.19%,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</si>
  <si>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3.14%, 0.00%), (META, 3,817, 2.77%, 0.00%), (BRK/B, 4,441, 2.18%, 0.00%), (GOOGL, 10,230, 2.12%, 0.00%), (CSCO, 26,963, 1.82%, 0.00%), (LIN, 3,815, 1.79%, 0.00%), (GOOG, 8,333, 1.74%, 0.00%), (TSLA, 5,107, 1.68%, 0.00%), (JPM, 5,623, 1.66%, 0.00%), (AMT, 7,739, 1.55%, 0.00%), (XOM, 13,611, 1.52%, 0.00%), (V, 4,187, 1.45%, 0.00%), (MA, 1,985, 1.16%, 0.00%), (CB, 4,271, 1.15%, 0.00%), (LLY, 1,603, 1.15%, 0.00%), (GE, 3,983, 1.07%, 0.00%), (WM, 4,784, 1.06%, 0.00%), (UNH, 2,981, 0.91%, 0.00%), (ORCL, 4,006, 0.89%, 0.00%), (NFLX, 748, 0.89%, 0.00%), (NEE, 12,290, 0.87%, 0.00%), (JNJ, 4,897, 0.85%, 0.00%), (CVX, 5,175, 0.82%, 0.00%), (PG, 5,154, 0.80%, 0.00%), (PLTR, 5,109, 0.79%, 0.00%), (WMT, 8,153, 0.78%, 0.00%), (COST, 832, 0.77%, 0.00%), (RTX, 4,897, 0.76%, 0.00%), (MCD, 2,435, 0.75%, 0.00%), (ABBV, 3,595, 0.74%, 0.00%), (HD, 1,842, 0.74%, 0.00%), (ABT, 5,619, 0.73%, 0.00%), (CAT, 1,776, 0.73%, 0.00%), (BAC, 13,333, 0.66%, 0.00%), (KO, 9,318, 0.63%, 0.00%), (BA, 2,750, 0.63%, 0.00%), (BKNG, 112, 0.62%, 0.00%), (PM, 3,737, 0.61%, 0.00%), (NKE, 7,960, 0.61%, 0.00%), (AMD, 3,733, 0.60%, 0.00%), (CRM, 2,383, 0.60%, 0.00%), (SO, 6,549, 0.59%, 0.00%), (DUK, 4,616, 0.56%, 0.00%), (IBM, 2,305, 0.55%, 0.00%), (UBER, 5,925, 0.55%, 0.00%), (ISRG, 1,153, 0.54%, 0.00%), (WFC, 6,650, 0.53%, 0.00%), (MET, 6,626, 0.53%, 0.00%), (HON, 2,392, 0.52%, 0.00%), (ETN, 1,454, 0.50%, 0.00%), (PEP, 3,297, 0.48%, 0.00%), (NOW, 514, 0.46%, 0.00%), (INTU, 699, 0.46%, 0.00%), (T, 15,867, 0.45%, 0.00%), (MS, 3,006, 0.44%, 0.00%), (DE, 936, 0.44%, 0.00%), (AXP, 1,349, 0.44%, 0.00%), (MRK, 5,146, 0.43%, 0.00%), (TXN, 2,099, 0.42%, 0.00%), (SPGI, 769, 0.41%, 0.00%), (GS, 560, 0.41%, 0.00%), (VZ, 9,309, 0.40%, 0.00%), (QCOM, 2,556, 0.40%, 0.00%), (ACN, 1,558, 0.40%, 0.00%), (BLK, 353, 0.39%, 0.00%), (COP, 4,006, 0.39%, 0.00%), (ADBE, 1,097, 0.38%, 0.00%), (MDT, 4,154, 0.38%, 0.00%), (TMO, 778, 0.38%, 0.00%), (UNP, 1,705, 0.37%, 0.00%), (DIS, 3,170, 0.37%, 0.00%), (C, 3,778, 0.36%, 0.00%), (LMT, 776, 0.35%, 0.00%), (SCHW, 3,622, 0.34%, 0.00%), (SBUX, 3,851, 0.33%, 0.00%), (AMGN, 1,093, 0.31%, 0.00%), (MMM, 2,004, 0.31%, 0.00%), (AMAT, 1,897, 0.30%, 0.00%), (CVS, 4,076, 0.29%, 0.00%), (GILD, 2,535, 0.28%, 0.00%), (PFE, 11,529, 0.28%, 0.00%), (TJX, 2,092, 0.28%, 0.00%), (EMR, 2,098, 0.27%, 0.00%), (MO, 4,073, 0.27%, 0.00%), (LOW, 1,052, 0.27%, 0.00%), (DHR, 1,308, 0.26%, 0.00%), (INTC, 9,922, 0.24%, 0.00%), (ELV, 751, 0.24%, 0.00%), (CMCSA, 6,684, 0.22%, 0.00%), (MDLZ, 3,214, 0.19%, 0.00%), (BMY, 4,126, 0.19%, 0.00%), (UPS, 2,057, 0.18%,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</si>
  <si>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(META, 1,447, 2.65%, 0.00%), (BRK/B, 1,683, 2.08%, 0.00%), (GOOGL, 3,878, 2.03%, 0.00%), (CSCO, 10,221, 1.74%, 0.00%), (LIN, 1,446, 1.71%, 0.00%), (GOOG, 3,159, 1.66%, 0.00%), (TSLA, 1,936, 1.60%, 0.00%), (JPM, 2,131, 1.58%, 0.00%), (AMT, 2,934, 1.48%, 0.00%), (XOM, 5,160, 1.45%, 0.00%), (V, 1,588, 1.38%, 0.00%), (MA, 753, 1.11%, 0.00%), (CB, 1,619, 1.10%, 0.00%), (LLY, 608, 1.10%, 0.00%), (GE, 1,509, 1.02%, 0.00%), (WM, 1,814, 1.02%, 0.00%), (UNH, 1,130, 0.87%, 0.00%), (ORCL, 1,518, 0.85%, 0.00%), (NFLX, 284, 0.85%, 0.00%), (NEE, 4,659, 0.83%, 0.00%), (JNJ, 1,856, 0.81%, 0.00%), (CVX, 1,962, 0.78%, 0.00%), (PG, 1,953, 0.76%, 0.00%), (PLTR, 1,936, 0.75%, 0.00%), (WMT, 3,091, 0.74%, 0.00%), (COST, 315, 0.74%, 0.00%), (RTX, 1,856, 0.73%, 0.00%), (MCD, 923, 0.72%, 0.00%), (ABBV, 1,363, 0.71%, 0.00%), (HD, 699, 0.70%, 0.00%), (ABT, 2,130, 0.70%, 0.00%), (CAT, 673, 0.70%, 0.00%), (BAC, 5,054, 0.63%, 0.00%), (BA, 1,043, 0.60%, 0.00%), (KO, 3,533, 0.60%, 0.00%), (BKNG, 43, 0.60%, 0.00%), (PM, 1,417, 0.59%, 0.00%), (NKE, 3,018, 0.58%, 0.00%), (AMD, 1,416, 0.57%, 0.00%), (CRM, 904, 0.57%, 0.00%), (SO, 2,482, 0.57%, 0.00%), (DUK, 1,750, 0.53%, 0.00%), (IBM, 874, 0.53%, 0.00%), (UBER, 2,246, 0.52%, 0.00%), (ISRG, 437, 0.51%, 0.00%), (WFC, 2,521, 0.51%, 0.00%), (MET, 2,512, 0.51%, 0.00%), (HON, 907, 0.49%, 0.00%), (ETN, 552, 0.48%, 0.00%), (PEP, 1,250, 0.46%, 0.00%), (NOW, 195, 0.44%, 0.00%), (INTU, 265, 0.44%, 0.00%), (T, 6,015, 0.43%, 0.00%), (MS, 1,140, 0.42%, 0.00%), (DE, 355, 0.42%, 0.00%), (AXP, 511, 0.42%, 0.00%), (MRK, 1,951, 0.41%, 0.00%), (TXN, 796, 0.40%, 0.00%), (SPGI, 292, 0.40%, 0.00%), (VZ, 3,529, 0.39%, 0.00%), (QCOM, 969, 0.38%, 0.00%), (ACN, 590, 0.38%, 0.00%), (BLK, 133, 0.37%, 0.00%), (COP, 1,518, 0.37%, 0.00%), (ADBE, 416, 0.37%, 0.00%), (MDT, 1,575, 0.36%, 0.00%), (TMO, 295, 0.36%, 0.00%), (UNP, 646, 0.36%, 0.00%), (DIS, 1,202, 0.35%, 0.00%), (GS, 189, 0.35%, 0.00%), (C, 1,432, 0.34%, 0.00%), (LMT, 295, 0.33%, 0.00%), (SCHW, 1,373, 0.33%, 0.00%), (SBUX, 1,460, 0.32%, 0.00%), (AMGN, 414, 0.30%, 0.00%), (MMM, 759, 0.29%, 0.00%), (AMAT, 719, 0.29%, 0.00%), (CVS, 1,545, 0.28%, 0.00%), (GILD, 961, 0.27%, 0.00%), (PFE, 4,370, 0.27%, 0.00%), (TJX, 793, 0.27%, 0.00%), (EMR, 796, 0.26%, 0.00%), (MO, 1,544, 0.26%, 0.00%), (LOW, 399, 0.26%, 0.00%), (DHR, 496, 0.25%, 0.00%), (INTC, 3,761, 0.23%, 0.00%), (ELV, 285, 0.22%, 0.00%), (CMCSA, 2,534, 0.21%, 0.00%), (MDLZ, 1,219, 0.19%, 0.00%), (BMY, 1,564, 0.18%, 0.00%), (UPS, 780, 0.17%, 0.00%), (PYPL, 920, 0.16%, 0.00%), (USB, 1,181, 0.14%, 0.00%), (CL, 678, 0.14%, 0.00%), (FDX, 240, 0.14%, 0.00%), (TGT, 328, 0.08%, 0.00%), (SC28181B, nan, nan%, 0.00%), (SC28183B, nan, nan%, 0.00%), (SP28182B, nan, nan%, 0.00%), (SP28185B, nan, nan%, 0.00%), (SP28184B, nan, nan%, 0.00%), (XP28185B, nan, nan%, 0.00%)</t>
  </si>
  <si>
    <t>(META, 1,574, 2.68%, 0.00%), (BRK/B, 1,831, 2.11%, 0.00%), (GOOGL, 4,218, 2.05%, 0.00%), (CSCO, 11,115, 1.76%, 0.00%), (LIN, 1,573, 1.73%, 0.00%), (GOOG, 3,435, 1.68%, 0.00%), (TSLA, 2,106, 1.62%, 0.00%), (JPM, 2,318, 1.60%, 0.00%), (AMT, 3,190, 1.50%, 0.00%), (XOM, 5,611, 1.47%, 0.00%), (V, 1,726, 1.40%, 0.00%), (MA, 819, 1.12%, 0.00%), (CB, 1,761, 1.12%, 0.00%), (LLY, 661, 1.11%, 0.00%), (GE, 1,642, 1.03%, 0.00%), (WM, 1,972, 1.03%, 0.00%), (UNH, 1,229, 0.88%, 0.00%), (ORCL, 1,652, 0.86%, 0.00%), (NFLX, 309, 0.86%, 0.00%), (NEE, 5,067, 0.84%, 0.00%), (JNJ, 2,019, 0.82%, 0.00%), (CVX, 2,134, 0.79%, 0.00%), (PG, 2,125, 0.77%, 0.00%), (PLTR, 2,106, 0.76%, 0.00%), (WMT, 3,361, 0.75%, 0.00%), (COST, 343, 0.75%, 0.00%), (RTX, 2,019, 0.74%, 0.00%), (MCD, 1,004, 0.72%, 0.00%), (ABBV, 1,482, 0.72%, 0.00%), (HD, 760, 0.71%, 0.00%), (ABT, 2,317, 0.71%, 0.00%), (CAT, 732, 0.71%, 0.00%), (BAC, 5,496, 0.64%, 0.00%), (KO, 3,841, 0.61%, 0.00%), (BA, 1,134, 0.61%, 0.00%), (BKNG, 46, 0.59%, 0.00%), (PM, 1,540, 0.59%, 0.00%), (NKE, 3,282, 0.58%, 0.00%), (AMD, 1,539, 0.58%, 0.00%), (CRM, 982, 0.58%, 0.00%), (SO, 2,699, 0.57%, 0.00%), (DUK, 1,903, 0.54%, 0.00%), (IBM, 951, 0.53%, 0.00%), (UBER, 2,442, 0.53%, 0.00%), (ISRG, 476, 0.52%, 0.00%), (WFC, 2,741, 0.51%, 0.00%), (MET, 2,732, 0.51%, 0.00%), (HON, 986, 0.50%, 0.00%), (ETN, 599, 0.48%, 0.00%), (PEP, 1,359, 0.47%, 0.00%), (NOW, 212, 0.45%, 0.00%), (INTU, 288, 0.44%, 0.00%), (T, 6,541, 0.44%, 0.00%), (MS, 1,238, 0.43%, 0.00%), (DE, 386, 0.43%, 0.00%), (AXP, 556, 0.42%, 0.00%), (MRK, 2,122, 0.41%, 0.00%), (TXN, 866, 0.40%, 0.00%), (SPGI, 318, 0.40%, 0.00%), (VZ, 3,838, 0.39%, 0.00%), (QCOM, 1,053, 0.39%, 0.00%), (ACN, 642, 0.38%, 0.00%), (BLK, 145, 0.38%, 0.00%), (COP, 1,651, 0.37%, 0.00%), (ADBE, 452, 0.37%, 0.00%), (GS, 214, 0.37%, 0.00%), (MDT, 1,712, 0.37%, 0.00%), (TMO, 320, 0.36%, 0.00%), (UNP, 703, 0.36%, 0.00%), (DIS, 1,307, 0.36%, 0.00%), (C, 1,557, 0.35%, 0.00%), (LMT, 320, 0.33%, 0.00%), (SCHW, 1,493, 0.33%, 0.00%), (SBUX, 1,588, 0.32%, 0.00%), (AMGN, 451, 0.30%, 0.00%), (MMM, 826, 0.30%, 0.00%), (AMAT, 781, 0.29%, 0.00%), (CVS, 1,681, 0.28%, 0.00%), (GILD, 1,046, 0.27%, 0.00%), (TJX, 863, 0.27%, 0.00%), (PFE, 4,753, 0.27%, 0.00%), (EMR, 865, 0.26%, 0.00%), (MO, 1,680, 0.26%, 0.00%), (LOW, 434, 0.26%, 0.00%), (DHR, 539, 0.26%, 0.00%), (INTC, 4,090, 0.23%, 0.00%), (ELV, 310, 0.23%, 0.00%), (CMCSA, 2,755, 0.22%, 0.00%), (MDLZ, 1,324, 0.19%, 0.00%), (BMY, 1,701, 0.18%, 0.00%), (UPS, 849, 0.17%, 0.00%), (PYPL, 1,001, 0.16%, 0.00%), (USB, 1,285, 0.14%,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</si>
  <si>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3.14%, 0.00%), (META, 2,958, 2.77%, 0.00%), (BRK/B, 3,441, 2.18%, 0.00%), (GOOGL, 7,929, 2.13%, 0.00%), (CSCO, 20,896, 1.83%, 0.00%), (LIN, 2,956, 1.79%, 0.00%), (GOOG, 6,458, 1.74%, 0.00%), (TSLA, 3,958, 1.68%, 0.00%), (JPM, 4,358, 1.66%, 0.00%), (AMT, 5,998, 1.55%, 0.00%), (XOM, 10,549, 1.52%, 0.00%), (V, 3,245, 1.45%, 0.00%), (MA, 1,539, 1.16%, 0.00%), (CB, 3,310, 1.16%, 0.00%), (LLY, 1,243, 1.15%, 0.00%), (GE, 3,087, 1.07%, 0.00%), (WM, 3,707, 1.07%, 0.00%), (UNH, 2,310, 0.91%, 0.00%), (ORCL, 3,105, 0.89%, 0.00%), (NFLX, 580, 0.89%, 0.00%), (NEE, 9,524, 0.87%, 0.00%), (JNJ, 3,795, 0.85%, 0.00%), (CVX, 4,011, 0.82%, 0.00%), (PG, 3,994, 0.80%, 0.00%), (PLTR, 3,959, 0.79%, 0.00%), (WMT, 6,318, 0.78%, 0.00%), (COST, 645, 0.77%, 0.00%), (RTX, 3,795, 0.76%, 0.00%), (MCD, 1,887, 0.75%, 0.00%), (ABBV, 2,786, 0.74%, 0.00%), (HD, 1,428, 0.74%, 0.00%), (ABT, 4,354, 0.73%, 0.00%), (CAT, 1,377, 0.73%, 0.00%), (BAC, 10,333, 0.66%, 0.00%), (KO, 7,222, 0.63%, 0.00%), (BA, 2,131, 0.63%, 0.00%), (BKNG, 87, 0.62%, 0.00%), (PM, 2,896, 0.61%, 0.00%), (NKE, 6,169, 0.61%, 0.00%), (AMD, 2,894, 0.60%, 0.00%), (CRM, 1,847, 0.60%, 0.00%), (SO, 5,075, 0.59%, 0.00%), (DUK, 3,578, 0.56%, 0.00%), (IBM, 1,786, 0.55%, 0.00%), (UBER, 4,591, 0.55%, 0.00%), (ISRG, 894, 0.54%, 0.00%), (WFC, 5,154, 0.53%, 0.00%), (MET, 5,136, 0.53%, 0.00%), (HON, 1,855, 0.52%, 0.00%), (ETN, 1,127, 0.50%, 0.00%), (PEP, 2,556, 0.48%, 0.00%), (GS, 489, 0.46%, 0.00%), (NOW, 398, 0.46%, 0.00%), (INTU, 542, 0.46%, 0.00%), (T, 12,298, 0.45%, 0.00%), (MS, 2,329, 0.44%, 0.00%), (DE, 726, 0.44%, 0.00%), (AXP, 1,045, 0.44%, 0.00%), (MRK, 3,988, 0.43%, 0.00%), (TXN, 1,626, 0.42%, 0.00%), (SPGI, 596, 0.41%, 0.00%), (VZ, 7,214, 0.40%, 0.00%), (QCOM, 1,981, 0.40%, 0.00%), (ACN, 1,207, 0.40%, 0.00%), (BLK, 273, 0.39%, 0.00%), (COP, 3,104, 0.39%, 0.00%), (ADBE, 850, 0.38%, 0.00%), (MDT, 3,220, 0.38%, 0.00%), (TMO, 603, 0.38%, 0.00%), (UNP, 1,322, 0.38%, 0.00%), (DIS, 2,458, 0.37%, 0.00%), (C, 2,927, 0.36%, 0.00%), (LMT, 602, 0.35%, 0.00%), (SCHW, 2,807, 0.34%, 0.00%), (SBUX, 2,985, 0.33%, 0.00%), (AMGN, 847, 0.31%, 0.00%), (MMM, 1,553, 0.31%, 0.00%), (AMAT, 1,470, 0.30%, 0.00%), (CVS, 3,160, 0.29%, 0.00%), (GILD, 1,964, 0.28%, 0.00%), (PFE, 8,934, 0.28%, 0.00%), (TJX, 1,621, 0.28%, 0.00%), (EMR, 1,626, 0.27%, 0.00%), (MO, 3,157, 0.27%, 0.00%), (LOW, 816, 0.27%, 0.00%), (DHR, 1,013, 0.26%, 0.00%), (INTC, 7,690, 0.24%, 0.00%), (ELV, 582, 0.24%, 0.00%), (CMCSA, 5,179, 0.22%, 0.00%), (MDLZ, 2,490, 0.19%, 0.00%), (BMY, 3,197, 0.19%, 0.00%), (UPS, 1,595, 0.18%,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</si>
  <si>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BK, GOOGL, META, MLI, JPM, MSFT, EA, RJF, PHM, BLK, AXP</t>
  </si>
  <si>
    <t>(BKNG, 192, 1.91%, 0.00%), (EWBC, 9,857, 1.88%, 0.01%), (HIG, 7,635, 1.82%, 0.00%), (V, 2,851, 1.81%, 0.00%), (TRV, 3,628, 1.79%, 0.00%), (ROST, 6,353, 1.74%, 0.00%), (SNA, 2,843, 1.66%, 0.01%), (ADP, 3,047, 1.65%, 0.00%), (NVDA, 5,328, 1.65%, 0.00%), (SYF, 11,908, 1.63%, 0.00%), (UNM, 12,828, 1.62%, 0.01%), (LEN, 6,731, 1.62%, 0.00%), (PCAR, 9,017, 1.61%, 0.00%), (CB, 3,217, 1.61%, 0.00%), (AMAT, 5,463, 1.56%, 0.00%), (KLAC, 1,009, 1.54%, 0.00%), (CTSH, 11,525, 1.50%, 0.00%), (CRM, 3,267, 1.49%, 0.00%), (WSM, 4,032, 1.40%, 0.00%), (BKR, 16,960, 1.39%, 0.00%), (PAYC, 3,488, 1.39%, 0.01%), (DHI, 4,473, 1.38%, 0.00%), (QCOM, 4,600, 1.32%, 0.00%), (ELV, 2,184, 1.27%, 0.00%), (ACN, 2,717, 1.26%, 0.00%), (AAPL, 2,970, 1.23%, 0.00%), (AFL, 6,299, 1.20%, 0.00%), (MPWR, 728, 1.08%, 0.00%), (ODFL, 3,907, 1.06%, 0.00%), (CSCO, 8,532, 1.05%, 0.00%), (LRCX, 5,875, 1.03%, 0.00%), (GE, 2,059, 1.03%, 0.00%), (STT, 4,729, 0.97%, 0.00%), (PNC, 2,532, 0.94%, 0.00%), (MTB, 2,516, 0.91%, 0.00%), (CF, 5,405, 0.85%, 0.00%), (AMP, 921, 0.85%, 0.00%), (XOM, 3,959, 0.82%, 0.00%), (EOG, 3,562, 0.81%, 0.00%), (ABT, 3,404, 0.81%, 0.00%), (COST, 473, 0.80%, 0.00%), (EG, 1,198, 0.75%, 0.00%), (CSL, 1,060, 0.73%, 0.00%), (NTRS, 2,195, 0.52%, 0.00%), (GEV, 482, 0.51%, 0.00%), (MA, 458, 0.49%, 0.00%), (JNJ, 1,470, 0.47%, 0.00%), (CRBG, 7,541, 0.47%, 0.00%), (ACM, 2,077, 0.47%, 0.00%), (LNC, 6,003, 0.46%, 0.00%), (WTFC, 1,768, 0.44%, 0.00%), (JXN, 2,478, 0.44%, 0.00%), (MTG, 8,625, 0.43%, 0.00%), (CINF, 1,527, 0.42%, 0.00%), (ADM, 3,655, 0.41%, 0.00%), (DOV, 1,283, 0.41%, 0.00%), (EQH, 4,255, 0.41%, 0.00%), (ALL, 1,087, 0.40%, 0.00%), (MCK, 317, 0.40%, 0.00%), (SLM, 7,048, 0.39%, 0.00%), (NUE, 1,467, 0.39%, 0.00%), (NKE, 2,676, 0.36%, 0.00%), (PGR, 801, 0.36%, 0.00%), (FANG, 1,143, 0.31%, 0.00%), (SC13N61B, nan, nan%, 0.00%), (SC13N63B, nan, nan%, 0.00%), (SP13N62B, nan, nan%, 0.00%), (SP13N65B, nan, nan%, 0.00%), (SP13N64B, nan, nan%, 0.00%), (SPX Index, nan, nan%, 0.00%), (XP13N65B, nan, nan%, 0.00%)</t>
  </si>
  <si>
    <t>(AMZN, 6,174, 4.07%, 0.00%), (AVGO, 3,821, 3.29%, 0.00%), (META, 1,357, 2.91%, 0.00%), (BRK/B, 1,579, 2.31%, 0.00%), (GOOGL, 3,639, 2.24%, 0.00%), (CSCO, 9,589, 1.90%, 0.00%), (LIN, 1,357, 1.88%, 0.00%), (GOOG, 2,963, 1.83%, 0.00%), (JPM, 2,000, 1.75%, 0.00%), (TSLA, 1,817, 1.74%, 0.00%), (XOM, 4,840, 1.62%, 0.00%), (AMT, 2,752, 1.61%, 0.00%), (V, 1,489, 1.52%, 0.00%), (CB, 1,519, 1.23%, 0.00%), (MA, 706, 1.22%, 0.00%), (LLY, 570, 1.22%, 0.00%), (GE, 1,417, 1.14%, 0.00%), (WM, 1,702, 1.12%, 0.00%), (UNH, 1,061, 0.95%, 0.00%), (NFLX, 266, 0.94%, 0.00%), (ORCL, 1,425, 0.93%, 0.00%), (NEE, 4,371, 0.92%, 0.00%), (JNJ, 1,742, 0.91%, 0.00%), (CVX, 1,841, 0.87%, 0.00%), (PG, 1,833, 0.84%, 0.00%), (PLTR, 1,817, 0.83%, 0.00%), (WMT, 2,899, 0.83%, 0.00%), (COST, 296, 0.81%, 0.00%), (RTX, 1,742, 0.80%, 0.00%), (MCD, 867, 0.80%, 0.00%), (ABBV, 1,279, 0.79%, 0.00%), (HD, 656, 0.78%, 0.00%), (CAT, 632, 0.77%, 0.00%), (ABT, 1,998, 0.77%, 0.00%), (BAC, 4,742, 0.70%, 0.00%), (BA, 978, 0.68%, 0.00%), (KO, 3,314, 0.67%, 0.00%), (PM, 1,329, 0.65%, 0.00%), (BKNG, 40, 0.64%, 0.00%), (SO, 2,329, 0.63%, 0.00%), (AMD, 1,328, 0.63%, 0.00%), (CRM, 848, 0.62%, 0.00%), (NKE, 2,831, 0.62%, 0.00%), (DUK, 1,642, 0.59%, 0.00%), (IBM, 820, 0.58%, 0.00%), (GS, 270, 0.58%, 0.00%), (UBER, 2,107, 0.57%, 0.00%), (WFC, 2,365, 0.56%, 0.00%), (ISRG, 410, 0.56%, 0.00%), (MET, 2,357, 0.56%, 0.00%), (HON, 851, 0.54%, 0.00%), (ETN, 518, 0.52%, 0.00%), (PEP, 1,173, 0.51%, 0.00%), (NOW, 182, 0.48%, 0.00%), (T, 5,643, 0.48%, 0.00%), (INTU, 248, 0.48%, 0.00%), (MS, 1,069, 0.46%, 0.00%), (DE, 333, 0.46%, 0.00%), (AXP, 479, 0.46%, 0.00%), (MRK, 1,831, 0.45%, 0.00%), (TXN, 746, 0.44%, 0.00%), (SPGI, 274, 0.43%, 0.00%), (VZ, 3,310, 0.42%, 0.00%), (QCOM, 909, 0.42%, 0.00%), (ACN, 554, 0.41%, 0.00%), (COP, 1,425, 0.41%, 0.00%), (BLK, 125, 0.41%, 0.00%), (MDT, 1,478, 0.40%, 0.00%), (TMO, 277, 0.39%, 0.00%), (ADBE, 390, 0.39%, 0.00%), (UNP, 606, 0.39%, 0.00%), (DIS, 1,128, 0.39%, 0.00%), (C, 1,344, 0.37%, 0.00%), (LMT, 276, 0.36%, 0.00%), (SCHW, 1,288, 0.36%, 0.00%), (SBUX, 1,370, 0.36%, 0.00%), (AMGN, 389, 0.33%, 0.00%), (MMM, 713, 0.32%, 0.00%), (CVS, 1,450, 0.31%, 0.00%), (AMAT, 674, 0.31%, 0.00%), (TJX, 744, 0.30%, 0.00%), (PFE, 4,100, 0.30%, 0.00%), (GILD, 902, 0.30%, 0.00%), (EMR, 746, 0.29%, 0.00%), (MO, 1,449, 0.28%, 0.00%), (LOW, 375, 0.28%, 0.00%), (DHR, 465, 0.28%, 0.00%), (ELV, 267, 0.25%, 0.00%), (INTC, 3,529, 0.25%, 0.00%), (CMCSA, 2,377, 0.24%, 0.00%), (MDLZ, 1,143, 0.21%, 0.00%), (BMY, 1,468, 0.20%, 0.00%), (UPS, 731, 0.18%, 0.00%), (PYPL, 864, 0.17%, 0.00%), (USB, 1,108, 0.16%, 0.00%), (CL, 636, 0.16%, 0.00%), (FDX, 225, 0.15%, 0.00%), (TGT, 308, 0.08%, 0.00%), (SC31761B, nan, nan%, 0.00%), (SC31763B, nan, nan%, 0.00%), (SP31762B, nan, nan%, 0.00%), (SP31765B, nan, nan%, 0.00%), (SP31764B, nan, nan%, 0.00%), (XP31765B, nan, nan%, 0.00%)</t>
  </si>
  <si>
    <t>(AVGO, 2,518, 3.20%, 0.00%), (META, 895, 2.83%, 0.00%), (BRK/B, 1,041, 2.25%, 0.00%), (GOOGL, 2,398, 2.18%, 0.00%), (CSCO, 6,320, 1.85%, 0.00%), (LIN, 894, 1.83%, 0.00%), (GOOG, 1,954, 1.78%, 0.00%), (JPM, 1,318, 1.70%, 0.00%), (TSLA, 1,198, 1.70%, 0.00%), (XOM, 3,191, 1.57%, 0.00%), (AMT, 1,814, 1.57%, 0.00%), (V, 982, 1.48%, 0.00%), (CB, 1,001, 1.20%, 0.00%), (LLY, 376, 1.19%, 0.00%), (MA, 465, 1.19%, 0.00%), (GE, 933, 1.10%, 0.00%), (WM, 1,122, 1.09%, 0.00%), (UNH, 699, 0.93%, 0.00%), (NFLX, 175, 0.91%, 0.00%), (ORCL, 939, 0.91%, 0.00%), (NEE, 2,881, 0.90%, 0.00%), (JNJ, 1,148, 0.88%, 0.00%), (CVX, 1,213, 0.84%, 0.00%), (PG, 1,208, 0.82%, 0.00%), (PLTR, 1,198, 0.81%, 0.00%), (WMT, 1,911, 0.80%, 0.00%), (COST, 195, 0.79%, 0.00%), (RTX, 1,148, 0.78%, 0.00%), (MCD, 571, 0.77%, 0.00%), (ABBV, 843, 0.77%, 0.00%), (HD, 432, 0.76%, 0.00%), (ABT, 1,317, 0.75%, 0.00%), (CAT, 416, 0.75%, 0.00%), (BAC, 3,126, 0.68%, 0.00%), (BA, 645, 0.66%, 0.00%), (KO, 2,184, 0.65%, 0.00%), (BKNG, 27, 0.64%, 0.00%), (PM, 876, 0.63%, 0.00%), (SO, 1,535, 0.61%, 0.00%), (AMD, 875, 0.61%, 0.00%), (CRM, 559, 0.60%, 0.00%), (NKE, 1,866, 0.60%, 0.00%), (DUK, 1,082, 0.57%, 0.00%), (IBM, 540, 0.56%, 0.00%), (GS, 178, 0.56%, 0.00%), (UBER, 1,389, 0.55%, 0.00%), (WFC, 1,558, 0.55%, 0.00%), (ISRG, 270, 0.55%, 0.00%), (MET, 1,553, 0.54%, 0.00%), (HON, 561, 0.53%, 0.00%), (ETN, 341, 0.51%, 0.00%), (PEP, 773, 0.50%, 0.00%), (NOW, 120, 0.47%, 0.00%), (INTU, 164, 0.47%, 0.00%), (T, 3,719, 0.47%, 0.00%), (MS, 705, 0.45%, 0.00%), (DE, 220, 0.45%, 0.00%), (AXP, 316, 0.45%, 0.00%), (MRK, 1,206, 0.44%, 0.00%), (TXN, 492, 0.42%, 0.00%), (SPGI, 180, 0.42%, 0.00%), (VZ, 2,182, 0.41%, 0.00%), (QCOM, 599, 0.41%, 0.00%), (COP, 939, 0.40%, 0.00%), (BLK, 83, 0.40%, 0.00%), (MDT, 974, 0.39%, 0.00%), (UNP, 400, 0.38%, 0.00%), (ADBE, 257, 0.38%, 0.00%), (TMO, 182, 0.38%, 0.00%), (DIS, 743, 0.38%, 0.00%), (C, 885, 0.36%, 0.00%), (LMT, 182, 0.35%, 0.00%), (SCHW, 849, 0.35%, 0.00%), (SBUX, 903, 0.35%, 0.00%), (AMGN, 256, 0.32%, 0.00%), (MMM, 470, 0.31%, 0.00%), (CVS, 955, 0.30%, 0.00%), (AMAT, 445, 0.30%, 0.00%), (ACN, 265, 0.29%, 0.00%), (TJX, 491, 0.29%, 0.00%), (PFE, 2,703, 0.29%, 0.00%), (GILD, 594, 0.29%, 0.00%), (EMR, 492, 0.28%, 0.00%), (MO, 955, 0.28%, 0.00%), (LOW, 246, 0.27%, 0.00%), (DHR, 307, 0.27%, 0.00%), (ELV, 176, 0.24%, 0.00%), (INTC, 2,326, 0.24%, 0.00%), (CMCSA, 1,566, 0.23%, 0.00%), (MDLZ, 753, 0.20%, 0.00%), (BMY, 967, 0.20%, 0.00%), (UPS, 482, 0.18%, 0.00%), (PYPL, 570, 0.17%, 0.00%), (USB, 730, 0.15%, 0.00%), (CL, 419, 0.15%, 0.00%), (FDX, 148, 0.14%, 0.00%), (TGT, 203, 0.08%, 0.00%), (SC9061B, nan, nan%, 0.00%), (SC9063B, nan, nan%, 0.00%), (SP9062B, nan, nan%, 0.00%), (SP9065B, nan, nan%, 0.00%), (SP9064B, nan, nan%, 0.00%), (XP9065B, nan, nan%, 0.00%)</t>
  </si>
  <si>
    <t>(AVGO, 2,413, 2.91%, 0.00%), (META, 858, 2.57%, 0.00%), (BRK/B, 997, 2.04%, 0.00%), (GOOGL, 2,299, 1.98%, 0.00%), (CSCO, 6,057, 1.68%, 0.00%), (LIN, 857, 1.66%, 0.00%), (GOOG, 1,872, 1.62%, 0.00%), (JPM, 1,263, 1.55%, 0.00%), (TSLA, 1,147, 1.54%, 0.00%), (XOM, 3,058, 1.43%, 0.00%), (AMT, 1,738, 1.42%, 0.00%), (V, 941, 1.35%, 0.00%), (CB, 960, 1.09%, 0.00%), (MA, 446, 1.08%, 0.00%), (LLY, 360, 1.08%, 0.00%), (GE, 894, 1.00%, 0.00%), (WM, 1,075, 0.99%, 0.00%), (UNH, 670, 0.84%, 0.00%), (NFLX, 168, 0.83%, 0.00%), (ORCL, 900, 0.82%, 0.00%), (NEE, 2,761, 0.82%, 0.00%), (JNJ, 1,100, 0.80%, 0.00%), (CVX, 1,163, 0.77%, 0.00%), (PG, 1,157, 0.75%, 0.00%), (PLTR, 1,147, 0.73%, 0.00%), (WMT, 1,831, 0.73%, 0.00%), (COST, 187, 0.72%, 0.00%), (RTX, 1,100, 0.71%, 0.00%), (MCD, 548, 0.70%, 0.00%), (ABBV, 807, 0.70%, 0.00%), (HD, 414, 0.69%, 0.00%), (ABT, 1,262, 0.68%, 0.00%), (CAT, 399, 0.68%, 0.00%), (BAC, 2,996, 0.62%, 0.00%), (BA, 618, 0.60%, 0.00%), (KO, 2,093, 0.59%, 0.00%), (BKNG, 26, 0.59%, 0.00%), (PM, 839, 0.57%, 0.00%), (AMD, 839, 0.55%, 0.00%), (SO, 1,472, 0.55%, 0.00%), (CRM, 536, 0.55%, 0.00%), (NKE, 1,789, 0.54%, 0.00%), (DUK, 1,037, 0.52%, 0.00%), (GS, 171, 0.51%, 0.00%), (IBM, 518, 0.51%, 0.00%), (UBER, 1,331, 0.50%, 0.00%), (WFC, 1,494, 0.50%, 0.00%), (ISRG, 259, 0.50%, 0.00%), (MET, 1,488, 0.49%, 0.00%), (HON, 538, 0.48%, 0.00%), (ETN, 327, 0.46%, 0.00%), (PEP, 741, 0.45%, 0.00%), (NOW, 116, 0.43%, 0.00%), (INTU, 157, 0.42%, 0.00%), (T, 3,565, 0.42%, 0.00%), (MS, 675, 0.41%, 0.00%), (DE, 211, 0.41%, 0.00%), (AXP, 302, 0.41%, 0.00%), (MRK, 1,156, 0.40%, 0.00%), (TXN, 471, 0.38%, 0.00%), (SPGI, 173, 0.38%, 0.00%), (VZ, 2,091, 0.37%, 0.00%), (QCOM, 574, 0.37%, 0.00%), (COP, 900, 0.36%, 0.00%), (BLK, 79, 0.36%, 0.00%), (MDT, 933, 0.36%, 0.00%), (TMO, 175, 0.35%, 0.00%), (UNP, 383, 0.35%, 0.00%), (ADBE, 246, 0.35%, 0.00%), (DIS, 713, 0.34%, 0.00%), (C, 849, 0.33%, 0.00%), (LMT, 174, 0.32%, 0.00%), (SCHW, 813, 0.32%, 0.00%), (SBUX, 866, 0.32%, 0.00%), (AMGN, 246, 0.29%, 0.00%), (MMM, 450, 0.28%, 0.00%), (CVS, 916, 0.28%, 0.00%), (AMAT, 426, 0.27%, 0.00%), (TJX, 470, 0.27%, 0.00%), (PFE, 2,590, 0.26%, 0.00%), (ACN, 250, 0.26%, 0.00%), (GILD, 569, 0.26%, 0.00%), (EMR, 471, 0.25%, 0.00%), (MO, 915, 0.25%, 0.00%), (LOW, 236, 0.25%, 0.00%), (DHR, 294, 0.24%, 0.00%), (ELV, 169, 0.22%, 0.00%), (INTC, 2,229, 0.22%, 0.00%), (CMCSA, 1,501, 0.21%, 0.00%), (MDLZ, 722, 0.18%, 0.00%), (BMY, 927, 0.18%, 0.00%), (UPS, 463, 0.16%, 0.00%), (PYPL, 546, 0.15%, 0.00%), (USB, 700, 0.14%, 0.00%), (CL, 401, 0.14%, 0.00%), (FDX, 142, 0.13%, 0.00%), (TGT, 195, 0.07%, 0.00%), (SC28781H, nan, nan%, 0.00%), (SC28783H, nan, nan%, 0.00%), (SP28782H, nan, nan%, 0.00%), (SP28785B, nan, nan%, 0.00%), (SP28784H, nan, nan%, 0.00%), (XP28785B, nan, nan%, 0.00%)</t>
  </si>
  <si>
    <t>(AVGO, 1,600, 3.12%, 0.00%), (META, 568, 2.74%, 0.00%), (BRK/B, 661, 2.18%, 0.00%), (GOOGL, 1,523, 2.11%, 0.00%), (CSCO, 4,015, 1.79%, 0.00%), (LIN, 568, 1.77%, 0.00%), (GOOG, 1,241, 1.73%, 0.00%), (JPM, 837, 1.65%, 0.00%), (TSLA, 761, 1.65%, 0.00%), (XOM, 2,027, 1.53%, 0.00%), (AMT, 1,153, 1.52%, 0.00%), (V, 624, 1.44%, 0.00%), (CB, 636, 1.16%, 0.00%), (MA, 296, 1.15%, 0.00%), (LLY, 238, 1.15%, 0.00%), (GE, 593, 1.07%, 0.00%), (WM, 713, 1.06%, 0.00%), (UNH, 444, 0.90%, 0.00%), (NFLX, 112, 0.90%, 0.00%), (ORCL, 597, 0.88%, 0.00%), (NEE, 1,831, 0.87%, 0.00%), (JNJ, 729, 0.85%, 0.00%), (CVX, 771, 0.82%, 0.00%), (PG, 767, 0.80%, 0.00%), (PLTR, 761, 0.78%, 0.00%), (WMT, 1,214, 0.78%, 0.00%), (COST, 124, 0.77%, 0.00%), (RTX, 729, 0.76%, 0.00%), (MCD, 363, 0.75%, 0.00%), (ABBV, 536, 0.74%, 0.00%), (HD, 275, 0.74%, 0.00%), (CAT, 265, 0.72%, 0.00%), (ABT, 837, 0.72%, 0.00%), (BAC, 1,986, 0.66%, 0.00%), (BA, 409, 0.64%, 0.00%), (KO, 1,388, 0.63%, 0.00%), (BKNG, 17, 0.62%, 0.00%), (PM, 557, 0.61%, 0.00%), (SO, 976, 0.59%, 0.00%), (AMD, 556, 0.59%, 0.00%), (CRM, 355, 0.59%, 0.00%), (NKE, 1,185, 0.58%, 0.00%), (DUK, 688, 0.55%, 0.00%), (GS, 114, 0.55%, 0.00%), (IBM, 343, 0.54%, 0.00%), (UBER, 883, 0.54%, 0.00%), (WFC, 990, 0.53%, 0.00%), (ISRG, 172, 0.53%, 0.00%), (MET, 986, 0.52%, 0.00%), (HON, 356, 0.51%, 0.00%), (ETN, 216, 0.49%, 0.00%), (PEP, 491, 0.48%, 0.00%), (NOW, 76, 0.46%, 0.00%), (INTU, 104, 0.45%, 0.00%), (T, 2,363, 0.45%, 0.00%), (MS, 448, 0.44%, 0.00%), (DE, 139, 0.44%, 0.00%), (AXP, 201, 0.44%, 0.00%), (MRK, 766, 0.43%, 0.00%), (TXN, 312, 0.41%, 0.00%), (SPGI, 115, 0.41%, 0.00%), (VZ, 1,387, 0.40%, 0.00%), (QCOM, 381, 0.40%, 0.00%), (COP, 597, 0.39%, 0.00%), (BLK, 52, 0.38%, 0.00%), (MDT, 619, 0.38%, 0.00%), (TMO, 116, 0.37%, 0.00%), (ADBE, 163, 0.37%, 0.00%), (UNP, 254, 0.37%, 0.00%), (DIS, 472, 0.37%, 0.00%), (C, 562, 0.35%, 0.00%), (LMT, 116, 0.35%, 0.00%), (SCHW, 540, 0.34%, 0.00%), (SBUX, 573, 0.34%, 0.00%), (AMGN, 163, 0.31%, 0.00%), (MMM, 299, 0.30%, 0.00%), (CVS, 607, 0.29%, 0.00%), (AMAT, 283, 0.29%, 0.00%), (TJX, 311, 0.28%, 0.00%), (PFE, 1,717, 0.28%, 0.00%), (GILD, 378, 0.28%, 0.00%), (EMR, 312, 0.27%, 0.00%), (MO, 607, 0.27%, 0.00%), (LOW, 157, 0.27%, 0.00%), (DHR, 195, 0.26%, 0.00%), (ELV, 112, 0.24%, 0.00%), (INTC, 1,478, 0.23%, 0.00%), (CMCSA, 995, 0.22%, 0.00%), (ACN, 132, 0.22%, 0.00%), (MDLZ, 478, 0.19%, 0.00%), (BMY, 615, 0.19%, 0.00%), (UPS, 306, 0.17%, 0.00%), (PYPL, 362, 0.16%,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</si>
  <si>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(AVGO, 16,654, 2.97%, 0.00%), (META, 5,916, 2.62%, 0.00%), (BRK/B, 6,883, 2.08%, 0.00%), (GOOGL, 15,857, 2.02%, 0.00%), (CSCO, 41,792, 1.71%, 0.00%), (LIN, 5,913, 1.70%, 0.00%), (GOOG, 12,916, 1.65%, 0.00%), (JPM, 8,716, 1.58%, 0.00%), (TSLA, 7,916, 1.57%, 0.00%), (XOM, 21,097, 1.46%, 0.00%), (AMT, 11,996, 1.45%, 0.00%), (V, 6,489, 1.37%, 0.00%), (CB, 6,620, 1.11%, 0.00%), (MA, 3,078, 1.10%, 0.00%), (LLY, 2,484, 1.10%, 0.00%), (GE, 6,172, 1.02%, 0.00%), (WM, 7,415, 1.01%, 0.00%), (UNH, 4,621, 0.86%, 0.00%), (NFLX, 1,160, 0.85%, 0.00%), (ORCL, 6,210, 0.84%, 0.00%), (NEE, 19,049, 0.83%, 0.00%), (JNJ, 7,592, 0.82%, 0.00%), (CVX, 8,023, 0.78%, 0.00%), (PG, 7,988, 0.76%, 0.00%), (PLTR, 7,920, 0.75%, 0.00%), (WMT, 12,638, 0.74%, 0.00%), (COST, 1,290, 0.73%, 0.00%), (RTX, 7,591, 0.72%, 0.00%), (MCD, 3,774, 0.72%, 0.00%), (ABBV, 5,572, 0.71%, 0.00%), (HD, 2,856, 0.70%, 0.00%), (ABT, 8,709, 0.69%, 0.00%), (CAT, 2,754, 0.69%, 0.00%), (BAC, 20,665, 0.63%, 0.00%), (BA, 4,264, 0.61%, 0.00%), (KO, 14,443, 0.60%, 0.00%), (PM, 5,792, 0.58%, 0.00%), (BKNG, 174, 0.58%, 0.00%), (SO, 10,150, 0.57%, 0.00%), (AMD, 5,787, 0.56%, 0.00%), (CRM, 3,693, 0.56%, 0.00%), (NKE, 12,339, 0.55%, 0.00%), (DUK, 7,155, 0.53%, 0.00%), (IBM, 3,572, 0.52%, 0.00%), (GS, 1,179, 0.52%, 0.00%), (UBER, 9,184, 0.51%, 0.00%), (WFC, 10,307, 0.51%, 0.00%), (ISRG, 1,788, 0.51%, 0.00%), (MET, 10,271, 0.50%, 0.00%), (HON, 3,708, 0.49%, 0.00%), (ETN, 2,254, 0.47%, 0.00%), (PEP, 5,111, 0.46%, 0.00%), (NOW, 795, 0.44%, 0.00%), (INTU, 1,083, 0.43%, 0.00%), (T, 24,594, 0.43%, 0.00%), (MS, 4,658, 0.42%, 0.00%), (DE, 1,451, 0.42%, 0.00%), (AXP, 2,090, 0.42%, 0.00%), (MRK, 7,976, 0.41%, 0.00%), (TXN, 3,253, 0.39%, 0.00%), (SPGI, 1,193, 0.39%, 0.00%), (VZ, 14,429, 0.38%, 0.00%), (QCOM, 3,962, 0.38%, 0.00%), (COP, 6,209, 0.37%, 0.00%), (BLK, 547, 0.37%, 0.00%), (MDT, 6,440, 0.36%, 0.00%), (TMO, 1,207, 0.35%, 0.00%), (ADBE, 1,700, 0.35%, 0.00%), (UNP, 2,644, 0.35%, 0.00%), (DIS, 4,915, 0.35%, 0.00%), (C, 5,855, 0.34%, 0.00%), (LMT, 1,204, 0.33%, 0.00%), (SCHW, 5,614, 0.33%, 0.00%), (SBUX, 5,970, 0.32%, 0.00%), (AMGN, 1,695, 0.29%, 0.00%), (MMM, 3,106, 0.29%, 0.00%), (CVS, 6,318, 0.28%, 0.00%), (AMAT, 2,939, 0.28%, 0.00%), (TJX, 3,243, 0.27%, 0.00%), (PFE, 17,869, 0.27%, 0.00%), (GILD, 3,930, 0.27%, 0.00%), (ACN, 1,714, 0.26%, 0.00%), (EMR, 3,252, 0.26%, 0.00%), (MO, 6,313, 0.26%, 0.00%), (LOW, 1,631, 0.25%, 0.00%), (DHR, 2,027, 0.25%, 0.00%), (ELV, 1,164, 0.23%, 0.00%), (INTC, 15,379, 0.22%, 0.00%), (CMCSA, 10,359, 0.21%, 0.00%), (MDLZ, 4,982, 0.19%, 0.00%), (BMY, 6,395, 0.18%, 0.00%), (UPS, 3,190, 0.16%, 0.00%), (PYPL, 3,764, 0.16%, 0.00%), (USB, 4,830, 0.14%, 0.00%), (CL, 2,771, 0.14%, 0.00%), (FDX, 981, 0.13%, 0.00%), (TGT, 1,342, 0.07%, 0.00%), (SC26771B, nan, nan%, 0.00%), (SC26773B, nan, nan%, 0.00%), (SP26772B, nan, nan%, 0.00%), (SP26774B, nan, nan%, 0.00%), (SP26775T, nan, nan%, 0.00%), (XP26775T, nan, nan%, 0.00%)</t>
  </si>
  <si>
    <t>(AVGO, 14,420, 3.17%, 0.00%), (META, 5,122, 2.80%, 0.00%), (BRK/B, 5,960, 2.22%, 0.00%), (GOOGL, 13,728, 2.15%, 0.00%), (CSCO, 36,183, 1.83%, 0.00%), (LIN, 5,119, 1.81%, 0.00%), (GOOG, 11,182, 1.76%, 0.00%), (JPM, 7,546, 1.68%, 0.00%), (TSLA, 6,854, 1.68%, 0.00%), (XOM, 18,265, 1.56%, 0.00%), (AMT, 10,386, 1.55%, 0.00%), (V, 5,618, 1.46%, 0.00%), (CB, 5,732, 1.18%, 0.00%), (MA, 2,665, 1.17%, 0.00%), (LLY, 2,151, 1.17%, 0.00%), (GE, 5,344, 1.09%, 0.00%), (WM, 6,420, 1.08%, 0.00%), (UNH, 4,000, 0.92%, 0.00%), (NFLX, 1,005, 0.91%, 0.00%), (ORCL, 5,376, 0.90%, 0.00%), (NEE, 16,492, 0.89%, 0.00%), (JNJ, 6,573, 0.87%, 0.00%), (CVX, 6,946, 0.83%, 0.00%), (PG, 6,916, 0.81%, 0.00%), (PLTR, 6,857, 0.80%, 0.00%), (WMT, 10,941, 0.79%, 0.00%), (COST, 1,117, 0.78%, 0.00%), (RTX, 6,573, 0.77%, 0.00%), (MCD, 3,268, 0.77%, 0.00%), (ABBV, 4,825, 0.76%, 0.00%), (HD, 2,473, 0.75%, 0.00%), (ABT, 7,540, 0.74%, 0.00%), (CAT, 2,384, 0.74%, 0.00%), (BAC, 17,891, 0.67%, 0.00%), (BA, 3,692, 0.65%, 0.00%), (KO, 12,505, 0.64%, 0.00%), (PM, 5,015, 0.62%, 0.00%), (BKNG, 151, 0.62%, 0.00%), (SO, 8,787, 0.60%, 0.00%), (AMD, 5,010, 0.60%, 0.00%), (CRM, 3,198, 0.60%, 0.00%), (NKE, 10,683, 0.59%, 0.00%), (DUK, 6,195, 0.56%, 0.00%), (GS, 1,021, 0.56%, 0.00%), (IBM, 3,093, 0.56%, 0.00%), (UBER, 7,951, 0.55%, 0.00%), (WFC, 8,923, 0.54%, 0.00%), (ISRG, 1,548, 0.54%, 0.00%), (MET, 8,893, 0.53%, 0.00%), (HON, 3,210, 0.52%, 0.00%), (ETN, 1,951, 0.50%, 0.00%), (PEP, 4,425, 0.49%, 0.00%), (NOW, 689, 0.47%, 0.00%), (INTU, 938, 0.46%, 0.00%), (T, 21,293, 0.46%, 0.00%), (MS, 4,033, 0.45%, 0.00%), (DE, 1,256, 0.45%, 0.00%), (AXP, 1,809, 0.44%, 0.00%), (MRK, 6,906, 0.44%, 0.00%), (TXN, 2,816, 0.42%, 0.00%), (SPGI, 1,032, 0.42%, 0.00%), (VZ, 12,493, 0.41%, 0.00%), (QCOM, 3,430, 0.41%, 0.00%), (COP, 5,376, 0.40%, 0.00%), (BLK, 473, 0.39%, 0.00%), (MDT, 5,575, 0.39%, 0.00%), (ADBE, 1,472, 0.38%, 0.00%), (TMO, 1,044, 0.38%, 0.00%), (UNP, 2,290, 0.38%, 0.00%), (DIS, 4,255, 0.37%, 0.00%), (C, 5,069, 0.36%, 0.00%), (LMT, 1,041, 0.35%, 0.00%), (SCHW, 4,860, 0.35%, 0.00%), (SBUX, 5,169, 0.34%, 0.00%), (AMGN, 1,467, 0.31%, 0.00%), (MMM, 2,689, 0.31%, 0.00%), (CVS, 5,470, 0.30%, 0.00%), (AMAT, 2,545, 0.30%, 0.00%), (TJX, 2,807, 0.29%, 0.00%), (PFE, 15,471, 0.29%, 0.00%), (GILD, 3,402, 0.28%, 0.00%), (ACN, 1,490, 0.28%, 0.00%), (EMR, 2,816, 0.28%, 0.00%), (MO, 5,466, 0.27%, 0.00%), (LOW, 1,412, 0.27%, 0.00%), (DHR, 1,755, 0.27%, 0.00%), (ELV, 1,009, 0.24%, 0.00%), (INTC, 13,315, 0.24%, 0.00%), (CMCSA, 8,969, 0.23%, 0.00%), (MDLZ, 4,313, 0.20%,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</si>
  <si>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3.16%, 0.00%), (META, 3,817, 2.79%, 0.00%), (BRK/B, 4,441, 2.22%, 0.00%), (GOOGL, 10,230, 2.15%, 0.00%), (CSCO, 26,963, 1.82%, 0.00%), (LIN, 3,815, 1.80%, 0.00%), (GOOG, 8,333, 1.76%, 0.00%), (JPM, 5,623, 1.68%, 0.00%), (TSLA, 5,107, 1.67%, 0.00%), (XOM, 13,611, 1.55%, 0.00%), (AMT, 7,739, 1.55%, 0.00%), (V, 4,187, 1.46%, 0.00%), (CB, 4,271, 1.18%, 0.00%), (LLY, 1,603, 1.17%, 0.00%), (MA, 1,985, 1.17%, 0.00%), (GE, 3,983, 1.09%, 0.00%), (WM, 4,784, 1.08%, 0.00%), (UNH, 2,981, 0.91%, 0.00%), (NFLX, 748, 0.90%, 0.00%), (ORCL, 4,006, 0.90%, 0.00%), (NEE, 12,290, 0.89%, 0.00%), (JNJ, 4,897, 0.87%, 0.00%), (CVX, 5,175, 0.83%, 0.00%), (PG, 5,154, 0.81%, 0.00%), (PLTR, 5,109, 0.80%, 0.00%), (WMT, 8,153, 0.79%, 0.00%), (COST, 832, 0.78%, 0.00%), (RTX, 4,897, 0.77%, 0.00%), (MCD, 2,435, 0.76%, 0.00%), (ABBV, 3,595, 0.76%, 0.00%), (HD, 1,842, 0.75%, 0.00%), (ABT, 5,619, 0.74%, 0.00%), (CAT, 1,776, 0.74%, 0.00%), (BAC, 13,333, 0.67%, 0.00%), (BA, 2,750, 0.65%, 0.00%), (KO, 9,318, 0.64%, 0.00%), (PM, 3,737, 0.62%, 0.00%), (BKNG, 112, 0.61%, 0.00%), (SO, 6,549, 0.60%, 0.00%), (AMD, 3,733, 0.60%, 0.00%), (CRM, 2,383, 0.59%, 0.00%), (NKE, 7,960, 0.59%, 0.00%), (DUK, 4,616, 0.56%, 0.00%), (IBM, 2,305, 0.55%, 0.00%), (GS, 760, 0.55%, 0.00%), (UBER, 5,925, 0.55%, 0.00%), (WFC, 6,650, 0.54%, 0.00%), (ISRG, 1,153, 0.54%, 0.00%), (MET, 6,626, 0.53%, 0.00%), (HON, 2,392, 0.52%, 0.00%), (ETN, 1,454, 0.50%, 0.00%), (PEP, 3,297, 0.49%, 0.00%), (NOW, 514, 0.46%, 0.00%), (INTU, 699, 0.46%, 0.00%), (T, 15,867, 0.46%, 0.00%), (MS, 3,006, 0.45%, 0.00%), (AXP, 1,349, 0.44%, 0.00%), (DE, 936, 0.44%, 0.00%), (MRK, 5,146, 0.44%, 0.00%), (TXN, 2,099, 0.42%, 0.00%), (SPGI, 769, 0.41%, 0.00%), (VZ, 9,309, 0.41%, 0.00%), (QCOM, 2,556, 0.40%, 0.00%), (COP, 4,006, 0.39%, 0.00%), (BLK, 353, 0.39%, 0.00%), (MDT, 4,154, 0.39%, 0.00%), (ADBE, 1,097, 0.38%, 0.00%), (TMO, 778, 0.38%, 0.00%), (UNP, 1,705, 0.38%, 0.00%), (DIS, 3,170, 0.37%, 0.00%), (C, 3,778, 0.36%, 0.00%), (LMT, 776, 0.35%, 0.00%), (SCHW, 3,622, 0.35%, 0.00%), (SBUX, 3,851, 0.34%, 0.00%), (AMGN, 1,093, 0.31%, 0.00%), (MMM, 2,004, 0.31%, 0.00%), (CVS, 4,076, 0.30%, 0.00%), (AMAT, 1,897, 0.30%, 0.00%), (ACN, 1,158, 0.30%, 0.00%), (TJX, 2,092, 0.29%, 0.00%), (PFE, 11,529, 0.29%, 0.00%), (GILD, 2,535, 0.28%, 0.00%), (EMR, 2,098, 0.27%, 0.00%), (MO, 4,073, 0.27%, 0.00%), (LOW, 1,052, 0.27%, 0.00%), (DHR, 1,308, 0.27%, 0.00%), (ELV, 751, 0.24%, 0.00%), (INTC, 9,922, 0.24%, 0.00%), (CMCSA, 6,684, 0.23%, 0.00%), (MDLZ, 3,214, 0.20%, 0.00%), (BMY, 4,126, 0.19%, 0.00%), (UPS, 2,057, 0.17%,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</si>
  <si>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(AVGO, 4,074, 3.02%, 0.00%), (META, 1,447, 2.66%, 0.00%), (BRK/B, 1,683, 2.11%, 0.00%), (GOOGL, 3,878, 2.05%, 0.00%), (CSCO, 10,221, 1.74%, 0.00%), (LIN, 1,446, 1.72%, 0.00%), (GOOG, 3,159, 1.68%, 0.00%), (JPM, 2,131, 1.60%, 0.00%), (TSLA, 1,936, 1.59%, 0.00%), (XOM, 5,160, 1.48%, 0.00%), (AMT, 2,934, 1.47%, 0.00%), (V, 1,588, 1.39%, 0.00%), (CB, 1,619, 1.12%, 0.00%), (MA, 753, 1.12%, 0.00%), (LLY, 608, 1.12%, 0.00%), (GE, 1,509, 1.04%, 0.00%), (WM, 1,814, 1.03%, 0.00%), (UNH, 1,130, 0.87%, 0.00%), (NFLX, 284, 0.86%, 0.00%), (ORCL, 1,518, 0.85%, 0.00%), (NEE, 4,659, 0.85%, 0.00%), (JNJ, 1,856, 0.83%, 0.00%), (CVX, 1,962, 0.79%, 0.00%), (PG, 1,953, 0.77%, 0.00%), (PLTR, 1,936, 0.76%, 0.00%), (WMT, 3,091, 0.76%, 0.00%), (COST, 315, 0.74%, 0.00%), (RTX, 1,856, 0.73%, 0.00%), (MCD, 923, 0.73%, 0.00%), (ABBV, 1,363, 0.72%, 0.00%), (HD, 699, 0.71%, 0.00%), (ABT, 2,130, 0.70%, 0.00%), (CAT, 673, 0.70%, 0.00%), (BAC, 5,054, 0.64%, 0.00%), (BA, 1,043, 0.62%, 0.00%), (KO, 3,533, 0.61%, 0.00%), (BKNG, 43, 0.59%, 0.00%), (PM, 1,417, 0.59%, 0.00%), (AMD, 1,416, 0.57%, 0.00%), (SO, 2,482, 0.57%, 0.00%), (CRM, 904, 0.57%, 0.00%), (NKE, 3,018, 0.56%, 0.00%), (DUK, 1,750, 0.53%, 0.00%), (GS, 289, 0.53%, 0.00%), (IBM, 874, 0.53%, 0.00%), (UBER, 2,246, 0.52%, 0.00%), (WFC, 2,521, 0.52%, 0.00%), (ISRG, 437, 0.51%, 0.00%), (MET, 2,512, 0.51%, 0.00%), (HON, 907, 0.49%, 0.00%), (ETN, 552, 0.48%, 0.00%), (PEP, 1,250, 0.47%, 0.00%), (NOW, 195, 0.44%, 0.00%), (INTU, 265, 0.44%, 0.00%), (T, 6,015, 0.44%, 0.00%), (MS, 1,140, 0.42%, 0.00%), (DE, 355, 0.42%, 0.00%), (AXP, 511, 0.42%, 0.00%), (MRK, 1,951, 0.42%, 0.00%), (TXN, 796, 0.40%, 0.00%), (SPGI, 292, 0.39%, 0.00%), (VZ, 3,529, 0.39%, 0.00%), (QCOM, 969, 0.38%, 0.00%), (COP, 1,518, 0.38%, 0.00%), (BLK, 133, 0.37%, 0.00%), (MDT, 1,575, 0.37%, 0.00%), (ADBE, 416, 0.36%, 0.00%), (TMO, 295, 0.36%, 0.00%), (UNP, 646, 0.36%, 0.00%), (DIS, 1,202, 0.36%, 0.00%), (C, 1,432, 0.34%, 0.00%), (LMT, 295, 0.33%, 0.00%), (SCHW, 1,373, 0.33%, 0.00%), (SBUX, 1,460, 0.33%, 0.00%), (ACN, 490, 0.31%, 0.00%), (AMGN, 414, 0.30%, 0.00%), (MMM, 759, 0.29%, 0.00%), (CVS, 1,545, 0.29%, 0.00%), (AMAT, 719, 0.28%, 0.00%), (TJX, 793, 0.27%, 0.00%), (PFE, 4,370, 0.27%, 0.00%), (GILD, 961, 0.27%, 0.00%), (EMR, 796, 0.26%, 0.00%), (MO, 1,544, 0.26%, 0.00%), (LOW, 399, 0.26%, 0.00%), (DHR, 496, 0.25%, 0.00%), (ELV, 285, 0.23%, 0.00%), (INTC, 3,761, 0.23%, 0.00%), (CMCSA, 2,534, 0.22%, 0.00%), (MDLZ, 1,219, 0.19%, 0.00%), (BMY, 1,564, 0.19%, 0.00%), (UPS, 780, 0.17%, 0.00%), (PYPL, 920, 0.16%, 0.00%), (USB, 1,181, 0.14%, 0.00%), (CL, 678, 0.14%, 0.00%), (FDX, 240, 0.13%, 0.00%), (TGT, 328, 0.08%, 0.00%), (SC28181B, nan, nan%, 0.00%), (SC28183B, nan, nan%, 0.00%), (SP28182B, nan, nan%, 0.00%), (SP28185B, nan, nan%, 0.00%), (SP28184B, nan, nan%, 0.00%), (XP28185B, nan, nan%, 0.00%)</t>
  </si>
  <si>
    <t>(AVGO, 4,430, 3.05%, 0.00%), (META, 1,574, 2.69%, 0.00%), (BRK/B, 1,831, 2.14%, 0.00%), (GOOGL, 4,218, 2.07%, 0.00%), (CSCO, 11,115, 1.76%, 0.00%), (LIN, 1,573, 1.74%, 0.00%), (GOOG, 3,435, 1.69%, 0.00%), (JPM, 2,318, 1.62%, 0.00%), (TSLA, 2,106, 1.61%, 0.00%), (XOM, 5,611, 1.50%, 0.00%), (AMT, 3,190, 1.49%, 0.00%), (V, 1,726, 1.41%, 0.00%), (CB, 1,761, 1.14%, 0.00%), (MA, 819, 1.13%, 0.00%), (LLY, 661, 1.13%, 0.00%), (GE, 1,642, 1.05%, 0.00%), (WM, 1,972, 1.04%, 0.00%), (UNH, 1,229, 0.88%, 0.00%), (NFLX, 309, 0.87%, 0.00%), (ORCL, 1,652, 0.86%, 0.00%), (NEE, 5,067, 0.85%, 0.00%), (JNJ, 2,019, 0.84%, 0.00%), (CVX, 2,134, 0.80%, 0.00%), (PG, 2,125, 0.78%, 0.00%), (PLTR, 2,106, 0.77%, 0.00%), (WMT, 3,361, 0.76%, 0.00%), (COST, 343, 0.75%, 0.00%), (RTX, 2,019, 0.74%, 0.00%), (MCD, 1,004, 0.74%, 0.00%), (ABBV, 1,482, 0.73%, 0.00%), (HD, 760, 0.72%, 0.00%), (ABT, 2,317, 0.71%, 0.00%), (CAT, 732, 0.71%, 0.00%), (BAC, 5,496, 0.65%, 0.00%), (BA, 1,134, 0.62%, 0.00%), (KO, 3,841, 0.62%, 0.00%), (PM, 1,540, 0.60%, 0.00%), (BKNG, 46, 0.59%, 0.00%), (AMD, 1,539, 0.58%, 0.00%), (SO, 2,699, 0.58%, 0.00%), (CRM, 982, 0.57%, 0.00%), (NKE, 3,282, 0.57%, 0.00%), (DUK, 1,903, 0.54%, 0.00%), (GS, 314, 0.53%, 0.00%), (IBM, 951, 0.53%, 0.00%), (UBER, 2,442, 0.53%, 0.00%), (WFC, 2,741, 0.52%, 0.00%), (ISRG, 476, 0.52%, 0.00%), (MET, 2,732, 0.51%, 0.00%), (HON, 986, 0.50%, 0.00%), (ETN, 599, 0.48%, 0.00%), (PEP, 1,359, 0.47%, 0.00%), (NOW, 212, 0.45%, 0.00%), (INTU, 288, 0.44%, 0.00%), (T, 6,541, 0.44%, 0.00%), (MS, 1,238, 0.43%, 0.00%), (DE, 386, 0.43%, 0.00%), (AXP, 556, 0.43%, 0.00%), (MRK, 2,122, 0.42%, 0.00%), (TXN, 866, 0.40%, 0.00%), (SPGI, 318, 0.40%, 0.00%), (VZ, 3,838, 0.39%, 0.00%), (QCOM, 1,053, 0.39%, 0.00%), (COP, 1,651, 0.38%, 0.00%), (BLK, 145, 0.38%, 0.00%), (MDT, 1,712, 0.37%, 0.00%), (ADBE, 452, 0.36%, 0.00%), (UNP, 703, 0.36%, 0.00%), (TMO, 320, 0.36%, 0.00%), (DIS, 1,307, 0.36%, 0.00%), (C, 1,557, 0.34%, 0.00%), (LMT, 320, 0.34%, 0.00%), (SCHW, 1,493, 0.33%, 0.00%), (SBUX, 1,588, 0.33%, 0.00%), (ACN, 542, 0.32%, 0.00%), (AMGN, 451, 0.30%, 0.00%), (MMM, 826, 0.30%, 0.00%), (CVS, 1,681, 0.29%, 0.00%), (AMAT, 781, 0.29%, 0.00%), (TJX, 863, 0.28%, 0.00%), (PFE, 4,753, 0.28%, 0.00%), (GILD, 1,046, 0.27%, 0.00%), (EMR, 865, 0.26%, 0.00%), (MO, 1,680, 0.26%, 0.00%), (LOW, 434, 0.26%, 0.00%), (DHR, 539, 0.26%, 0.00%), (ELV, 310, 0.23%, 0.00%), (INTC, 4,090, 0.23%, 0.00%), (CMCSA, 2,755, 0.22%, 0.00%), (MDLZ, 1,324, 0.19%, 0.00%), (BMY, 1,701, 0.19%, 0.00%), (UPS, 849, 0.17%, 0.00%), (PYPL, 1,001, 0.16%, 0.00%), (USB, 1,285, 0.15%,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</si>
  <si>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3.16%, 0.00%), (META, 2,958, 2.79%, 0.00%), (BRK/B, 3,441, 2.21%, 0.00%), (GOOGL, 7,929, 2.15%, 0.00%), (CSCO, 20,896, 1.82%, 0.00%), (LIN, 2,956, 1.80%, 0.00%), (GOOG, 6,458, 1.76%, 0.00%), (JPM, 4,358, 1.68%, 0.00%), (TSLA, 3,958, 1.67%, 0.00%), (XOM, 10,549, 1.55%, 0.00%), (AMT, 5,998, 1.55%, 0.00%), (V, 3,245, 1.46%, 0.00%), (CB, 3,310, 1.18%, 0.00%), (LLY, 1,243, 1.17%, 0.00%), (MA, 1,539, 1.17%, 0.00%), (GE, 3,087, 1.09%, 0.00%), (WM, 3,707, 1.08%, 0.00%), (UNH, 2,310, 0.91%, 0.00%), (NFLX, 580, 0.90%, 0.00%), (ORCL, 3,105, 0.90%, 0.00%), (NEE, 9,524, 0.89%, 0.00%), (JNJ, 3,795, 0.87%, 0.00%), (CVX, 4,011, 0.83%, 0.00%), (PG, 3,994, 0.81%, 0.00%), (PLTR, 3,959, 0.80%, 0.00%), (WMT, 6,318, 0.79%, 0.00%), (COST, 645, 0.78%, 0.00%), (RTX, 3,795, 0.77%, 0.00%), (MCD, 1,887, 0.76%, 0.00%), (ABBV, 2,786, 0.76%, 0.00%), (HD, 1,428, 0.74%, 0.00%), (ABT, 4,354, 0.74%, 0.00%), (CAT, 1,377, 0.73%, 0.00%), (BAC, 10,333, 0.67%, 0.00%), (BA, 2,131, 0.65%, 0.00%), (KO, 7,222, 0.64%, 0.00%), (PM, 2,896, 0.62%, 0.00%), (BKNG, 87, 0.62%, 0.00%), (AMD, 2,894, 0.60%, 0.00%), (SO, 5,075, 0.60%, 0.00%), (CRM, 1,847, 0.60%, 0.00%), (NKE, 6,169, 0.59%, 0.00%), (DUK, 3,578, 0.56%, 0.00%), (IBM, 1,786, 0.55%, 0.00%), (GS, 589, 0.55%, 0.00%), (UBER, 4,591, 0.55%, 0.00%), (WFC, 5,154, 0.54%, 0.00%), (ISRG, 894, 0.54%, 0.00%), (MET, 5,136, 0.53%, 0.00%), (HON, 1,855, 0.52%, 0.00%), (ETN, 1,127, 0.50%, 0.00%), (PEP, 2,556, 0.49%, 0.00%), (NOW, 398, 0.46%, 0.00%), (INTU, 542, 0.46%, 0.00%), (T, 12,298, 0.46%, 0.00%), (MS, 2,329, 0.44%, 0.00%), (DE, 726, 0.44%, 0.00%), (AXP, 1,045, 0.44%, 0.00%), (MRK, 3,988, 0.44%, 0.00%), (TXN, 1,626, 0.42%, 0.00%), (SPGI, 596, 0.41%, 0.00%), (VZ, 7,214, 0.41%, 0.00%), (QCOM, 1,981, 0.40%, 0.00%), (COP, 3,104, 0.39%, 0.00%), (BLK, 273, 0.39%, 0.00%), (MDT, 3,220, 0.39%, 0.00%), (ADBE, 850, 0.38%, 0.00%), (TMO, 603, 0.38%, 0.00%), (UNP, 1,322, 0.38%, 0.00%), (DIS, 2,458, 0.37%, 0.00%), (ACN, 1,107, 0.36%, 0.00%), (C, 2,927, 0.36%, 0.00%), (LMT, 602, 0.35%, 0.00%), (SCHW, 2,807, 0.35%, 0.00%), (SBUX, 2,985, 0.34%, 0.00%), (AMGN, 847, 0.31%, 0.00%), (MMM, 1,553, 0.31%, 0.00%), (CVS, 3,160, 0.30%, 0.00%), (AMAT, 1,470, 0.30%, 0.00%), (TJX, 1,621, 0.29%, 0.00%), (PFE, 8,934, 0.29%, 0.00%), (GILD, 1,964, 0.28%, 0.00%), (EMR, 1,626, 0.27%, 0.00%), (MO, 3,157, 0.27%, 0.00%), (LOW, 816, 0.27%, 0.00%), (DHR, 1,013, 0.26%, 0.00%), (ELV, 582, 0.24%, 0.00%), (INTC, 7,690, 0.24%, 0.00%), (CMCSA, 5,179, 0.23%, 0.00%), (MDLZ, 2,490, 0.20%, 0.00%), (BMY, 3,197, 0.19%, 0.00%), (UPS, 1,595, 0.17%,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</si>
  <si>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GOOGL, BK, META, MLI, JPM, MSFT, PHM, BKNG, EA, RJF, BLK</t>
  </si>
  <si>
    <t>(EWBC, 9,857, 1.90%, 0.01%), (AXP, 3,217, 1.88%, 0.00%), (HIG, 7,635, 1.84%, 0.00%), (TRV, 3,628, 1.82%, 0.00%), (V, 2,851, 1.81%, 0.00%), (ROST, 6,353, 1.73%, 0.00%), (UNM, 12,828, 1.69%, 0.01%), (SNA, 2,843, 1.66%, 0.01%), (ADP, 3,047, 1.65%, 0.00%), (NVDA, 5,328, 1.65%, 0.00%), (LEN, 6,731, 1.63%, 0.00%), (SYF, 11,908, 1.63%, 0.00%), (CB, 3,217, 1.62%, 0.00%), (PCAR, 9,017, 1.57%, 0.00%), (AMAT, 5,463, 1.54%, 0.00%), (KLAC, 1,009, 1.54%, 0.00%), (CRM, 3,267, 1.52%, 0.00%), (CTSH, 11,525, 1.50%, 0.00%), (WSM, 4,032, 1.40%, 0.00%), (PAYC, 3,488, 1.40%, 0.01%), (DHI, 4,473, 1.39%, 0.00%), (BKR, 16,960, 1.38%, 0.00%), (QCOM, 4,600, 1.31%, 0.00%), (AAPL, 2,970, 1.28%, 0.00%), (ELV, 2,184, 1.27%, 0.00%), (ACN, 2,717, 1.25%, 0.00%), (AFL, 6,299, 1.22%, 0.00%), (MPWR, 728, 1.09%, 0.00%), (ODFL, 3,907, 1.05%, 0.00%), (CSCO, 8,532, 1.04%, 0.00%), (LRCX, 5,875, 1.04%, 0.00%), (GE, 2,059, 1.03%, 0.00%), (STT, 4,729, 0.97%, 0.00%), (PNC, 2,532, 0.94%, 0.00%), (MTB, 2,516, 0.90%, 0.00%), (AMP, 921, 0.85%, 0.00%), (CF, 5,405, 0.83%, 0.00%), (ABT, 3,404, 0.81%, 0.00%), (COST, 473, 0.81%, 0.00%), (XOM, 3,959, 0.80%, 0.00%), (EOG, 3,562, 0.78%, 0.00%), (EG, 1,198, 0.76%, 0.00%), (CSL, 1,060, 0.72%, 0.00%), (NTRS, 2,195, 0.52%, 0.00%), (GEV, 482, 0.50%, 0.00%), (MA, 458, 0.49%, 0.00%), (JNJ, 1,470, 0.47%, 0.00%), (LNC, 6,003, 0.47%, 0.00%), (CRBG, 7,541, 0.47%, 0.00%), (ACM, 2,077, 0.47%, 0.00%), (MTG, 8,625, 0.44%, 0.00%), (WTFC, 1,768, 0.44%, 0.00%), (JXN, 2,478, 0.43%, 0.00%), (CINF, 1,527, 0.42%, 0.00%), (ADM, 3,655, 0.41%, 0.00%), (EQH, 4,255, 0.41%, 0.00%), (DOV, 1,283, 0.41%, 0.00%), (ALL, 1,087, 0.40%, 0.00%), (MCK, 317, 0.40%, 0.00%), (SLM, 7,048, 0.39%, 0.00%), (NUE, 1,467, 0.39%, 0.00%), (NKE, 2,676, 0.36%, 0.00%), (PGR, 801, 0.36%, 0.00%), (FANG, 1,143, 0.29%, 0.00%), (SC13N61B, nan, nan%, 0.00%), (SC13N63B, nan, nan%, 0.00%), (SP13N62B, nan, nan%, 0.00%), (SP13N65B, nan, nan%, 0.00%), (SP13N64B, nan, nan%, 0.00%), (SPX Index, nan, nan%, 0.00%), (XP13N65B, nan, nan%, 0.00%)</t>
  </si>
  <si>
    <t>(AVGO, 3,821, 3.33%, 0.00%), (META, 1,357, 2.91%, 0.00%), (GOOGL, 3,639, 2.39%, 0.00%), (BRK/B, 1,579, 2.31%, 0.00%), (GOOG, 2,963, 1.95%, 0.00%), (CSCO, 9,589, 1.89%, 0.00%), (LIN, 1,357, 1.87%, 0.00%), (TSLA, 1,817, 1.76%, 0.00%), (JPM, 2,000, 1.75%, 0.00%), (XOM, 4,840, 1.58%, 0.00%), (AMT, 2,752, 1.58%, 0.00%), (V, 1,489, 1.52%, 0.00%), (CB, 1,519, 1.23%, 0.00%), (LLY, 570, 1.22%, 0.00%), (MA, 706, 1.22%, 0.00%), (GE, 1,417, 1.14%, 0.00%), (WM, 1,702, 1.12%, 0.00%), (UNH, 1,061, 0.95%, 0.00%), (NFLX, 266, 0.95%, 0.00%), (ORCL, 1,425, 0.93%, 0.00%), (NEE, 4,371, 0.91%, 0.00%), (JNJ, 1,742, 0.90%, 0.00%), (CVX, 1,841, 0.85%, 0.00%), (PG, 1,833, 0.84%, 0.00%), (WMT, 2,899, 0.83%, 0.00%), (PLTR, 1,817, 0.82%, 0.00%), (COST, 296, 0.82%, 0.00%), (RTX, 1,742, 0.80%, 0.00%), (MCD, 867, 0.80%, 0.00%), (ABBV, 1,279, 0.79%, 0.00%), (HD, 656, 0.78%, 0.00%), (ABT, 1,998, 0.77%, 0.00%), (CAT, 632, 0.77%, 0.00%), (BAC, 4,742, 0.69%, 0.00%), (KO, 3,314, 0.67%, 0.00%), (BA, 978, 0.66%, 0.00%), (BKNG, 40, 0.65%, 0.00%), (PM, 1,329, 0.63%, 0.00%), (CRM, 848, 0.63%, 0.00%), (AMD, 1,328, 0.63%, 0.00%), (SO, 2,329, 0.62%, 0.00%), (NKE, 2,831, 0.62%, 0.00%), (DUK, 1,642, 0.58%, 0.00%), (IBM, 820, 0.58%, 0.00%), (GS, 270, 0.58%, 0.00%), (UBER, 2,107, 0.57%, 0.00%), (WFC, 2,365, 0.56%, 0.00%), (MET, 2,357, 0.55%, 0.00%), (HON, 851, 0.53%, 0.00%), (ISRG, 410, 0.53%, 0.00%), (ETN, 518, 0.52%, 0.00%), (PEP, 1,173, 0.51%, 0.00%), (NOW, 182, 0.48%, 0.00%), (INTU, 248, 0.48%, 0.00%), (T, 5,643, 0.48%, 0.00%), (MS, 1,069, 0.46%, 0.00%), (DE, 333, 0.46%, 0.00%), (AXP, 479, 0.45%, 0.00%), (MRK, 1,831, 0.45%, 0.00%), (SPGI, 274, 0.43%, 0.00%), (TXN, 746, 0.43%, 0.00%), (VZ, 3,310, 0.42%, 0.00%), (QCOM, 909, 0.42%, 0.00%), (ACN, 554, 0.41%, 0.00%), (BLK, 125, 0.40%, 0.00%), (MDT, 1,478, 0.40%, 0.00%), (ADBE, 390, 0.40%, 0.00%), (COP, 1,425, 0.39%, 0.00%), (UNP, 606, 0.39%, 0.00%), (TMO, 277, 0.39%, 0.00%), (DIS, 1,128, 0.39%, 0.00%), (C, 1,344, 0.37%, 0.00%), (LMT, 276, 0.36%, 0.00%), (SCHW, 1,288, 0.36%, 0.00%), (SBUX, 1,370, 0.35%, 0.00%), (AMGN, 389, 0.32%, 0.00%), (MMM, 713, 0.32%, 0.00%), (CVS, 1,450, 0.31%, 0.00%), (AMAT, 674, 0.31%, 0.00%), (TJX, 744, 0.30%, 0.00%), (GILD, 902, 0.30%, 0.00%), (PFE, 4,100, 0.30%, 0.00%), (LOW, 375, 0.28%, 0.00%), (EMR, 746, 0.28%, 0.00%), (MO, 1,449, 0.28%, 0.00%), (DHR, 465, 0.27%, 0.00%), (ELV, 267, 0.25%, 0.00%), (INTC, 3,529, 0.25%, 0.00%), (CMCSA, 2,377, 0.23%, 0.00%), (MDLZ, 1,143, 0.20%, 0.00%), (BMY, 1,468, 0.20%, 0.00%), (UPS, 731, 0.18%, 0.00%), (PYPL, 864, 0.18%, 0.00%), (USB, 1,108, 0.16%, 0.00%), (CL, 636, 0.16%, 0.00%), (FDX, 225, 0.15%, 0.00%), (TGT, 308, 0.08%, 0.00%), (SC31761B, nan, nan%, 0.00%), (SC31763B, nan, nan%, 0.00%), (SP31762B, nan, nan%, 0.00%), (SP31765B, nan, nan%, 0.00%), (SP31764B, nan, nan%, 0.00%), (XP31765B, nan, nan%, 0.00%)</t>
  </si>
  <si>
    <t>(AVGO, 2,518, 3.24%, 0.00%), (META, 895, 2.83%, 0.00%), (GOOGL, 2,398, 2.32%, 0.00%), (BRK/B, 1,041, 2.25%, 0.00%), (GOOG, 1,954, 1.90%, 0.00%), (CSCO, 6,320, 1.84%, 0.00%), (LIN, 894, 1.82%, 0.00%), (TSLA, 1,198, 1.71%, 0.00%), (JPM, 1,318, 1.70%, 0.00%), (XOM, 3,191, 1.54%, 0.00%), (AMT, 1,814, 1.53%, 0.00%), (V, 982, 1.48%, 0.00%), (CB, 1,001, 1.20%, 0.00%), (LLY, 376, 1.19%, 0.00%), (MA, 465, 1.19%, 0.00%), (GE, 933, 1.11%, 0.00%), (WM, 1,122, 1.08%, 0.00%), (UNH, 699, 0.92%, 0.00%), (NFLX, 175, 0.92%, 0.00%), (ORCL, 939, 0.90%, 0.00%), (NEE, 2,881, 0.89%, 0.00%), (JNJ, 1,148, 0.88%, 0.00%), (CVX, 1,213, 0.83%, 0.00%), (PG, 1,208, 0.82%, 0.00%), (WMT, 1,911, 0.81%, 0.00%), (PLTR, 1,198, 0.80%, 0.00%), (COST, 195, 0.79%, 0.00%), (RTX, 1,148, 0.78%, 0.00%), (MCD, 571, 0.77%, 0.00%), (ABBV, 843, 0.77%, 0.00%), (HD, 432, 0.76%, 0.00%), (ABT, 1,317, 0.75%, 0.00%), (CAT, 416, 0.74%, 0.00%), (BAC, 3,126, 0.67%, 0.00%), (BKNG, 27, 0.65%, 0.00%), (KO, 2,184, 0.65%, 0.00%), (BA, 645, 0.64%, 0.00%), (PM, 876, 0.62%, 0.00%), (CRM, 559, 0.61%, 0.00%), (AMD, 875, 0.61%, 0.00%), (SO, 1,535, 0.61%, 0.00%), (NKE, 1,866, 0.60%, 0.00%), (DUK, 1,082, 0.57%, 0.00%), (IBM, 540, 0.57%, 0.00%), (GS, 178, 0.56%, 0.00%), (UBER, 1,389, 0.55%, 0.00%), (WFC, 1,558, 0.54%, 0.00%), (MET, 1,553, 0.54%, 0.00%), (HON, 561, 0.52%, 0.00%), (ISRG, 270, 0.51%, 0.00%), (ETN, 341, 0.50%, 0.00%), (PEP, 773, 0.49%, 0.00%), (NOW, 120, 0.48%, 0.00%), (INTU, 164, 0.47%, 0.00%), (T, 3,719, 0.47%, 0.00%), (MS, 705, 0.45%, 0.00%), (DE, 220, 0.44%, 0.00%), (AXP, 316, 0.44%, 0.00%), (MRK, 1,206, 0.44%, 0.00%), (SPGI, 180, 0.42%, 0.00%), (TXN, 492, 0.41%, 0.00%), (VZ, 2,182, 0.41%, 0.00%), (QCOM, 599, 0.41%, 0.00%), (ACN, 365, 0.40%, 0.00%), (BLK, 83, 0.39%, 0.00%), (MDT, 974, 0.39%, 0.00%), (ADBE, 257, 0.38%, 0.00%), (COP, 939, 0.38%, 0.00%), (UNP, 400, 0.38%, 0.00%), (TMO, 182, 0.38%, 0.00%), (DIS, 743, 0.38%, 0.00%), (C, 885, 0.36%, 0.00%), (LMT, 182, 0.35%, 0.00%), (SCHW, 849, 0.35%, 0.00%), (SBUX, 903, 0.34%, 0.00%), (AMGN, 256, 0.31%, 0.00%), (MMM, 470, 0.31%, 0.00%), (CVS, 955, 0.30%, 0.00%), (AMAT, 445, 0.30%, 0.00%), (TJX, 491, 0.29%, 0.00%), (GILD, 594, 0.29%, 0.00%), (PFE, 2,703, 0.29%, 0.00%), (LOW, 246, 0.27%, 0.00%), (EMR, 492, 0.27%, 0.00%), (MO, 955, 0.27%, 0.00%), (DHR, 307, 0.26%, 0.00%), (ELV, 176, 0.24%, 0.00%), (INTC, 2,326, 0.24%, 0.00%), (CMCSA, 1,566, 0.23%, 0.00%), (MDLZ, 753, 0.20%, 0.00%), (BMY, 967, 0.20%, 0.00%), (UPS, 482, 0.18%, 0.00%), (PYPL, 570, 0.17%, 0.00%), (USB, 730, 0.15%, 0.00%), (CL, 419, 0.15%, 0.00%), (FDX, 148, 0.14%, 0.00%), (TGT, 203, 0.08%, 0.00%), (SC9061B, nan, nan%, 0.00%), (SC9063B, nan, nan%, 0.00%), (SP9062B, nan, nan%, 0.00%), (SP9065B, nan, nan%, 0.00%), (SP9064B, nan, nan%, 0.00%), (XP9065B, nan, nan%, 0.00%)</t>
  </si>
  <si>
    <t>(META, 858, 2.58%, 0.00%), (GOOGL, 2,299, 2.12%, 0.00%), (BRK/B, 997, 2.04%, 0.00%), (GOOG, 1,872, 1.73%, 0.00%), (CSCO, 6,057, 1.67%, 0.00%), (LIN, 857, 1.65%, 0.00%), (TSLA, 1,147, 1.56%, 0.00%), (JPM, 1,263, 1.54%, 0.00%), (XOM, 3,058, 1.40%, 0.00%), (AMT, 1,738, 1.39%, 0.00%), (V, 941, 1.35%, 0.00%), (CB, 960, 1.09%, 0.00%), (LLY, 360, 1.08%, 0.00%), (MA, 446, 1.08%, 0.00%), (GE, 894, 1.00%, 0.00%), (WM, 1,075, 0.98%, 0.00%), (NFLX, 168, 0.84%, 0.00%), (UNH, 670, 0.84%, 0.00%), (ORCL, 900, 0.82%, 0.00%), (NEE, 2,761, 0.81%, 0.00%), (JNJ, 1,100, 0.80%, 0.00%), (CVX, 1,163, 0.75%, 0.00%), (PG, 1,157, 0.75%, 0.00%), (WMT, 1,831, 0.74%, 0.00%), (PLTR, 1,147, 0.72%, 0.00%), (COST, 187, 0.72%, 0.00%), (RTX, 1,100, 0.71%, 0.00%), (MCD, 548, 0.70%, 0.00%), (ABBV, 807, 0.70%, 0.00%), (HD, 414, 0.69%, 0.00%), (ABT, 1,262, 0.68%, 0.00%), (CAT, 399, 0.68%, 0.00%), (BAC, 2,996, 0.61%, 0.00%), (BKNG, 26, 0.59%, 0.00%), (KO, 2,093, 0.59%, 0.00%), (BA, 618, 0.59%, 0.00%), (PM, 839, 0.56%, 0.00%), (CRM, 536, 0.56%, 0.00%), (AMD, 839, 0.55%, 0.00%), (SO, 1,472, 0.55%, 0.00%), (NKE, 1,789, 0.55%, 0.00%), (IBM, 518, 0.52%, 0.00%), (DUK, 1,037, 0.51%, 0.00%), (GS, 171, 0.51%, 0.00%), (UBER, 1,331, 0.50%, 0.00%), (WFC, 1,494, 0.49%, 0.00%), (MET, 1,488, 0.49%, 0.00%), (HON, 538, 0.47%, 0.00%), (ISRG, 259, 0.47%, 0.00%), (ETN, 327, 0.46%, 0.00%), (PEP, 741, 0.45%, 0.00%), (NOW, 116, 0.44%, 0.00%), (INTU, 157, 0.43%, 0.00%), (T, 3,565, 0.42%, 0.00%), (MS, 675, 0.41%, 0.00%), (DE, 211, 0.40%, 0.00%), (AXP, 302, 0.40%, 0.00%), (MRK, 1,156, 0.40%, 0.00%), (SPGI, 173, 0.38%, 0.00%), (TXN, 471, 0.38%, 0.00%), (VZ, 2,091, 0.37%, 0.00%), (QCOM, 574, 0.37%, 0.00%), (ACN, 350, 0.36%, 0.00%), (BLK, 79, 0.35%, 0.00%), (MDT, 933, 0.35%, 0.00%), (ADBE, 246, 0.35%, 0.00%), (COP, 900, 0.35%, 0.00%), (UNP, 383, 0.35%, 0.00%), (TMO, 175, 0.35%, 0.00%), (DIS, 713, 0.34%, 0.00%), (C, 849, 0.33%, 0.00%), (LMT, 174, 0.32%, 0.00%), (SCHW, 813, 0.32%, 0.00%), (SBUX, 866, 0.31%, 0.00%), (AMGN, 246, 0.28%, 0.00%), (MMM, 450, 0.28%, 0.00%), (CVS, 916, 0.27%, 0.00%), (AMAT, 426, 0.27%, 0.00%), (TJX, 470, 0.27%, 0.00%), (GILD, 569, 0.26%, 0.00%), (PFE, 2,590, 0.26%, 0.00%), (LOW, 236, 0.25%, 0.00%), (EMR, 471, 0.25%, 0.00%), (MO, 915, 0.25%, 0.00%), (DHR, 294, 0.24%, 0.00%), (ELV, 169, 0.22%, 0.00%), (INTC, 2,229, 0.22%, 0.00%), (CMCSA, 1,501, 0.21%, 0.00%), (MDLZ, 722, 0.18%, 0.00%), (BMY, 927, 0.18%, 0.00%), (UPS, 463, 0.16%, 0.00%), (PYPL, 546, 0.15%, 0.00%), (USB, 700, 0.14%, 0.00%), (CL, 401, 0.14%, 0.00%), (FDX, 142, 0.13%, 0.00%), (TGT, 195, 0.07%, 0.00%), (SC28781H, nan, nan%, 0.00%), (SC28783H, nan, nan%, 0.00%), (SP28782H, nan, nan%, 0.00%), (SP28785B, nan, nan%, 0.00%), (SP28784H, nan, nan%, 0.00%), (XP28785B, nan, nan%, 0.00%)</t>
  </si>
  <si>
    <t>(AVGO, 1,600, 3.15%, 0.00%), (META, 568, 2.74%, 0.00%), (GOOGL, 1,523, 2.26%, 0.00%), (BRK/B, 661, 2.18%, 0.00%), (GOOG, 1,241, 1.85%, 0.00%), (CSCO, 4,015, 1.79%, 0.00%), (LIN, 568, 1.76%, 0.00%), (TSLA, 761, 1.66%, 0.00%), (JPM, 837, 1.65%, 0.00%), (XOM, 2,027, 1.49%, 0.00%), (AMT, 1,153, 1.49%, 0.00%), (V, 624, 1.44%, 0.00%), (CB, 636, 1.16%, 0.00%), (MA, 296, 1.15%, 0.00%), (LLY, 238, 1.15%, 0.00%), (GE, 593, 1.07%, 0.00%), (WM, 713, 1.05%, 0.00%), (NFLX, 112, 0.90%, 0.00%), (UNH, 444, 0.90%, 0.00%), (ORCL, 597, 0.87%, 0.00%), (NEE, 1,831, 0.86%, 0.00%), (JNJ, 729, 0.85%, 0.00%), (CVX, 771, 0.80%, 0.00%), (PG, 767, 0.80%, 0.00%), (WMT, 1,214, 0.79%, 0.00%), (COST, 124, 0.77%, 0.00%), (PLTR, 761, 0.77%, 0.00%), (RTX, 729, 0.76%, 0.00%), (MCD, 363, 0.75%, 0.00%), (ABBV, 536, 0.74%, 0.00%), (HD, 275, 0.74%, 0.00%), (ABT, 837, 0.73%, 0.00%), (CAT, 265, 0.72%, 0.00%), (BAC, 1,986, 0.65%, 0.00%), (KO, 1,388, 0.63%, 0.00%), (BA, 409, 0.62%, 0.00%), (BKNG, 17, 0.62%, 0.00%), (PM, 557, 0.60%, 0.00%), (CRM, 355, 0.59%, 0.00%), (AMD, 556, 0.59%, 0.00%), (SO, 976, 0.59%, 0.00%), (NKE, 1,185, 0.58%, 0.00%), (DUK, 688, 0.55%, 0.00%), (IBM, 343, 0.55%, 0.00%), (GS, 114, 0.55%, 0.00%), (UBER, 883, 0.54%, 0.00%), (WFC, 990, 0.52%, 0.00%), (MET, 986, 0.52%, 0.00%), (HON, 356, 0.50%, 0.00%), (ISRG, 172, 0.50%, 0.00%), (ETN, 216, 0.49%, 0.00%), (PEP, 491, 0.48%, 0.00%), (NOW, 76, 0.46%, 0.00%), (INTU, 104, 0.46%, 0.00%), (T, 2,363, 0.45%, 0.00%), (MS, 448, 0.44%, 0.00%), (DE, 139, 0.43%, 0.00%), (AXP, 201, 0.43%, 0.00%), (MRK, 766, 0.42%, 0.00%), (SPGI, 115, 0.41%, 0.00%), (TXN, 312, 0.40%, 0.00%), (VZ, 1,387, 0.40%, 0.00%), (QCOM, 381, 0.39%, 0.00%), (ACN, 232, 0.39%, 0.00%), (BLK, 52, 0.38%, 0.00%), (MDT, 619, 0.38%, 0.00%), (ADBE, 163, 0.37%, 0.00%), (COP, 597, 0.37%, 0.00%), (UNP, 254, 0.37%, 0.00%), (TMO, 116, 0.37%, 0.00%), (DIS, 472, 0.36%, 0.00%), (C, 562, 0.35%, 0.00%), (LMT, 116, 0.34%, 0.00%), (SCHW, 540, 0.34%, 0.00%), (SBUX, 573, 0.33%, 0.00%), (AMGN, 163, 0.30%, 0.00%), (MMM, 299, 0.30%, 0.00%), (CVS, 607, 0.29%, 0.00%), (AMAT, 283, 0.29%, 0.00%), (TJX, 311, 0.28%, 0.00%), (GILD, 378, 0.28%, 0.00%), (PFE, 1,717, 0.28%, 0.00%), (LOW, 157, 0.27%, 0.00%), (MO, 607, 0.27%, 0.00%), (EMR, 312, 0.27%, 0.00%), (DHR, 195, 0.26%, 0.00%), (ELV, 112, 0.24%, 0.00%), (INTC, 1,478, 0.23%, 0.00%), (CMCSA, 995, 0.22%, 0.00%), (MDLZ, 478, 0.19%, 0.00%), (BMY, 615, 0.19%, 0.00%), (UPS, 306, 0.17%, 0.00%), (PYPL, 362, 0.17%, 0.00%), (USB, 464, 0.15%, 0.00%), (CL, 266, 0.15%, 0.00%), (FDX, 94, 0.14%, 0.00%), (TGT, 128, 0.08%, 0.00%), (SC8071B, nan, nan%, 0.00%), (SC8073B, nan, nan%, 0.00%), (SP8072B, nan, nan%, 0.00%), (SP8075B, nan, nan%, 0.00%), (SP8074B, nan, nan%, 0.00%), (XP8075B, nan, nan%, 0.00%)</t>
  </si>
  <si>
    <t>(META, 5,916, 2.62%, 0.00%), (GOOGL, 15,857, 2.15%, 0.00%), (BRK/B, 6,883, 2.08%, 0.00%), (GOOG, 12,916, 1.76%, 0.00%), (CSCO, 41,792, 1.71%, 0.00%), (LIN, 5,913, 1.68%, 0.00%), (TSLA, 7,916, 1.59%, 0.00%), (JPM, 8,716, 1.58%, 0.00%), (XOM, 21,097, 1.43%, 0.00%), (AMT, 11,996, 1.42%, 0.00%), (V, 6,489, 1.37%, 0.00%), (CB, 6,620, 1.11%, 0.00%), (LLY, 2,484, 1.10%, 0.00%), (MA, 3,078, 1.10%, 0.00%), (GE, 6,172, 1.02%, 0.00%), (WM, 7,415, 1.00%, 0.00%), (UNH, 4,621, 0.86%, 0.00%), (NFLX, 1,160, 0.85%, 0.00%), (ORCL, 6,210, 0.84%, 0.00%), (NEE, 19,049, 0.82%, 0.00%), (JNJ, 7,592, 0.81%, 0.00%), (CVX, 8,023, 0.77%, 0.00%), (PG, 7,988, 0.76%, 0.00%), (WMT, 12,638, 0.75%, 0.00%), (PLTR, 7,920, 0.74%, 0.00%), (COST, 1,290, 0.74%, 0.00%), (RTX, 7,591, 0.72%, 0.00%), (MCD, 3,774, 0.72%, 0.00%), (ABBV, 5,572, 0.71%, 0.00%), (HD, 2,856, 0.70%, 0.00%), (ABT, 8,709, 0.69%, 0.00%), (CAT, 2,754, 0.69%, 0.00%), (BAC, 20,665, 0.62%, 0.00%), (KO, 14,443, 0.60%, 0.00%), (BA, 4,264, 0.60%, 0.00%), (BKNG, 174, 0.59%, 0.00%), (PM, 5,792, 0.57%, 0.00%), (CRM, 3,693, 0.56%, 0.00%), (AMD, 5,787, 0.56%, 0.00%), (SO, 10,150, 0.56%, 0.00%), (NKE, 12,339, 0.56%, 0.00%), (DUK, 7,155, 0.52%, 0.00%), (IBM, 3,572, 0.52%, 0.00%), (GS, 1,179, 0.52%, 0.00%), (UBER, 9,184, 0.51%, 0.00%), (WFC, 10,307, 0.50%, 0.00%), (MET, 10,271, 0.50%, 0.00%), (HON, 3,708, 0.48%, 0.00%), (ISRG, 1,788, 0.48%, 0.00%), (ETN, 2,254, 0.47%, 0.00%), (PEP, 5,111, 0.46%, 0.00%), (NOW, 795, 0.44%, 0.00%), (INTU, 1,083, 0.44%, 0.00%), (T, 24,594, 0.43%, 0.00%), (MS, 4,658, 0.42%, 0.00%), (DE, 1,451, 0.41%, 0.00%), (AXP, 2,090, 0.41%, 0.00%), (MRK, 7,976, 0.40%, 0.00%), (SPGI, 1,193, 0.39%, 0.00%), (TXN, 3,253, 0.38%, 0.00%), (VZ, 14,429, 0.38%, 0.00%), (QCOM, 3,962, 0.38%, 0.00%), (ACN, 2,414, 0.37%, 0.00%), (BLK, 547, 0.36%, 0.00%), (MDT, 6,440, 0.36%, 0.00%), (ADBE, 1,700, 0.36%, 0.00%), (COP, 6,209, 0.35%, 0.00%), (UNP, 2,644, 0.35%, 0.00%), (TMO, 1,207, 0.35%, 0.00%), (DIS, 4,915, 0.35%, 0.00%), (C, 5,855, 0.34%, 0.00%), (LMT, 1,204, 0.33%, 0.00%), (SCHW, 5,614, 0.33%, 0.00%), (SBUX, 5,970, 0.31%, 0.00%), (AMGN, 1,695, 0.29%, 0.00%), (MMM, 3,106, 0.28%, 0.00%), (CVS, 6,318, 0.28%, 0.00%), (AMAT, 2,939, 0.28%, 0.00%), (TJX, 3,243, 0.27%, 0.00%), (GILD, 3,930, 0.27%, 0.00%), (PFE, 17,869, 0.27%, 0.00%), (LOW, 1,631, 0.26%, 0.00%), (EMR, 3,252, 0.25%, 0.00%), (MO, 6,313, 0.25%, 0.00%), (DHR, 2,027, 0.24%, 0.00%), (ELV, 1,164, 0.23%, 0.00%), (INTC, 15,379, 0.22%, 0.00%), (CMCSA, 10,359, 0.21%, 0.00%), (MDLZ, 4,982, 0.18%, 0.00%), (BMY, 6,395, 0.18%, 0.00%), (UPS, 3,190, 0.16%, 0.00%), (PYPL, 3,764, 0.16%, 0.00%), (USB, 4,830, 0.14%, 0.00%), (CL, 2,771, 0.14%, 0.00%), (FDX, 981, 0.13%, 0.00%), (TGT, 1,342, 0.07%, 0.00%), (SC26771B, nan, nan%, 0.00%), (SC26773B, nan, nan%, 0.00%), (SP26772B, nan, nan%, 0.00%), (SP26774B, nan, nan%, 0.00%), (SP26775T, nan, nan%, 0.00%), (XP26775T, nan, nan%, 0.00%)</t>
  </si>
  <si>
    <t>(AVGO, 14,420, 3.20%, 0.00%), (META, 5,122, 2.80%, 0.00%), (GOOGL, 13,728, 2.29%, 0.00%), (BRK/B, 5,960, 2.22%, 0.00%), (GOOG, 11,182, 1.88%, 0.00%), (CSCO, 36,183, 1.82%, 0.00%), (LIN, 5,119, 1.80%, 0.00%), (TSLA, 6,854, 1.69%, 0.00%), (JPM, 7,546, 1.68%, 0.00%), (XOM, 18,265, 1.52%, 0.00%), (AMT, 10,386, 1.52%, 0.00%), (V, 5,618, 1.47%, 0.00%), (CB, 5,732, 1.19%, 0.00%), (LLY, 2,151, 1.18%, 0.00%), (MA, 2,665, 1.17%, 0.00%), (GE, 5,344, 1.09%, 0.00%), (WM, 6,420, 1.07%, 0.00%), (UNH, 4,000, 0.91%, 0.00%), (NFLX, 1,005, 0.91%, 0.00%), (ORCL, 5,376, 0.89%, 0.00%), (NEE, 16,492, 0.88%, 0.00%), (JNJ, 6,573, 0.87%, 0.00%), (CVX, 6,946, 0.82%, 0.00%), (PG, 6,916, 0.81%, 0.00%), (WMT, 10,941, 0.80%, 0.00%), (PLTR, 6,857, 0.79%, 0.00%), (COST, 1,117, 0.79%, 0.00%), (RTX, 6,573, 0.77%, 0.00%), (MCD, 3,268, 0.77%, 0.00%), (ABBV, 4,825, 0.76%, 0.00%), (HD, 2,473, 0.75%, 0.00%), (ABT, 7,540, 0.74%, 0.00%), (CAT, 2,384, 0.74%, 0.00%), (BAC, 17,891, 0.67%, 0.00%), (KO, 12,505, 0.64%, 0.00%), (BA, 3,692, 0.64%, 0.00%), (BKNG, 151, 0.63%, 0.00%), (PM, 5,015, 0.61%, 0.00%), (CRM, 3,198, 0.60%, 0.00%), (AMD, 5,010, 0.60%, 0.00%), (SO, 8,787, 0.60%, 0.00%), (NKE, 10,683, 0.59%, 0.00%), (DUK, 6,195, 0.56%, 0.00%), (IBM, 3,093, 0.56%, 0.00%), (GS, 1,021, 0.55%, 0.00%), (UBER, 7,951, 0.55%, 0.00%), (WFC, 8,923, 0.53%, 0.00%), (MET, 8,893, 0.53%, 0.00%), (HON, 3,210, 0.51%, 0.00%), (ISRG, 1,548, 0.51%, 0.00%), (ETN, 1,951, 0.50%, 0.00%), (PEP, 4,425, 0.49%, 0.00%), (NOW, 689, 0.47%, 0.00%), (INTU, 938, 0.47%, 0.00%), (T, 21,293, 0.46%, 0.00%), (MS, 4,033, 0.45%, 0.00%), (DE, 1,256, 0.44%, 0.00%), (AXP, 1,809, 0.44%, 0.00%), (MRK, 6,906, 0.43%, 0.00%), (SPGI, 1,032, 0.41%, 0.00%), (TXN, 2,816, 0.41%, 0.00%), (VZ, 12,493, 0.41%, 0.00%), (QCOM, 3,430, 0.40%, 0.00%), (ACN, 2,090, 0.39%, 0.00%), (BLK, 473, 0.39%, 0.00%), (MDT, 5,575, 0.38%, 0.00%), (ADBE, 1,472, 0.38%, 0.00%), (COP, 5,376, 0.38%, 0.00%), (UNP, 2,290, 0.38%, 0.00%), (TMO, 1,044, 0.38%, 0.00%), (DIS, 4,255, 0.37%, 0.00%), (C, 5,069, 0.36%, 0.00%), (LMT, 1,041, 0.35%, 0.00%), (SCHW, 4,860, 0.35%, 0.00%), (SBUX, 5,169, 0.33%, 0.00%), (AMGN, 1,467, 0.31%, 0.00%), (MMM, 2,689, 0.30%, 0.00%), (CVS, 5,470, 0.30%, 0.00%), (AMAT, 2,545, 0.30%, 0.00%), (TJX, 2,807, 0.29%, 0.00%), (GILD, 3,402, 0.29%, 0.00%), (PFE, 15,471, 0.28%, 0.00%), (LOW, 1,412, 0.27%, 0.00%), (EMR, 2,816, 0.27%, 0.00%), (MO, 5,466, 0.27%, 0.00%), (DHR, 1,755, 0.26%, 0.00%), (ELV, 1,009, 0.24%, 0.00%), (INTC, 13,315, 0.24%, 0.00%), (CMCSA, 8,969, 0.23%, 0.00%), (MDLZ, 4,313, 0.20%, 0.00%), (BMY, 5,536, 0.19%, 0.00%), (UPS, 2,762, 0.18%, 0.00%), (PYPL, 3,260, 0.17%, 0.00%), (USB, 4,182, 0.15%, 0.00%), (CL, 2,399, 0.15%, 0.00%), (FDX, 849, 0.14%, 0.00%), (TGT, 1,162, 0.08%, 0.00%), (SC23471B, nan, nan%, 0.00%), (SC23473B, nan, nan%, 0.00%), (SP23472B, nan, nan%, 0.00%), (SP23475B, nan, nan%, 0.00%), (SP23474B, nan, nan%, 0.00%), (XP23475B, nan, nan%, 0.00%)</t>
  </si>
  <si>
    <t>(AVGO, 10,745, 3.19%, 0.00%), (META, 3,817, 2.79%, 0.00%), (GOOGL, 10,230, 2.29%, 0.00%), (BRK/B, 4,441, 2.22%, 0.00%), (GOOG, 8,333, 1.87%, 0.00%), (CSCO, 26,963, 1.82%, 0.00%), (LIN, 3,815, 1.79%, 0.00%), (TSLA, 5,107, 1.69%, 0.00%), (JPM, 5,623, 1.68%, 0.00%), (XOM, 13,611, 1.52%, 0.00%), (AMT, 7,739, 1.51%, 0.00%), (V, 4,187, 1.46%, 0.00%), (CB, 4,271, 1.18%, 0.00%), (LLY, 1,603, 1.17%, 0.00%), (MA, 1,985, 1.17%, 0.00%), (GE, 3,983, 1.09%, 0.00%), (WM, 4,784, 1.07%, 0.00%), (UNH, 2,981, 0.91%, 0.00%), (NFLX, 748, 0.91%, 0.00%), (ORCL, 4,006, 0.89%, 0.00%), (NEE, 12,290, 0.87%, 0.00%), (JNJ, 4,897, 0.87%, 0.00%), (CVX, 5,175, 0.81%, 0.00%), (PG, 5,154, 0.81%, 0.00%), (WMT, 8,153, 0.80%, 0.00%), (PLTR, 5,109, 0.79%, 0.00%), (COST, 832, 0.78%, 0.00%), (RTX, 4,897, 0.77%, 0.00%), (MCD, 2,435, 0.76%, 0.00%), (ABBV, 3,595, 0.76%, 0.00%), (HD, 1,842, 0.75%, 0.00%), (ABT, 5,619, 0.74%, 0.00%), (CAT, 1,776, 0.73%, 0.00%), (BAC, 13,333, 0.66%, 0.00%), (KO, 9,318, 0.64%, 0.00%), (BA, 2,750, 0.64%, 0.00%), (BKNG, 112, 0.62%, 0.00%), (PM, 3,737, 0.61%, 0.00%), (CRM, 2,383, 0.60%, 0.00%), (AMD, 3,733, 0.60%, 0.00%), (SO, 6,549, 0.60%, 0.00%), (NKE, 7,960, 0.59%, 0.00%), (DUK, 4,616, 0.56%, 0.00%), (IBM, 2,305, 0.56%, 0.00%), (GS, 760, 0.55%, 0.00%), (UBER, 5,925, 0.55%, 0.00%), (WFC, 6,650, 0.53%, 0.00%), (MET, 6,626, 0.53%, 0.00%), (HON, 2,392, 0.51%, 0.00%), (ISRG, 1,153, 0.51%, 0.00%), (ETN, 1,454, 0.50%, 0.00%), (PEP, 3,297, 0.49%, 0.00%), (NOW, 514, 0.47%, 0.00%), (INTU, 699, 0.46%, 0.00%), (T, 15,867, 0.46%, 0.00%), (MS, 3,006, 0.44%, 0.00%), (DE, 936, 0.44%, 0.00%), (AXP, 1,349, 0.43%, 0.00%), (MRK, 5,146, 0.43%, 0.00%), (SPGI, 769, 0.41%, 0.00%), (TXN, 2,099, 0.41%, 0.00%), (VZ, 9,309, 0.40%, 0.00%), (QCOM, 2,556, 0.40%, 0.00%), (ACN, 1,558, 0.39%, 0.00%), (BLK, 353, 0.39%, 0.00%), (MDT, 4,154, 0.38%, 0.00%), (ADBE, 1,097, 0.38%, 0.00%), (COP, 4,006, 0.38%, 0.00%), (UNP, 1,705, 0.38%, 0.00%), (TMO, 778, 0.37%, 0.00%), (DIS, 3,170, 0.37%, 0.00%), (C, 3,778, 0.36%, 0.00%), (LMT, 776, 0.35%, 0.00%), (SCHW, 3,622, 0.35%, 0.00%), (SBUX, 3,851, 0.33%, 0.00%), (AMGN, 1,093, 0.31%, 0.00%), (MMM, 2,004, 0.30%, 0.00%), (CVS, 4,076, 0.30%, 0.00%), (AMAT, 1,897, 0.29%, 0.00%), (TJX, 2,092, 0.29%, 0.00%), (GILD, 2,535, 0.28%, 0.00%), (PFE, 11,529, 0.28%, 0.00%), (LOW, 1,052, 0.27%, 0.00%), (EMR, 2,098, 0.27%, 0.00%), (MO, 4,073, 0.27%, 0.00%), (DHR, 1,308, 0.26%, 0.00%), (ELV, 751, 0.24%, 0.00%), (INTC, 9,922, 0.24%, 0.00%), (CMCSA, 6,684, 0.23%, 0.00%), (MDLZ, 3,214, 0.20%, 0.00%), (BMY, 4,126, 0.19%, 0.00%), (UPS, 2,057, 0.17%, 0.00%), (PYPL, 2,429, 0.17%, 0.00%), (USB, 3,116, 0.15%, 0.00%), (CL, 1,788, 0.15%, 0.00%), (FDX, 633, 0.14%, 0.00%), (TGT, 866, 0.08%, 0.00%), (SC22171B, nan, nan%, 0.00%), (SC22173B, nan, nan%, 0.00%), (SP22172B, nan, nan%, 0.00%), (SP22175B, nan, nan%, 0.00%), (SP22174B, nan, nan%, 0.00%), (XP22175B, nan, nan%, 0.00%)</t>
  </si>
  <si>
    <t>(META, 1,447, 2.66%, 0.00%), (GOOGL, 3,878, 2.19%, 0.00%), (BRK/B, 1,683, 2.11%, 0.00%), (GOOG, 3,159, 1.79%, 0.00%), (CSCO, 10,221, 1.73%, 0.00%), (LIN, 1,446, 1.71%, 0.00%), (TSLA, 1,936, 1.61%, 0.00%), (JPM, 2,131, 1.60%, 0.00%), (XOM, 5,160, 1.44%, 0.00%), (AMT, 2,934, 1.44%, 0.00%), (V, 1,588, 1.39%, 0.00%), (CB, 1,619, 1.13%, 0.00%), (LLY, 608, 1.12%, 0.00%), (MA, 753, 1.12%, 0.00%), (GE, 1,509, 1.04%, 0.00%), (WM, 1,814, 1.02%, 0.00%), (UNH, 1,130, 0.87%, 0.00%), (NFLX, 284, 0.87%, 0.00%), (ORCL, 1,518, 0.85%, 0.00%), (NEE, 4,659, 0.83%, 0.00%), (JNJ, 1,856, 0.83%, 0.00%), (CVX, 1,962, 0.78%, 0.00%), (PG, 1,953, 0.77%, 0.00%), (WMT, 3,091, 0.76%, 0.00%), (PLTR, 1,936, 0.75%, 0.00%), (COST, 315, 0.75%, 0.00%), (RTX, 1,856, 0.73%, 0.00%), (MCD, 923, 0.73%, 0.00%), (ABBV, 1,363, 0.72%, 0.00%), (HD, 699, 0.71%, 0.00%), (ABT, 2,130, 0.70%, 0.00%), (CAT, 673, 0.70%, 0.00%), (BAC, 5,054, 0.63%, 0.00%), (KO, 3,533, 0.61%, 0.00%), (BA, 1,043, 0.61%, 0.00%), (BKNG, 43, 0.60%, 0.00%), (PM, 1,417, 0.58%, 0.00%), (CRM, 904, 0.58%, 0.00%), (AMD, 1,416, 0.57%, 0.00%), (SO, 2,482, 0.57%, 0.00%), (NKE, 3,018, 0.56%, 0.00%), (IBM, 874, 0.53%, 0.00%), (DUK, 1,750, 0.53%, 0.00%), (GS, 289, 0.53%, 0.00%), (UBER, 2,246, 0.52%, 0.00%), (WFC, 2,521, 0.51%, 0.00%), (MET, 2,512, 0.51%, 0.00%), (HON, 907, 0.49%, 0.00%), (ISRG, 437, 0.48%, 0.00%), (ETN, 552, 0.47%, 0.00%), (PEP, 1,250, 0.46%, 0.00%), (NOW, 195, 0.44%, 0.00%), (INTU, 265, 0.44%, 0.00%), (T, 6,015, 0.44%, 0.00%), (MS, 1,140, 0.42%, 0.00%), (DE, 355, 0.42%, 0.00%), (AXP, 511, 0.41%, 0.00%), (MRK, 1,951, 0.41%, 0.00%), (SPGI, 292, 0.39%, 0.00%), (TXN, 796, 0.39%, 0.00%), (VZ, 3,529, 0.39%, 0.00%), (QCOM, 969, 0.38%, 0.00%), (ACN, 590, 0.37%, 0.00%), (BLK, 133, 0.37%, 0.00%), (MDT, 1,575, 0.36%, 0.00%), (ADBE, 416, 0.36%, 0.00%), (COP, 1,518, 0.36%, 0.00%), (UNP, 646, 0.36%, 0.00%), (TMO, 295, 0.36%, 0.00%), (DIS, 1,202, 0.35%, 0.00%), (C, 1,432, 0.34%, 0.00%), (LMT, 295, 0.33%, 0.00%), (SCHW, 1,373, 0.33%, 0.00%), (SBUX, 1,460, 0.32%, 0.00%), (AMGN, 414, 0.29%, 0.00%), (MMM, 759, 0.29%, 0.00%), (CVS, 1,545, 0.28%, 0.00%), (AMAT, 719, 0.28%, 0.00%), (TJX, 793, 0.28%, 0.00%), (GILD, 961, 0.27%, 0.00%), (PFE, 4,370, 0.27%, 0.00%), (LOW, 399, 0.26%, 0.00%), (EMR, 796, 0.26%, 0.00%), (MO, 1,544, 0.26%, 0.00%), (DHR, 496, 0.25%, 0.00%), (ELV, 285, 0.23%, 0.00%), (INTC, 3,761, 0.23%, 0.00%), (CMCSA, 2,534, 0.21%, 0.00%), (MDLZ, 1,219, 0.19%, 0.00%), (BMY, 1,564, 0.19%, 0.00%), (UPS, 780, 0.17%, 0.00%), (PYPL, 920, 0.16%, 0.00%), (USB, 1,181, 0.14%, 0.00%), (CL, 678, 0.14%, 0.00%), (FDX, 240, 0.14%, 0.00%), (TGT, 328, 0.08%, 0.00%), (SC28181B, nan, nan%, 0.00%), (SC28183B, nan, nan%, 0.00%), (SP28182B, nan, nan%, 0.00%), (SP28185B, nan, nan%, 0.00%), (SP28184B, nan, nan%, 0.00%), (XP28185B, nan, nan%, 0.00%)</t>
  </si>
  <si>
    <t>(AVGO, 4,430, 3.08%, 0.00%), (META, 1,574, 2.69%, 0.00%), (GOOGL, 4,218, 2.22%, 0.00%), (BRK/B, 1,831, 2.13%, 0.00%), (GOOG, 3,435, 1.81%, 0.00%), (CSCO, 11,115, 1.75%, 0.00%), (LIN, 1,573, 1.73%, 0.00%), (TSLA, 2,106, 1.63%, 0.00%), (JPM, 2,318, 1.61%, 0.00%), (XOM, 5,611, 1.46%, 0.00%), (AMT, 3,190, 1.46%, 0.00%), (V, 1,726, 1.41%, 0.00%), (CB, 1,761, 1.14%, 0.00%), (LLY, 661, 1.13%, 0.00%), (MA, 819, 1.13%, 0.00%), (GE, 1,642, 1.05%, 0.00%), (WM, 1,972, 1.03%, 0.00%), (UNH, 1,229, 0.88%, 0.00%), (NFLX, 309, 0.88%, 0.00%), (ORCL, 1,652, 0.86%, 0.00%), (NEE, 5,067, 0.84%, 0.00%), (JNJ, 2,019, 0.83%, 0.00%), (CVX, 2,134, 0.78%, 0.00%), (PG, 2,125, 0.78%, 0.00%), (WMT, 3,361, 0.77%, 0.00%), (PLTR, 2,106, 0.76%, 0.00%), (COST, 343, 0.76%, 0.00%), (RTX, 2,019, 0.74%, 0.00%), (MCD, 1,004, 0.74%, 0.00%), (ABBV, 1,482, 0.73%, 0.00%), (HD, 760, 0.72%, 0.00%), (ABT, 2,317, 0.71%, 0.00%), (CAT, 732, 0.71%, 0.00%), (BAC, 5,496, 0.64%, 0.00%), (KO, 3,841, 0.62%, 0.00%), (BA, 1,134, 0.61%, 0.00%), (BKNG, 46, 0.60%, 0.00%), (PM, 1,540, 0.58%, 0.00%), (CRM, 982, 0.58%, 0.00%), (AMD, 1,539, 0.58%, 0.00%), (SO, 2,699, 0.58%, 0.00%), (NKE, 3,282, 0.57%, 0.00%), (IBM, 951, 0.54%, 0.00%), (DUK, 1,903, 0.54%, 0.00%), (GS, 314, 0.53%, 0.00%), (UBER, 2,442, 0.53%, 0.00%), (WFC, 2,741, 0.51%, 0.00%), (MET, 2,732, 0.51%, 0.00%), (HON, 986, 0.49%, 0.00%), (ISRG, 476, 0.49%, 0.00%), (ETN, 599, 0.48%, 0.00%), (PEP, 1,359, 0.47%, 0.00%), (NOW, 212, 0.45%, 0.00%), (INTU, 288, 0.45%, 0.00%), (T, 6,541, 0.44%, 0.00%), (MS, 1,238, 0.43%, 0.00%), (DE, 386, 0.42%, 0.00%), (AXP, 556, 0.42%, 0.00%), (MRK, 2,122, 0.41%, 0.00%), (SPGI, 318, 0.40%, 0.00%), (TXN, 866, 0.39%, 0.00%), (VZ, 3,838, 0.39%, 0.00%), (QCOM, 1,053, 0.38%, 0.00%), (ACN, 642, 0.38%, 0.00%), (BLK, 145, 0.37%, 0.00%), (MDT, 1,712, 0.37%, 0.00%), (ADBE, 452, 0.37%, 0.00%), (COP, 1,651, 0.36%, 0.00%), (UNP, 703, 0.36%, 0.00%), (TMO, 320, 0.36%, 0.00%), (DIS, 1,307, 0.36%, 0.00%), (C, 1,557, 0.34%, 0.00%), (LMT, 320, 0.33%, 0.00%), (SCHW, 1,493, 0.33%, 0.00%), (SBUX, 1,588, 0.32%, 0.00%), (AMGN, 451, 0.30%, 0.00%), (MMM, 826, 0.29%, 0.00%), (CVS, 1,681, 0.29%, 0.00%), (AMAT, 781, 0.28%, 0.00%), (TJX, 863, 0.28%, 0.00%), (GILD, 1,046, 0.27%, 0.00%), (PFE, 4,753, 0.27%, 0.00%), (LOW, 434, 0.26%, 0.00%), (EMR, 865, 0.26%, 0.00%), (MO, 1,680, 0.26%, 0.00%), (DHR, 539, 0.25%, 0.00%), (ELV, 310, 0.23%, 0.00%), (INTC, 4,090, 0.23%, 0.00%), (CMCSA, 2,755, 0.22%, 0.00%), (MDLZ, 1,324, 0.19%, 0.00%), (BMY, 1,701, 0.19%, 0.00%), (UPS, 849, 0.17%, 0.00%), (PYPL, 1,001, 0.16%, 0.00%), (USB, 1,285, 0.14%, 0.00%), (CL, 737, 0.14%, 0.00%), (FDX, 261, 0.14%, 0.00%), (TGT, 357, 0.08%, 0.00%), (SC13481B, nan, nan%, 0.00%), (SC13483B, nan, nan%, 0.00%), (SP13482B, nan, nan%, 0.00%), (SP13485B, nan, nan%, 0.00%), (SP13484B, nan, nan%, 0.00%), (XP13485B, nan, nan%, 0.00%)</t>
  </si>
  <si>
    <t>(AVGO, 8,327, 3.19%, 0.00%), (META, 2,958, 2.79%, 0.00%), (GOOGL, 7,929, 2.30%, 0.00%), (BRK/B, 3,441, 2.21%, 0.00%), (GOOG, 6,458, 1.88%, 0.00%), (CSCO, 20,896, 1.81%, 0.00%), (LIN, 2,956, 1.79%, 0.00%), (TSLA, 3,958, 1.69%, 0.00%), (JPM, 4,358, 1.67%, 0.00%), (XOM, 10,549, 1.51%, 0.00%), (AMT, 5,998, 1.51%, 0.00%), (V, 3,245, 1.46%, 0.00%), (CB, 3,310, 1.18%, 0.00%), (LLY, 1,243, 1.17%, 0.00%), (MA, 1,539, 1.17%, 0.00%), (GE, 3,087, 1.09%, 0.00%), (WM, 3,707, 1.07%, 0.00%), (UNH, 2,310, 0.91%, 0.00%), (NFLX, 580, 0.91%, 0.00%), (ORCL, 3,105, 0.89%, 0.00%), (NEE, 9,524, 0.87%, 0.00%), (JNJ, 3,795, 0.87%, 0.00%), (CVX, 4,011, 0.81%, 0.00%), (PG, 3,994, 0.81%, 0.00%), (WMT, 6,318, 0.80%, 0.00%), (PLTR, 3,959, 0.78%, 0.00%), (COST, 645, 0.78%, 0.00%), (RTX, 3,795, 0.77%, 0.00%), (MCD, 1,887, 0.76%, 0.00%), (ABBV, 2,786, 0.75%, 0.00%), (HD, 1,428, 0.75%, 0.00%), (ABT, 4,354, 0.74%, 0.00%), (CAT, 1,377, 0.73%, 0.00%), (BAC, 10,333, 0.66%, 0.00%), (KO, 7,222, 0.64%, 0.00%), (BA, 2,131, 0.63%, 0.00%), (BKNG, 87, 0.62%, 0.00%), (PM, 2,896, 0.61%, 0.00%), (CRM, 1,847, 0.60%, 0.00%), (AMD, 2,894, 0.60%, 0.00%), (SO, 5,075, 0.60%, 0.00%), (NKE, 6,169, 0.59%, 0.00%), (DUK, 3,578, 0.56%, 0.00%), (IBM, 1,786, 0.56%, 0.00%), (GS, 589, 0.55%, 0.00%), (UBER, 4,591, 0.55%, 0.00%), (WFC, 5,154, 0.53%, 0.00%), (MET, 5,136, 0.53%, 0.00%), (HON, 1,855, 0.51%, 0.00%), (ISRG, 894, 0.51%, 0.00%), (ETN, 1,127, 0.50%, 0.00%), (PEP, 2,556, 0.49%, 0.00%), (NOW, 398, 0.47%, 0.00%), (INTU, 542, 0.46%, 0.00%), (T, 12,298, 0.46%, 0.00%), (MS, 2,329, 0.44%, 0.00%), (DE, 726, 0.44%, 0.00%), (AXP, 1,045, 0.43%, 0.00%), (MRK, 3,988, 0.43%, 0.00%), (SPGI, 596, 0.41%, 0.00%), (TXN, 1,626, 0.41%, 0.00%), (VZ, 7,214, 0.40%, 0.00%), (QCOM, 1,981, 0.40%, 0.00%), (ACN, 1,207, 0.39%, 0.00%), (BLK, 273, 0.38%, 0.00%), (MDT, 3,220, 0.38%, 0.00%), (ADBE, 850, 0.38%, 0.00%), (COP, 3,104, 0.38%, 0.00%), (UNP, 1,322, 0.38%, 0.00%), (TMO, 603, 0.37%, 0.00%), (DIS, 2,458, 0.37%, 0.00%), (C, 2,927, 0.36%, 0.00%), (LMT, 602, 0.35%, 0.00%), (SCHW, 2,807, 0.35%, 0.00%), (SBUX, 2,985, 0.33%, 0.00%), (AMGN, 847, 0.31%, 0.00%), (MMM, 1,553, 0.30%, 0.00%), (CVS, 3,160, 0.30%, 0.00%), (AMAT, 1,470, 0.29%, 0.00%), (TJX, 1,621, 0.29%, 0.00%), (GILD, 1,964, 0.28%, 0.00%), (PFE, 8,934, 0.28%, 0.00%), (LOW, 816, 0.27%, 0.00%), (EMR, 1,626, 0.27%, 0.00%), (MO, 3,157, 0.27%, 0.00%), (DHR, 1,013, 0.26%, 0.00%), (ELV, 582, 0.24%, 0.00%), (INTC, 7,690, 0.24%, 0.00%), (CMCSA, 5,179, 0.22%, 0.00%), (MDLZ, 2,490, 0.20%, 0.00%), (BMY, 3,197, 0.19%, 0.00%), (UPS, 1,595, 0.17%, 0.00%), (PYPL, 1,882, 0.17%, 0.00%), (USB, 2,415, 0.15%, 0.00%), (CL, 1,385, 0.15%, 0.00%), (FDX, 490, 0.14%, 0.00%), (TGT, 670, 0.08%, 0.00%), (SC26771B, nan, nan%, 0.00%), (SC26773B, nan, nan%, 0.00%), (SP26772B, nan, nan%, 0.00%), (SP26775B, nan, nan%, 0.00%), (SP26774B, nan, nan%, 0.00%), (XP26775B, nan, nan%, 0.00%)</t>
  </si>
  <si>
    <t>EBAY, GOOGL, BK, META, MLI, JPM, MSFT, PHM, RJF, BKNG, EWBC</t>
  </si>
  <si>
    <t>(EA, 6,394, 1.95%, 0.00%), (AXP, 3,234, 1.95%, 0.00%), (BLK, 963, 1.94%, 0.00%), (HIG, 7,677, 1.88%, 0.00%), (TRV, 3,648, 1.85%, 0.00%), (V, 2,867, 1.83%, 0.00%), (ROST, 6,388, 1.78%, 0.00%), (UNM, 12,898, 1.71%, 0.01%), (SNA, 2,859, 1.71%, 0.01%), (LEN, 6,768, 1.70%, 0.00%), (ADP, 3,063, 1.68%, 0.00%), (SYF, 11,973, 1.67%, 0.00%), (NVDA, 5,357, 1.67%, 0.00%), (CB, 3,235, 1.65%, 0.00%), (PCAR, 9,067, 1.62%, 0.00%), (KLAC, 1,014, 1.61%, 0.00%), (AMAT, 5,493, 1.58%, 0.00%), (CTSH, 11,588, 1.51%, 0.00%), (WSM, 4,054, 1.50%, 0.00%), (CRM, 3,285, 1.46%, 0.00%), (DHI, 4,498, 1.45%, 0.00%), (BKR, 17,053, 1.44%, 0.00%), (PAYC, 3,508, 1.43%, 0.01%), (QCOM, 4,625, 1.34%, 0.00%), (AAPL, 2,986, 1.30%, 0.00%), (ACN, 2,732, 1.26%, 0.00%), (AFL, 6,334, 1.25%, 0.00%), (ELV, 2,196, 1.23%, 0.00%), (MPWR, 732, 1.13%, 0.00%), (LRCX, 5,907, 1.08%, 0.00%), (ODFL, 3,929, 1.06%, 0.00%), (GE, 2,070, 1.06%, 0.00%), (CSCO, 8,579, 1.06%, 0.00%), (STT, 4,755, 0.99%, 0.00%), (PNC, 2,546, 0.96%, 0.00%), (MTB, 2,530, 0.93%, 0.00%), (AMP, 926, 0.86%, 0.00%), (CF, 5,434, 0.83%, 0.00%), (COST, 476, 0.83%, 0.00%), (ABT, 3,423, 0.83%, 0.00%), (XOM, 3,981, 0.81%, 0.00%), (EOG, 3,581, 0.79%, 0.00%), (CSL, 1,066, 0.76%, 0.00%), (EG, 1,205, 0.76%, 0.00%), (GEV, 485, 0.53%, 0.00%), (NTRS, 2,207, 0.52%, 0.00%), (MA, 460, 0.50%, 0.00%), (JNJ, 1,478, 0.48%, 0.00%), (ACM, 2,088, 0.48%, 0.00%), (LNC, 6,036, 0.47%, 0.00%), (CRBG, 7,583, 0.46%, 0.00%), (WTFC, 1,778, 0.45%, 0.00%), (MTG, 8,672, 0.45%, 0.00%), (JXN, 2,491, 0.44%, 0.00%), (CINF, 1,535, 0.43%, 0.00%), (EQH, 4,279, 0.42%, 0.00%), (DOV, 1,290, 0.42%, 0.00%), (ALL, 1,093, 0.41%, 0.00%), (ADM, 3,675, 0.41%, 0.00%), (SLM, 7,086, 0.41%, 0.00%), (MCK, 319, 0.40%, 0.00%), (NUE, 1,476, 0.39%, 0.00%), (NKE, 2,690, 0.37%, 0.00%), (PGR, 805, 0.36%, 0.00%), (FANG, 1,149, 0.30%, 0.00%), (SC13N61B, nan, nan%, 0.00%), (SC13N63B, nan, nan%, 0.00%), (SP13N62B, nan, nan%, 0.00%), (SP13N65B, nan, nan%, 0.00%), (SP13N64B, nan, nan%, 0.00%), (SPX Index, nan, nan%, 0.00%), (XP13N65B, nan, nan%, 0.00%)</t>
  </si>
  <si>
    <t>(AVGO, 3,833, 3.36%, 0.00%), (META, 1,362, 2.95%, 0.00%), (GOOGL, 3,650, 2.39%, 0.00%), (BRK/B, 1,584, 2.33%, 0.00%), (GOOG, 2,973, 1.96%, 0.00%), (CSCO, 9,619, 1.90%, 0.00%), (LIN, 1,361, 1.87%, 0.00%), (TSLA, 1,822, 1.78%, 0.00%), (JPM, 2,006, 1.77%, 0.00%), (XOM, 4,856, 1.59%, 0.00%), (AMT, 2,761, 1.57%, 0.00%), (V, 1,494, 1.52%, 0.00%), (CB, 1,524, 1.24%, 0.00%), (LLY, 572, 1.23%, 0.00%), (MA, 708, 1.22%, 0.00%), (GE, 1,421, 1.15%, 0.00%), (WM, 1,707, 1.12%, 0.00%), (NFLX, 267, 0.96%, 0.00%), (UNH, 1,064, 0.96%, 0.00%), (ORCL, 1,429, 0.92%, 0.00%), (JNJ, 1,747, 0.90%, 0.00%), (NEE, 4,384, 0.90%, 0.00%), (PG, 1,838, 0.85%, 0.00%), (CVX, 1,846, 0.85%, 0.00%), (WMT, 2,909, 0.84%, 0.00%), (PLTR, 1,823, 0.82%, 0.00%), (COST, 297, 0.82%, 0.00%), (RTX, 1,747, 0.81%, 0.00%), (MCD, 869, 0.80%, 0.00%), (ABBV, 1,282, 0.79%, 0.00%), (HD, 657, 0.78%, 0.00%), (ABT, 2,004, 0.77%, 0.00%), (CAT, 634, 0.77%, 0.00%), (BAC, 4,756, 0.70%, 0.00%), (KO, 3,324, 0.66%, 0.00%), (BA, 981, 0.66%, 0.00%), (BKNG, 40, 0.65%, 0.00%), (AMD, 1,332, 0.62%, 0.00%), (PM, 1,333, 0.62%, 0.00%), (SO, 2,336, 0.62%, 0.00%), (NKE, 2,840, 0.62%, 0.00%), (CRM, 850, 0.60%, 0.00%), (GS, 271, 0.59%, 0.00%), (IBM, 822, 0.59%, 0.00%), (DUK, 1,647, 0.58%, 0.00%), (UBER, 2,114, 0.56%, 0.00%), (WFC, 2,372, 0.56%, 0.00%), (MET, 2,364, 0.56%, 0.00%), (ISRG, 412, 0.54%, 0.00%), (HON, 854, 0.53%, 0.00%), (ETN, 519, 0.52%, 0.00%), (PEP, 1,176, 0.50%, 0.00%), (T, 5,661, 0.49%, 0.00%), (INTU, 249, 0.48%, 0.00%), (NOW, 183, 0.48%, 0.00%), (MS, 1,072, 0.47%, 0.00%), (AXP, 481, 0.46%, 0.00%), (DE, 334, 0.46%, 0.00%), (MRK, 1,836, 0.45%, 0.00%), (SPGI, 274, 0.43%, 0.00%), (VZ, 3,321, 0.43%, 0.00%), (QCOM, 912, 0.42%, 0.00%), (ACN, 556, 0.41%, 0.00%), (TXN, 749, 0.41%, 0.00%), (BLK, 126, 0.41%, 0.00%), (MDT, 1,482, 0.40%, 0.00%), (COP, 1,429, 0.40%, 0.00%), (TMO, 278, 0.39%, 0.00%), (UNP, 609, 0.39%, 0.00%), (ADBE, 391, 0.39%, 0.00%), (DIS, 1,131, 0.39%, 0.00%), (C, 1,348, 0.38%, 0.00%), (LMT, 277, 0.37%, 0.00%), (SCHW, 1,292, 0.36%, 0.00%), (SBUX, 1,374, 0.35%, 0.00%), (MMM, 715, 0.32%, 0.00%), (AMGN, 390, 0.32%, 0.00%), (AMAT, 677, 0.31%, 0.00%), (CVS, 1,454, 0.31%, 0.00%), (TJX, 746, 0.30%, 0.00%), (GILD, 904, 0.30%, 0.00%), (PFE, 4,113, 0.29%, 0.00%), (EMR, 748, 0.29%, 0.00%), (LOW, 375, 0.29%, 0.00%), (MO, 1,453, 0.28%, 0.00%), (DHR, 467, 0.27%, 0.00%), (INTC, 3,540, 0.25%, 0.00%), (ELV, 268, 0.24%, 0.00%), (CMCSA, 2,384, 0.23%, 0.00%), (MDLZ, 1,147, 0.20%, 0.00%), (BMY, 1,472, 0.20%, 0.00%), (UPS, 734, 0.18%, 0.00%), (PYPL, 866, 0.17%, 0.00%), (USB, 1,112, 0.16%, 0.00%), (CL, 638, 0.15%, 0.00%), (FDX, 226, 0.15%, 0.00%), (TGT, 309, 0.08%, 0.00%), (SC31761B, nan, nan%, 0.00%), (SC31763B, nan, nan%, 0.00%), (SP31762B, nan, nan%, 0.00%), (SP31765B, nan, nan%, 0.00%), (SP31764B, nan, nan%, 0.00%), (XP31765B, nan, nan%, 0.00%)</t>
  </si>
  <si>
    <t>(AVGO, 2,526, 3.27%, 0.00%), (META, 897, 2.86%, 0.00%), (GOOGL, 2,405, 2.33%, 0.00%), (BRK/B, 1,044, 2.26%, 0.00%), (GOOG, 1,959, 1.91%, 0.00%), (CSCO, 6,340, 1.85%, 0.00%), (LIN, 897, 1.82%, 0.00%), (TSLA, 1,201, 1.73%, 0.00%), (JPM, 1,322, 1.72%, 0.00%), (XOM, 3,200, 1.54%, 0.00%), (AMT, 1,820, 1.52%, 0.00%), (V, 984, 1.48%, 0.00%), (CB, 1,004, 1.21%, 0.00%), (LLY, 377, 1.20%, 0.00%), (MA, 467, 1.19%, 0.00%), (GE, 936, 1.12%, 0.00%), (WM, 1,125, 1.09%, 0.00%), (UNH, 701, 0.93%, 0.00%), (NFLX, 176, 0.93%, 0.00%), (ORCL, 942, 0.90%, 0.00%), (JNJ, 1,152, 0.88%, 0.00%), (NEE, 2,890, 0.88%, 0.00%), (PG, 1,212, 0.82%, 0.00%), (CVX, 1,217, 0.82%, 0.00%), (WMT, 1,917, 0.82%, 0.00%), (PLTR, 1,201, 0.80%, 0.00%), (COST, 196, 0.80%, 0.00%), (RTX, 1,152, 0.78%, 0.00%), (MCD, 573, 0.77%, 0.00%), (ABBV, 845, 0.77%, 0.00%), (HD, 433, 0.76%, 0.00%), (CAT, 418, 0.75%, 0.00%), (ABT, 1,321, 0.75%, 0.00%), (BAC, 3,135, 0.68%, 0.00%), (KO, 2,191, 0.64%, 0.00%), (BA, 647, 0.64%, 0.00%), (BKNG, 26, 0.62%, 0.00%), (AMD, 878, 0.61%, 0.00%), (PM, 879, 0.61%, 0.00%), (SO, 1,540, 0.61%, 0.00%), (NKE, 1,872, 0.61%, 0.00%), (CRM, 560, 0.59%, 0.00%), (GS, 179, 0.57%, 0.00%), (IBM, 542, 0.57%, 0.00%), (DUK, 1,085, 0.56%, 0.00%), (UBER, 1,393, 0.55%, 0.00%), (WFC, 1,564, 0.55%, 0.00%), (MET, 1,558, 0.55%, 0.00%), (ISRG, 271, 0.53%, 0.00%), (HON, 563, 0.52%, 0.00%), (ETN, 342, 0.51%, 0.00%), (PEP, 775, 0.49%, 0.00%), (T, 3,731, 0.47%, 0.00%), (INTU, 164, 0.47%, 0.00%), (NOW, 121, 0.47%, 0.00%), (MS, 707, 0.46%, 0.00%), (AXP, 317, 0.45%, 0.00%), (DE, 220, 0.45%, 0.00%), (MRK, 1,210, 0.44%, 0.00%), (SPGI, 181, 0.42%, 0.00%), (VZ, 2,189, 0.41%, 0.00%), (QCOM, 601, 0.41%, 0.00%), (ACN, 366, 0.40%, 0.00%), (TXN, 493, 0.40%, 0.00%), (BLK, 83, 0.39%, 0.00%), (MDT, 977, 0.39%, 0.00%), (COP, 942, 0.39%, 0.00%), (UNP, 401, 0.38%, 0.00%), (TMO, 183, 0.38%, 0.00%), (ADBE, 258, 0.38%, 0.00%), (DIS, 746, 0.38%, 0.00%), (C, 888, 0.37%, 0.00%), (LMT, 183, 0.36%, 0.00%), (SCHW, 852, 0.36%, 0.00%), (SBUX, 906, 0.34%, 0.00%), (MMM, 471, 0.31%, 0.00%), (AMGN, 257, 0.31%, 0.00%), (AMAT, 446, 0.30%, 0.00%), (CVS, 958, 0.30%, 0.00%), (TJX, 492, 0.29%, 0.00%), (GILD, 596, 0.29%, 0.00%), (PFE, 2,711, 0.28%, 0.00%), (EMR, 493, 0.28%, 0.00%), (LOW, 247, 0.28%, 0.00%), (MO, 958, 0.27%, 0.00%), (DHR, 307, 0.26%, 0.00%), (INTC, 2,333, 0.25%, 0.00%), (ELV, 177, 0.23%, 0.00%), (CMCSA, 1,571, 0.23%, 0.00%), (MDLZ, 756, 0.20%, 0.00%), (BMY, 970, 0.19%, 0.00%), (UPS, 484, 0.18%, 0.00%), (PYPL, 571, 0.17%, 0.00%), (USB, 733, 0.15%, 0.00%), (CL, 420, 0.15%, 0.00%), (FDX, 149, 0.14%, 0.00%), (TGT, 203, 0.08%, 0.00%), (SC9061B, nan, nan%, 0.00%), (SC9063B, nan, nan%, 0.00%), (SP9062B, nan, nan%, 0.00%), (SP9065B, nan, nan%, 0.00%), (SP9064B, nan, nan%, 0.00%), (XP9065B, nan, nan%, 0.00%)</t>
  </si>
  <si>
    <t>(META, 861, 2.61%, 0.00%), (GOOGL, 2,307, 2.13%, 0.00%), (BRK/B, 1,001, 2.06%, 0.00%), (GOOG, 1,879, 1.74%, 0.00%), (CSCO, 6,081, 1.68%, 0.00%), (LIN, 860, 1.65%, 0.00%), (TSLA, 1,152, 1.58%, 0.00%), (JPM, 1,268, 1.56%, 0.00%), (XOM, 3,070, 1.40%, 0.00%), (AMT, 1,745, 1.38%, 0.00%), (V, 944, 1.35%, 0.00%), (CB, 963, 1.10%, 0.00%), (LLY, 361, 1.09%, 0.00%), (MA, 448, 1.08%, 0.00%), (GE, 898, 1.02%, 0.00%), (WM, 1,079, 0.99%, 0.00%), (NFLX, 169, 0.86%, 0.00%), (UNH, 672, 0.85%, 0.00%), (ORCL, 904, 0.82%, 0.00%), (JNJ, 1,105, 0.80%, 0.00%), (NEE, 2,772, 0.80%, 0.00%), (PG, 1,162, 0.75%, 0.00%), (CVX, 1,167, 0.75%, 0.00%), (WMT, 1,839, 0.75%, 0.00%), (PLTR, 1,152, 0.73%, 0.00%), (COST, 188, 0.73%, 0.00%), (RTX, 1,105, 0.71%, 0.00%), (MCD, 549, 0.70%, 0.00%), (ABBV, 811, 0.70%, 0.00%), (HD, 416, 0.69%, 0.00%), (CAT, 401, 0.68%, 0.00%), (ABT, 1,267, 0.68%, 0.00%), (BAC, 3,007, 0.62%, 0.00%), (KO, 2,101, 0.58%, 0.00%), (BA, 620, 0.58%, 0.00%), (BKNG, 25, 0.57%, 0.00%), (AMD, 842, 0.55%, 0.00%), (PM, 843, 0.55%, 0.00%), (SO, 1,477, 0.55%, 0.00%), (NKE, 1,795, 0.55%, 0.00%), (CRM, 537, 0.53%, 0.00%), (GS, 172, 0.52%, 0.00%), (IBM, 520, 0.52%, 0.00%), (DUK, 1,041, 0.51%, 0.00%), (UBER, 1,336, 0.50%, 0.00%), (WFC, 1,500, 0.50%, 0.00%), (MET, 1,494, 0.50%, 0.00%), (ISRG, 260, 0.48%, 0.00%), (HON, 540, 0.47%, 0.00%), (ETN, 328, 0.46%, 0.00%), (PEP, 744, 0.44%, 0.00%), (T, 3,579, 0.43%, 0.00%), (INTU, 158, 0.43%, 0.00%), (NOW, 116, 0.42%, 0.00%), (MS, 678, 0.41%, 0.00%), (AXP, 304, 0.41%, 0.00%), (DE, 211, 0.41%, 0.00%), (MRK, 1,161, 0.40%, 0.00%), (SPGI, 173, 0.38%, 0.00%), (VZ, 2,099, 0.38%, 0.00%), (QCOM, 576, 0.37%, 0.00%), (ACN, 351, 0.36%, 0.00%), (BLK, 80, 0.36%, 0.00%), (TXN, 473, 0.36%, 0.00%), (MDT, 937, 0.35%, 0.00%), (COP, 903, 0.35%, 0.00%), (UNP, 385, 0.35%, 0.00%), (TMO, 175, 0.35%, 0.00%), (ADBE, 247, 0.35%, 0.00%), (DIS, 715, 0.34%, 0.00%), (C, 852, 0.34%, 0.00%), (LMT, 175, 0.33%, 0.00%), (SCHW, 817, 0.32%, 0.00%), (SBUX, 869, 0.31%, 0.00%), (MMM, 452, 0.29%, 0.00%), (AMGN, 247, 0.28%, 0.00%), (AMAT, 428, 0.28%, 0.00%), (CVS, 919, 0.27%, 0.00%), (TJX, 472, 0.27%, 0.00%), (GILD, 572, 0.26%, 0.00%), (PFE, 2,600, 0.26%, 0.00%), (EMR, 473, 0.26%, 0.00%), (LOW, 237, 0.25%, 0.00%), (MO, 919, 0.25%, 0.00%), (DHR, 295, 0.24%, 0.00%), (INTC, 2,238, 0.22%, 0.00%), (ELV, 169, 0.21%, 0.00%), (CMCSA, 1,507, 0.21%, 0.00%), (MDLZ, 725, 0.18%, 0.00%), (BMY, 931, 0.18%, 0.00%), (UPS, 464, 0.16%, 0.00%), (PYPL, 548, 0.15%, 0.00%), (USB, 703, 0.14%, 0.00%), (CL, 403, 0.14%, 0.00%), (FDX, 143, 0.13%, 0.00%), (TGT, 195, 0.07%, 0.00%), (SC28781H, nan, nan%, 0.00%), (SC28783H, nan, nan%, 0.00%), (SP28782H, nan, nan%, 0.00%), (SP28785B, nan, nan%, 0.00%), (SP28784H, nan, nan%, 0.00%), (XP28785B, nan, nan%, 0.00%)</t>
  </si>
  <si>
    <t>(AVGO, 1,604, 3.18%, 0.00%), (META, 570, 2.78%, 0.00%), (GOOGL, 1,527, 2.27%, 0.00%), (BRK/B, 663, 2.19%, 0.00%), (GOOG, 1,244, 1.86%, 0.00%), (CSCO, 4,025, 1.79%, 0.00%), (LIN, 569, 1.76%, 0.00%), (TSLA, 762, 1.68%, 0.00%), (JPM, 839, 1.67%, 0.00%), (XOM, 2,032, 1.50%, 0.00%), (AMT, 1,155, 1.48%, 0.00%), (V, 625, 1.44%, 0.00%), (CB, 638, 1.17%, 0.00%), (LLY, 239, 1.15%, 0.00%), (MA, 296, 1.15%, 0.00%), (GE, 595, 1.09%, 0.00%), (WM, 714, 1.05%, 0.00%), (NFLX, 112, 0.92%, 0.00%), (UNH, 445, 0.90%, 0.00%), (ORCL, 598, 0.87%, 0.00%), (JNJ, 731, 0.85%, 0.00%), (NEE, 1,835, 0.85%, 0.00%), (PG, 769, 0.80%, 0.00%), (CVX, 773, 0.80%, 0.00%), (WMT, 1,217, 0.80%, 0.00%), (PLTR, 763, 0.78%, 0.00%), (COST, 124, 0.78%, 0.00%), (RTX, 731, 0.76%, 0.00%), (MCD, 364, 0.75%, 0.00%), (ABBV, 537, 0.75%, 0.00%), (HD, 275, 0.74%, 0.00%), (ABT, 839, 0.73%, 0.00%), (CAT, 265, 0.73%, 0.00%), (BAC, 1,990, 0.66%, 0.00%), (BKNG, 17, 0.62%, 0.00%), (KO, 1,391, 0.62%, 0.00%), (BA, 411, 0.62%, 0.00%), (PM, 558, 0.59%, 0.00%), (AMD, 557, 0.59%, 0.00%), (SO, 978, 0.59%, 0.00%), (NKE, 1,188, 0.59%, 0.00%), (CRM, 356, 0.57%, 0.00%), (GS, 114, 0.56%, 0.00%), (IBM, 344, 0.55%, 0.00%), (DUK, 689, 0.55%, 0.00%), (UBER, 884, 0.53%, 0.00%), (WFC, 993, 0.53%, 0.00%), (MET, 989, 0.53%, 0.00%), (ISRG, 172, 0.51%, 0.00%), (HON, 357, 0.50%, 0.00%), (ETN, 217, 0.49%, 0.00%), (PEP, 492, 0.47%, 0.00%), (T, 2,369, 0.46%, 0.00%), (INTU, 104, 0.46%, 0.00%), (NOW, 77, 0.45%, 0.00%), (MS, 449, 0.44%, 0.00%), (DE, 140, 0.44%, 0.00%), (AXP, 201, 0.43%, 0.00%), (MRK, 768, 0.42%, 0.00%), (SPGI, 115, 0.41%, 0.00%), (VZ, 1,390, 0.40%, 0.00%), (QCOM, 382, 0.40%, 0.00%), (ACN, 233, 0.39%, 0.00%), (BLK, 53, 0.38%, 0.00%), (TXN, 313, 0.38%, 0.00%), (MDT, 620, 0.38%, 0.00%), (COP, 598, 0.37%, 0.00%), (TMO, 116, 0.37%, 0.00%), (UNP, 255, 0.37%, 0.00%), (ADBE, 164, 0.37%, 0.00%), (DIS, 473, 0.37%, 0.00%), (C, 564, 0.36%, 0.00%), (LMT, 116, 0.35%, 0.00%), (SCHW, 541, 0.34%, 0.00%), (SBUX, 575, 0.33%, 0.00%), (MMM, 299, 0.30%, 0.00%), (AMGN, 163, 0.30%, 0.00%), (AMAT, 283, 0.29%, 0.00%), (CVS, 609, 0.29%, 0.00%), (TJX, 312, 0.29%, 0.00%), (GILD, 378, 0.28%, 0.00%), (PFE, 1,721, 0.28%, 0.00%), (EMR, 313, 0.27%, 0.00%), (LOW, 157, 0.27%, 0.00%), (MO, 608, 0.26%, 0.00%), (DHR, 195, 0.25%, 0.00%), (INTC, 1,481, 0.24%, 0.00%), (ELV, 112, 0.23%, 0.00%), (CMCSA, 998, 0.22%, 0.00%), (MDLZ, 480, 0.19%, 0.00%), (BMY, 616, 0.19%, 0.00%), (UPS, 307, 0.17%, 0.00%), (PYPL, 363, 0.16%, 0.00%), (USB, 465, 0.15%, 0.00%), (CL, 267, 0.15%, 0.00%), (FDX, 94, 0.14%, 0.00%), (TGT, 129, 0.08%, 0.00%), (SC8071B, nan, nan%, 0.00%), (SC8073B, nan, nan%, 0.00%), (SP8072B, nan, nan%, 0.00%), (SP8075B, nan, nan%, 0.00%), (SP8074B, nan, nan%, 0.00%), (XP8075B, nan, nan%, 0.00%)</t>
  </si>
  <si>
    <t>(META, 5,934, 2.66%, 0.00%), (GOOGL, 15,904, 2.16%, 0.00%), (BRK/B, 6,903, 2.10%, 0.00%), (GOOG, 12,954, 1.77%, 0.00%), (CSCO, 41,917, 1.71%, 0.00%), (LIN, 5,930, 1.69%, 0.00%), (TSLA, 7,940, 1.61%, 0.00%), (JPM, 8,741, 1.59%, 0.00%), (XOM, 21,159, 1.43%, 0.00%), (AMT, 12,031, 1.41%, 0.00%), (V, 6,508, 1.37%, 0.00%), (CB, 6,640, 1.12%, 0.00%), (LLY, 2,492, 1.11%, 0.00%), (MA, 3,087, 1.11%, 0.00%), (GE, 6,191, 1.04%, 0.00%), (WM, 7,437, 1.01%, 0.00%), (NFLX, 1,163, 0.87%, 0.00%), (UNH, 4,635, 0.86%, 0.00%), (ORCL, 6,228, 0.83%, 0.00%), (JNJ, 7,614, 0.82%, 0.00%), (NEE, 19,106, 0.81%, 0.00%), (PG, 8,011, 0.76%, 0.00%), (CVX, 8,046, 0.76%, 0.00%), (WMT, 12,675, 0.76%, 0.00%), (PLTR, 7,943, 0.74%, 0.00%), (COST, 1,294, 0.74%, 0.00%), (RTX, 7,614, 0.73%, 0.00%), (MCD, 3,786, 0.72%, 0.00%), (ABBV, 5,589, 0.71%, 0.00%), (HD, 2,864, 0.71%, 0.00%), (ABT, 8,735, 0.70%, 0.00%), (CAT, 2,762, 0.70%, 0.00%), (BAC, 20,727, 0.63%, 0.00%), (KO, 14,486, 0.59%, 0.00%), (BA, 4,276, 0.59%, 0.00%), (BKNG, 175, 0.59%, 0.00%), (AMD, 5,804, 0.56%, 0.00%), (PM, 5,809, 0.56%, 0.00%), (SO, 10,180, 0.56%, 0.00%), (NKE, 12,375, 0.56%, 0.00%), (CRM, 3,705, 0.54%, 0.00%), (GS, 1,182, 0.53%, 0.00%), (IBM, 3,583, 0.53%, 0.00%), (DUK, 7,177, 0.52%, 0.00%), (UBER, 9,211, 0.51%, 0.00%), (WFC, 10,338, 0.51%, 0.00%), (MET, 10,302, 0.51%, 0.00%), (ISRG, 1,794, 0.49%, 0.00%), (HON, 3,720, 0.48%, 0.00%), (ETN, 2,261, 0.47%, 0.00%), (PEP, 5,126, 0.45%, 0.00%), (T, 24,667, 0.44%, 0.00%), (INTU, 1,086, 0.44%, 0.00%), (NOW, 798, 0.43%, 0.00%), (MS, 4,672, 0.42%, 0.00%), (AXP, 2,096, 0.42%, 0.00%), (DE, 1,456, 0.42%, 0.00%), (MRK, 8,000, 0.40%, 0.00%), (SPGI, 1,196, 0.39%, 0.00%), (VZ, 14,472, 0.38%, 0.00%), (QCOM, 3,973, 0.38%, 0.00%), (ACN, 2,421, 0.37%, 0.00%), (TXN, 3,262, 0.37%, 0.00%), (BLK, 548, 0.37%, 0.00%), (MDT, 6,458, 0.36%, 0.00%), (COP, 6,228, 0.36%, 0.00%), (TMO, 1,210, 0.36%, 0.00%), (UNP, 2,652, 0.36%, 0.00%), (ADBE, 1,706, 0.35%, 0.00%), (DIS, 4,929, 0.35%, 0.00%), (C, 5,872, 0.34%, 0.00%), (LMT, 1,207, 0.33%, 0.00%), (SCHW, 5,630, 0.33%, 0.00%), (SBUX, 5,988, 0.31%, 0.00%), (MMM, 3,115, 0.29%, 0.00%), (AMGN, 1,700, 0.29%, 0.00%), (AMAT, 2,948, 0.28%, 0.00%), (CVS, 6,337, 0.28%, 0.00%), (TJX, 3,253, 0.27%, 0.00%), (GILD, 3,941, 0.27%, 0.00%), (PFE, 17,922, 0.26%, 0.00%), (EMR, 3,262, 0.26%, 0.00%), (LOW, 1,636, 0.26%, 0.00%), (MO, 6,332, 0.25%, 0.00%), (DHR, 2,033, 0.24%, 0.00%), (INTC, 15,425, 0.23%, 0.00%), (ELV, 1,168, 0.22%, 0.00%), (CMCSA, 10,390, 0.21%, 0.00%), (MDLZ, 4,996, 0.18%, 0.00%), (BMY, 6,414, 0.18%, 0.00%), (UPS, 3,199, 0.16%, 0.00%), (PYPL, 3,776, 0.16%, 0.00%), (USB, 4,844, 0.14%, 0.00%), (CL, 2,779, 0.14%, 0.00%), (FDX, 983, 0.13%, 0.00%), (TGT, 1,345, 0.08%, 0.00%), (SC26771B, nan, nan%, 0.00%), (SC26773B, nan, nan%, 0.00%), (SP26772B, nan, nan%, 0.00%), (SP26774B, nan, nan%, 0.00%), (SP26775T, nan, nan%, 0.00%), (XP26775T, nan, nan%, 0.00%)</t>
  </si>
  <si>
    <t>(AVGO, 14,463, 3.23%, 0.00%), (META, 5,138, 2.83%, 0.00%), (GOOGL, 13,771, 2.30%, 0.00%), (BRK/B, 5,977, 2.24%, 0.00%), (GOOG, 11,216, 1.88%, 0.00%), (CSCO, 36,294, 1.83%, 0.00%), (LIN, 5,135, 1.80%, 0.00%), (TSLA, 6,875, 1.71%, 0.00%), (JPM, 7,569, 1.70%, 0.00%), (XOM, 18,321, 1.53%, 0.00%), (AMT, 10,417, 1.51%, 0.00%), (V, 5,635, 1.46%, 0.00%), (CB, 5,749, 1.19%, 0.00%), (LLY, 2,158, 1.18%, 0.00%), (MA, 2,673, 1.18%, 0.00%), (GE, 5,361, 1.11%, 0.00%), (WM, 6,440, 1.07%, 0.00%), (NFLX, 1,007, 0.93%, 0.00%), (UNH, 4,013, 0.92%, 0.00%), (ORCL, 5,393, 0.89%, 0.00%), (JNJ, 6,593, 0.87%, 0.00%), (NEE, 16,543, 0.87%, 0.00%), (PG, 6,937, 0.81%, 0.00%), (CVX, 6,967, 0.81%, 0.00%), (WMT, 10,975, 0.81%, 0.00%), (PLTR, 6,878, 0.79%, 0.00%), (COST, 1,120, 0.79%, 0.00%), (RTX, 6,593, 0.77%, 0.00%), (MCD, 3,278, 0.77%, 0.00%), (ABBV, 4,839, 0.76%, 0.00%), (HD, 2,480, 0.75%, 0.00%), (ABT, 7,563, 0.74%, 0.00%), (CAT, 2,391, 0.74%, 0.00%), (BAC, 17,946, 0.67%, 0.00%), (KO, 12,543, 0.63%, 0.00%), (BA, 3,703, 0.63%, 0.00%), (BKNG, 151, 0.62%, 0.00%), (AMD, 5,025, 0.60%, 0.00%), (PM, 5,030, 0.60%, 0.00%), (SO, 8,814, 0.60%, 0.00%), (NKE, 10,715, 0.60%, 0.00%), (CRM, 3,208, 0.58%, 0.00%), (GS, 1,024, 0.57%, 0.00%), (IBM, 3,102, 0.56%, 0.00%), (DUK, 6,214, 0.56%, 0.00%), (UBER, 7,975, 0.54%, 0.00%), (WFC, 8,951, 0.54%, 0.00%), (MET, 8,920, 0.54%, 0.00%), (ISRG, 1,553, 0.52%, 0.00%), (HON, 3,221, 0.51%, 0.00%), (ETN, 1,957, 0.50%, 0.00%), (PEP, 4,439, 0.48%, 0.00%), (T, 21,358, 0.47%, 0.00%), (INTU, 940, 0.46%, 0.00%), (NOW, 691, 0.46%, 0.00%), (MS, 4,045, 0.45%, 0.00%), (AXP, 1,815, 0.44%, 0.00%), (DE, 1,260, 0.44%, 0.00%), (MRK, 6,927, 0.43%, 0.00%), (SPGI, 1,035, 0.41%, 0.00%), (VZ, 12,531, 0.41%, 0.00%), (QCOM, 3,440, 0.41%, 0.00%), (ACN, 2,097, 0.39%, 0.00%), (TXN, 2,825, 0.39%, 0.00%), (BLK, 475, 0.39%, 0.00%), (MDT, 5,592, 0.38%, 0.00%), (COP, 5,392, 0.38%, 0.00%), (TMO, 1,047, 0.38%, 0.00%), (UNP, 2,296, 0.38%, 0.00%), (ADBE, 1,477, 0.38%, 0.00%), (DIS, 4,268, 0.37%, 0.00%), (C, 5,085, 0.36%, 0.00%), (LMT, 1,045, 0.35%, 0.00%), (SCHW, 4,875, 0.35%, 0.00%), (SBUX, 5,185, 0.33%, 0.00%), (MMM, 2,697, 0.31%, 0.00%), (AMGN, 1,472, 0.31%, 0.00%), (AMAT, 2,553, 0.30%, 0.00%), (CVS, 5,487, 0.30%, 0.00%), (TJX, 2,816, 0.29%, 0.00%), (GILD, 3,413, 0.28%, 0.00%), (PFE, 15,518, 0.28%, 0.00%), (EMR, 2,824, 0.28%, 0.00%), (LOW, 1,416, 0.28%, 0.00%), (MO, 5,483, 0.27%, 0.00%), (DHR, 1,760, 0.26%, 0.00%), (INTC, 13,356, 0.24%, 0.00%), (ELV, 1,011, 0.23%, 0.00%), (CMCSA, 8,996, 0.23%, 0.00%), (MDLZ, 4,326, 0.19%, 0.00%), (BMY, 5,554, 0.19%, 0.00%), (UPS, 2,770, 0.17%, 0.00%), (PYPL, 3,269, 0.17%, 0.00%), (USB, 4,194, 0.15%, 0.00%), (CL, 2,407, 0.15%, 0.00%), (FDX, 851, 0.14%, 0.00%), (TGT, 1,165, 0.08%, 0.00%), (SC23471B, nan, nan%, 0.00%), (SC23473B, nan, nan%, 0.00%), (SP23472B, nan, nan%, 0.00%), (SP23475B, nan, nan%, 0.00%), (SP23474B, nan, nan%, 0.00%), (XP23475B, nan, nan%, 0.00%)</t>
  </si>
  <si>
    <t>(AVGO, 10,777, 3.23%, 0.00%), (META, 3,828, 2.82%, 0.00%), (GOOGL, 10,261, 2.30%, 0.00%), (BRK/B, 4,454, 2.23%, 0.00%), (GOOG, 8,358, 1.88%, 0.00%), (CSCO, 27,043, 1.82%, 0.00%), (LIN, 3,826, 1.79%, 0.00%), (TSLA, 5,123, 1.71%, 0.00%), (JPM, 5,640, 1.70%, 0.00%), (XOM, 13,651, 1.52%, 0.00%), (AMT, 7,762, 1.50%, 0.00%), (V, 4,199, 1.46%, 0.00%), (CB, 4,284, 1.19%, 0.00%), (LLY, 1,608, 1.18%, 0.00%), (MA, 1,992, 1.18%, 0.00%), (GE, 3,994, 1.11%, 0.00%), (WM, 4,798, 1.07%, 0.00%), (NFLX, 751, 0.93%, 0.00%), (UNH, 2,990, 0.92%, 0.00%), (ORCL, 4,018, 0.89%, 0.00%), (JNJ, 4,912, 0.87%, 0.00%), (NEE, 12,326, 0.87%, 0.00%), (PG, 5,169, 0.81%, 0.00%), (CVX, 5,191, 0.81%, 0.00%), (WMT, 8,177, 0.81%, 0.00%), (PLTR, 5,125, 0.79%, 0.00%), (COST, 835, 0.79%, 0.00%), (RTX, 4,912, 0.77%, 0.00%), (MCD, 2,442, 0.76%, 0.00%), (ABBV, 3,606, 0.76%, 0.00%), (HD, 1,848, 0.75%, 0.00%), (ABT, 5,635, 0.74%, 0.00%), (CAT, 1,782, 0.74%, 0.00%), (BAC, 13,372, 0.67%, 0.00%), (KO, 9,346, 0.63%, 0.00%), (BA, 2,759, 0.63%, 0.00%), (BKNG, 113, 0.63%, 0.00%), (AMD, 3,744, 0.60%, 0.00%), (PM, 3,748, 0.60%, 0.00%), (SO, 6,568, 0.60%, 0.00%), (NKE, 7,984, 0.60%, 0.00%), (CRM, 2,390, 0.58%, 0.00%), (GS, 763, 0.56%, 0.00%), (IBM, 2,312, 0.56%, 0.00%), (DUK, 4,630, 0.56%, 0.00%), (UBER, 5,942, 0.54%, 0.00%), (WFC, 6,670, 0.54%, 0.00%), (MET, 6,646, 0.54%, 0.00%), (ISRG, 1,157, 0.52%, 0.00%), (HON, 2,400, 0.51%, 0.00%), (ETN, 1,459, 0.50%, 0.00%), (PEP, 3,307, 0.48%, 0.00%), (T, 15,915, 0.47%, 0.00%), (INTU, 701, 0.46%, 0.00%), (NOW, 515, 0.46%, 0.00%), (MS, 3,014, 0.45%, 0.00%), (AXP, 1,352, 0.44%, 0.00%), (DE, 939, 0.44%, 0.00%), (MRK, 5,161, 0.43%, 0.00%), (SPGI, 771, 0.41%, 0.00%), (VZ, 9,337, 0.41%, 0.00%), (QCOM, 2,564, 0.41%, 0.00%), (ACN, 1,562, 0.39%, 0.00%), (TXN, 2,105, 0.39%, 0.00%), (BLK, 354, 0.39%, 0.00%), (MDT, 4,167, 0.38%, 0.00%), (COP, 4,018, 0.38%, 0.00%), (UNP, 1,711, 0.38%, 0.00%), (TMO, 780, 0.38%, 0.00%), (ADBE, 1,101, 0.38%, 0.00%), (DIS, 3,180, 0.37%, 0.00%), (C, 3,789, 0.36%, 0.00%), (LMT, 779, 0.35%, 0.00%), (SCHW, 3,632, 0.35%, 0.00%), (SBUX, 3,863, 0.33%, 0.00%), (MMM, 2,010, 0.31%, 0.00%), (AMGN, 1,097, 0.30%, 0.00%), (AMAT, 1,902, 0.30%, 0.00%), (CVS, 4,089, 0.30%, 0.00%), (TJX, 2,098, 0.29%, 0.00%), (GILD, 2,543, 0.28%, 0.00%), (PFE, 11,563, 0.28%, 0.00%), (EMR, 2,104, 0.28%, 0.00%), (LOW, 1,055, 0.28%, 0.00%), (MO, 4,086, 0.27%, 0.00%), (DHR, 1,312, 0.26%, 0.00%), (INTC, 9,952, 0.24%, 0.00%), (ELV, 754, 0.23%, 0.00%), (CMCSA, 6,703, 0.23%, 0.00%), (MDLZ, 3,223, 0.19%, 0.00%), (BMY, 4,138, 0.19%, 0.00%), (UPS, 2,064, 0.17%, 0.00%), (PYPL, 2,436, 0.17%, 0.00%), (USB, 3,125, 0.15%, 0.00%), (CL, 1,793, 0.15%, 0.00%), (FDX, 634, 0.14%, 0.00%), (TGT, 868, 0.08%, 0.00%), (SC22171B, nan, nan%, 0.00%), (SC22173B, nan, nan%, 0.00%), (SP22172B, nan, nan%, 0.00%), (SP22175B, nan, nan%, 0.00%), (SP22174B, nan, nan%, 0.00%), (XP22175B, nan, nan%, 0.00%)</t>
  </si>
  <si>
    <t>(AVGO, 4,083, 3.08%, 0.00%), (META, 1,451, 2.69%, 0.00%), (GOOGL, 3,888, 2.20%, 0.00%), (BRK/B, 1,688, 2.13%, 0.00%), (GOOG, 3,167, 1.80%, 0.00%), (CSCO, 10,247, 1.74%, 0.00%), (LIN, 1,450, 1.71%, 0.00%), (TSLA, 1,941, 1.63%, 0.00%), (JPM, 2,137, 1.61%, 0.00%), (XOM, 5,172, 1.45%, 0.00%), (AMT, 2,941, 1.43%, 0.00%), (V, 1,591, 1.39%, 0.00%), (CB, 1,623, 1.13%, 0.00%), (LLY, 609, 1.12%, 0.00%), (MA, 755, 1.12%, 0.00%), (GE, 1,513, 1.06%, 0.00%), (WM, 1,818, 1.02%, 0.00%), (NFLX, 284, 0.88%, 0.00%), (UNH, 1,133, 0.87%, 0.00%), (ORCL, 1,522, 0.84%, 0.00%), (JNJ, 1,861, 0.83%, 0.00%), (NEE, 4,670, 0.82%, 0.00%), (PG, 1,958, 0.77%, 0.00%), (CVX, 1,967, 0.77%, 0.00%), (WMT, 3,098, 0.77%, 0.00%), (PLTR, 1,942, 0.75%, 0.00%), (COST, 316, 0.75%, 0.00%), (RTX, 1,861, 0.74%, 0.00%), (MCD, 925, 0.73%, 0.00%), (ABBV, 1,366, 0.72%, 0.00%), (HD, 700, 0.72%, 0.00%), (ABT, 2,135, 0.71%, 0.00%), (CAT, 675, 0.70%, 0.00%), (BAC, 5,067, 0.64%, 0.00%), (KO, 3,541, 0.60%, 0.00%), (BA, 1,045, 0.60%, 0.00%), (BKNG, 43, 0.60%, 0.00%), (AMD, 1,419, 0.57%, 0.00%), (PM, 1,420, 0.57%, 0.00%), (SO, 2,488, 0.57%, 0.00%), (NKE, 3,025, 0.57%, 0.00%), (CRM, 906, 0.55%, 0.00%), (GS, 289, 0.54%, 0.00%), (IBM, 876, 0.54%, 0.00%), (DUK, 1,754, 0.53%, 0.00%), (UBER, 2,252, 0.52%, 0.00%), (WFC, 2,527, 0.51%, 0.00%), (MET, 2,518, 0.51%, 0.00%), (ISRG, 438, 0.50%, 0.00%), (HON, 909, 0.49%, 0.00%), (ETN, 553, 0.48%, 0.00%), (PEP, 1,253, 0.46%, 0.00%), (T, 6,030, 0.44%, 0.00%), (INTU, 266, 0.44%, 0.00%), (NOW, 195, 0.44%, 0.00%), (MS, 1,142, 0.43%, 0.00%), (AXP, 512, 0.42%, 0.00%), (DE, 356, 0.42%, 0.00%), (MRK, 1,956, 0.41%, 0.00%), (SPGI, 292, 0.39%, 0.00%), (VZ, 3,538, 0.39%, 0.00%), (QCOM, 971, 0.39%, 0.00%), (ACN, 592, 0.37%, 0.00%), (TXN, 798, 0.37%, 0.00%), (BLK, 134, 0.37%, 0.00%), (MDT, 1,579, 0.37%, 0.00%), (COP, 1,522, 0.36%, 0.00%), (TMO, 296, 0.36%, 0.00%), (UNP, 648, 0.36%, 0.00%), (ADBE, 417, 0.36%, 0.00%), (DIS, 1,205, 0.36%, 0.00%), (C, 1,436, 0.35%, 0.00%), (LMT, 295, 0.34%, 0.00%), (SCHW, 1,376, 0.33%, 0.00%), (SBUX, 1,464, 0.32%, 0.00%), (MMM, 761, 0.29%, 0.00%), (AMGN, 416, 0.29%, 0.00%), (AMAT, 721, 0.28%, 0.00%), (CVS, 1,549, 0.28%, 0.00%), (TJX, 795, 0.28%, 0.00%), (GILD, 963, 0.27%, 0.00%), (PFE, 4,381, 0.27%, 0.00%), (EMR, 797, 0.26%, 0.00%), (LOW, 400, 0.26%, 0.00%), (MO, 1,548, 0.26%, 0.00%), (DHR, 497, 0.25%, 0.00%), (INTC, 3,771, 0.23%, 0.00%), (ELV, 286, 0.22%, 0.00%), (CMCSA, 2,540, 0.21%, 0.00%), (MDLZ, 1,221, 0.19%, 0.00%), (BMY, 1,568, 0.18%, 0.00%), (UPS, 782, 0.16%, 0.00%), (PYPL, 923, 0.16%, 0.00%), (USB, 1,184, 0.14%, 0.00%), (CL, 679, 0.14%, 0.00%), (FDX, 240, 0.13%, 0.00%), (TGT, 329, 0.08%, 0.00%), (SC28181B, nan, nan%, 0.00%), (SC28183B, nan, nan%, 0.00%), (SP28182B, nan, nan%, 0.00%), (SP28185B, nan, nan%, 0.00%), (SP28184B, nan, nan%, 0.00%), (XP28185B, nan, nan%, 0.00%)</t>
  </si>
  <si>
    <t>(AVGO, 4,440, 3.11%, 0.00%), (META, 1,577, 2.72%, 0.00%), (GOOGL, 4,227, 2.22%, 0.00%), (BRK/B, 1,835, 2.15%, 0.00%), (GOOG, 3,443, 1.82%, 0.00%), (CSCO, 11,141, 1.75%, 0.00%), (LIN, 1,576, 1.72%, 0.00%), (TSLA, 2,111, 1.64%, 0.00%), (JPM, 2,323, 1.63%, 0.00%), (XOM, 5,624, 1.46%, 0.00%), (AMT, 3,198, 1.44%, 0.00%), (V, 1,730, 1.41%, 0.00%), (CB, 1,765, 1.14%, 0.00%), (LLY, 662, 1.13%, 0.00%), (MA, 821, 1.13%, 0.00%), (GE, 1,646, 1.07%, 0.00%), (WM, 1,977, 1.03%, 0.00%), (NFLX, 309, 0.89%, 0.00%), (UNH, 1,232, 0.88%, 0.00%), (ORCL, 1,655, 0.85%, 0.00%), (JNJ, 2,024, 0.84%, 0.00%), (NEE, 5,078, 0.83%, 0.00%), (PG, 2,129, 0.78%, 0.00%), (CVX, 2,139, 0.78%, 0.00%), (WMT, 3,369, 0.78%, 0.00%), (PLTR, 2,111, 0.76%, 0.00%), (COST, 344, 0.76%, 0.00%), (RTX, 2,024, 0.74%, 0.00%), (MCD, 1,006, 0.73%, 0.00%), (ABBV, 1,485, 0.73%, 0.00%), (HD, 761, 0.72%, 0.00%), (ABT, 2,322, 0.71%, 0.00%), (CAT, 734, 0.71%, 0.00%), (BAC, 5,509, 0.65%, 0.00%), (KO, 3,850, 0.61%, 0.00%), (BA, 1,137, 0.61%, 0.00%), (BKNG, 46, 0.60%, 0.00%), (AMD, 1,543, 0.58%, 0.00%), (PM, 1,544, 0.58%, 0.00%), (SO, 2,706, 0.58%, 0.00%), (NKE, 3,289, 0.57%, 0.00%), (CRM, 985, 0.56%, 0.00%), (GS, 314, 0.54%, 0.00%), (IBM, 952, 0.54%, 0.00%), (DUK, 1,908, 0.53%, 0.00%), (UBER, 2,448, 0.52%, 0.00%), (WFC, 2,748, 0.52%, 0.00%), (MET, 2,738, 0.52%, 0.00%), (ISRG, 477, 0.50%, 0.00%), (HON, 989, 0.49%, 0.00%), (ETN, 601, 0.48%, 0.00%), (PEP, 1,363, 0.46%, 0.00%), (T, 6,557, 0.45%, 0.00%), (INTU, 289, 0.45%, 0.00%), (NOW, 212, 0.44%, 0.00%), (MS, 1,242, 0.43%, 0.00%), (DE, 387, 0.43%, 0.00%), (AXP, 557, 0.43%, 0.00%), (MRK, 2,126, 0.41%, 0.00%), (SPGI, 318, 0.40%, 0.00%), (VZ, 3,847, 0.39%, 0.00%), (QCOM, 1,056, 0.39%, 0.00%), (ACN, 644, 0.38%, 0.00%), (TXN, 867, 0.38%, 0.00%), (BLK, 146, 0.37%, 0.00%), (MDT, 1,717, 0.37%, 0.00%), (COP, 1,655, 0.37%, 0.00%), (TMO, 322, 0.36%, 0.00%), (UNP, 705, 0.36%, 0.00%), (ADBE, 453, 0.36%, 0.00%), (DIS, 1,310, 0.36%, 0.00%), (C, 1,561, 0.35%, 0.00%), (LMT, 321, 0.34%, 0.00%), (SCHW, 1,497, 0.34%, 0.00%), (SBUX, 1,592, 0.32%, 0.00%), (MMM, 828, 0.30%, 0.00%), (AMGN, 452, 0.29%, 0.00%), (AMAT, 784, 0.29%, 0.00%), (CVS, 1,684, 0.29%, 0.00%), (TJX, 865, 0.28%, 0.00%), (GILD, 1,048, 0.27%, 0.00%), (PFE, 4,764, 0.27%, 0.00%), (EMR, 867, 0.27%, 0.00%), (LOW, 435, 0.27%, 0.00%), (MO, 1,683, 0.26%, 0.00%), (DHR, 540, 0.25%, 0.00%), (INTC, 4,100, 0.23%, 0.00%), (ELV, 310, 0.22%, 0.00%), (CMCSA, 2,762, 0.22%, 0.00%), (MDLZ, 1,328, 0.19%, 0.00%), (BMY, 1,705, 0.18%, 0.00%), (UPS, 850, 0.17%, 0.00%), (PYPL, 1,004, 0.16%, 0.00%), (USB, 1,287, 0.15%, 0.00%), (CL, 739, 0.14%, 0.00%), (FDX, 261, 0.14%, 0.00%), (TGT, 358, 0.08%, 0.00%), (SC13481B, nan, nan%, 0.00%), (SC13483B, nan, nan%, 0.00%), (SP13482B, nan, nan%, 0.00%), (SP13485B, nan, nan%, 0.00%), (SP13484B, nan, nan%, 0.00%), (XP13485B, nan, nan%, 0.00%)</t>
  </si>
  <si>
    <t>(AVGO, 8,350, 3.23%, 0.00%), (META, 2,966, 2.82%, 0.00%), (GOOGL, 7,950, 2.30%, 0.00%), (BRK/B, 3,451, 2.23%, 0.00%), (GOOG, 6,475, 1.89%, 0.00%), (CSCO, 20,953, 1.82%, 0.00%), (LIN, 2,964, 1.79%, 0.00%), (TSLA, 3,969, 1.71%, 0.00%), (JPM, 4,370, 1.69%, 0.00%), (XOM, 10,577, 1.52%, 0.00%), (AMT, 6,014, 1.50%, 0.00%), (V, 3,253, 1.46%, 0.00%), (CB, 3,319, 1.19%, 0.00%), (LLY, 1,246, 1.18%, 0.00%), (MA, 1,543, 1.17%, 0.00%), (GE, 3,095, 1.11%, 0.00%), (WM, 3,718, 1.07%, 0.00%), (NFLX, 582, 0.92%, 0.00%), (UNH, 2,317, 0.92%, 0.00%), (ORCL, 3,113, 0.89%, 0.00%), (JNJ, 3,806, 0.87%, 0.00%), (NEE, 9,550, 0.86%, 0.00%), (PG, 4,005, 0.81%, 0.00%), (CVX, 4,022, 0.81%, 0.00%), (WMT, 6,336, 0.81%, 0.00%), (PLTR, 3,971, 0.79%, 0.00%), (COST, 647, 0.79%, 0.00%), (RTX, 3,806, 0.77%, 0.00%), (MCD, 1,892, 0.76%, 0.00%), (ABBV, 2,794, 0.76%, 0.00%), (HD, 1,432, 0.75%, 0.00%), (ABT, 4,366, 0.74%, 0.00%), (CAT, 1,381, 0.74%, 0.00%), (BAC, 10,361, 0.67%, 0.00%), (KO, 7,241, 0.63%, 0.00%), (BA, 2,138, 0.63%, 0.00%), (BKNG, 87, 0.62%, 0.00%), (AMD, 2,901, 0.60%, 0.00%), (PM, 2,904, 0.60%, 0.00%), (SO, 5,089, 0.60%, 0.00%), (NKE, 6,186, 0.60%, 0.00%), (CRM, 1,852, 0.58%, 0.00%), (GS, 591, 0.56%, 0.00%), (IBM, 1,791, 0.56%, 0.00%), (DUK, 3,588, 0.55%, 0.00%), (UBER, 4,604, 0.54%, 0.00%), (WFC, 5,168, 0.54%, 0.00%), (MET, 5,150, 0.54%, 0.00%), (ISRG, 897, 0.52%, 0.00%), (HON, 1,859, 0.51%, 0.00%), (ETN, 1,130, 0.50%, 0.00%), (PEP, 2,562, 0.48%, 0.00%), (T, 12,331, 0.46%, 0.00%), (INTU, 543, 0.46%, 0.00%), (NOW, 399, 0.46%, 0.00%), (MS, 2,335, 0.45%, 0.00%), (AXP, 1,048, 0.44%, 0.00%), (DE, 728, 0.44%, 0.00%), (MRK, 3,999, 0.43%, 0.00%), (SPGI, 598, 0.41%, 0.00%), (VZ, 7,234, 0.41%, 0.00%), (QCOM, 1,986, 0.40%, 0.00%), (ACN, 1,210, 0.39%, 0.00%), (TXN, 1,631, 0.39%, 0.00%), (BLK, 274, 0.39%, 0.00%), (MDT, 3,228, 0.38%, 0.00%), (COP, 3,113, 0.38%, 0.00%), (TMO, 605, 0.38%, 0.00%), (UNP, 1,326, 0.38%, 0.00%), (ADBE, 853, 0.37%, 0.00%), (DIS, 2,464, 0.37%, 0.00%), (C, 2,935, 0.36%, 0.00%), (LMT, 603, 0.35%, 0.00%), (SCHW, 2,814, 0.35%, 0.00%), (SBUX, 2,993, 0.33%, 0.00%), (MMM, 1,557, 0.31%, 0.00%), (AMGN, 850, 0.30%, 0.00%), (AMAT, 1,474, 0.30%, 0.00%), (CVS, 3,168, 0.30%, 0.00%), (TJX, 1,626, 0.29%, 0.00%), (GILD, 1,970, 0.28%, 0.00%), (PFE, 8,959, 0.28%, 0.00%), (EMR, 1,630, 0.28%, 0.00%), (LOW, 818, 0.27%, 0.00%), (MO, 3,165, 0.27%, 0.00%), (DHR, 1,016, 0.26%, 0.00%), (INTC, 7,711, 0.24%, 0.00%), (ELV, 584, 0.23%, 0.00%), (CMCSA, 5,194, 0.22%, 0.00%), (MDLZ, 2,497, 0.19%, 0.00%), (BMY, 3,206, 0.19%, 0.00%), (UPS, 1,599, 0.17%, 0.00%), (PYPL, 1,887, 0.16%, 0.00%), (USB, 2,421, 0.15%, 0.00%), (CL, 1,389, 0.15%, 0.00%), (FDX, 491, 0.14%, 0.00%), (TGT, 672, 0.08%, 0.00%), (SC26771B, nan, nan%, 0.00%), (SC26773B, nan, nan%, 0.00%), (SP26772B, nan, nan%, 0.00%), (SP26775B, nan, nan%, 0.00%), (SP26774B, nan, nan%, 0.00%), (XP26775B, nan, nan%, 0.00%)</t>
  </si>
  <si>
    <t>EBAY, GOOGL, BK, META, MLI, PHM, JPM, MSFT, EA, EWBC, BKNG</t>
  </si>
  <si>
    <t>(RJF, 6,407, 1.93%, 0.00%), (BLK, 963, 1.93%, 0.00%), (AXP, 3,234, 1.92%, 0.00%), (HIG, 7,677, 1.84%, 0.00%), (TRV, 3,648, 1.83%, 0.00%), (V, 2,867, 1.79%, 0.00%), (ROST, 6,388, 1.75%, 0.00%), (LEN, 6,768, 1.75%, 0.00%), (UNM, 12,898, 1.73%, 0.01%), (SNA, 2,859, 1.71%, 0.01%), (KLAC, 1,014, 1.67%, 0.00%), (ADP, 3,063, 1.65%, 0.00%), (SYF, 11,973, 1.65%, 0.00%), (PCAR, 9,067, 1.63%, 0.00%), (CB, 3,235, 1.63%, 0.00%), (NVDA, 5,357, 1.63%, 0.00%), (AMAT, 5,493, 1.63%, 0.00%), (CTSH, 11,588, 1.51%, 0.00%), (CRM, 3,285, 1.50%, 0.00%), (WSM, 4,054, 1.49%, 0.00%), (DHI, 4,498, 1.49%, 0.00%), (PAYC, 3,508, 1.43%, 0.01%), (BKR, 17,053, 1.41%, 0.00%), (QCOM, 4,625, 1.35%, 0.00%), (AAPL, 2,986, 1.30%, 0.00%), (ACN, 2,732, 1.27%, 0.00%), (ELV, 2,196, 1.25%, 0.00%), (AFL, 6,334, 1.23%, 0.00%), (MPWR, 732, 1.15%, 0.00%), (LRCX, 5,907, 1.11%, 0.00%), (ODFL, 3,929, 1.08%, 0.00%), (GE, 2,070, 1.05%, 0.00%), (CSCO, 8,579, 1.04%, 0.00%), (STT, 4,755, 0.98%, 0.00%), (PNC, 2,546, 0.95%, 0.00%), (MTB, 2,530, 0.92%, 0.00%), (CF, 5,434, 0.84%, 0.00%), (COST, 476, 0.83%, 0.00%), (ABT, 3,423, 0.83%, 0.00%), (AMP, 926, 0.82%, 0.00%), (XOM, 3,981, 0.79%, 0.00%), (CSL, 1,066, 0.77%, 0.00%), (EOG, 3,581, 0.77%, 0.00%), (EG, 1,205, 0.75%, 0.00%), (GEV, 485, 0.51%, 0.00%), (NTRS, 2,207, 0.51%, 0.00%), (MA, 460, 0.49%, 0.00%), (ACM, 2,088, 0.48%, 0.00%), (JNJ, 1,478, 0.48%, 0.00%), (CRBG, 7,583, 0.46%, 0.00%), (LNC, 6,036, 0.46%, 0.00%), (WTFC, 1,778, 0.45%, 0.00%), (MTG, 8,672, 0.45%, 0.00%), (JXN, 2,491, 0.43%, 0.00%), (CINF, 1,535, 0.43%, 0.00%), (ADM, 3,675, 0.42%, 0.00%), (DOV, 1,290, 0.42%, 0.00%), (EQH, 4,279, 0.42%, 0.00%), (SLM, 7,086, 0.40%, 0.00%), (ALL, 1,093, 0.40%, 0.00%), (MCK, 319, 0.40%, 0.00%), (NUE, 1,476, 0.40%, 0.00%), (NKE, 2,690, 0.36%, 0.00%), (PGR, 805, 0.36%, 0.00%), (FANG, 1,149, 0.29%, 0.00%), (SC13N61B, nan, nan%, 0.00%), (SC13N63B, nan, nan%, 0.00%), (SP13N62B, nan, nan%, 0.00%), (SP13N65B, nan, nan%, 0.00%), (SP13N64B, nan, nan%, 0.00%), (SPX Index, nan, nan%, 0.00%), (XP13N65B, nan, nan%, 0.00%)</t>
  </si>
  <si>
    <t>(AVGO, 3,833, 3.60%, 0.00%), (META, 1,362, 2.97%, 0.00%), (GOOGL, 3,650, 2.42%, 0.00%), (BRK/B, 1,584, 2.31%, 0.00%), (GOOG, 2,973, 1.98%, 0.00%), (CSCO, 9,619, 1.88%, 0.00%), (LIN, 1,361, 1.86%, 0.00%), (TSLA, 1,822, 1.83%, 0.00%), (JPM, 2,006, 1.72%, 0.00%), (AMT, 2,761, 1.60%, 0.00%), (XOM, 4,856, 1.55%, 0.00%), (V, 1,494, 1.49%, 0.00%), (CB, 1,524, 1.23%, 0.00%), (LLY, 572, 1.21%, 0.00%), (MA, 708, 1.21%, 0.00%), (GE, 1,421, 1.15%, 0.00%), (WM, 1,707, 1.09%, 0.00%), (UNH, 1,064, 0.97%, 0.00%), (ORCL, 1,429, 0.96%, 0.00%), (NFLX, 267, 0.96%, 0.00%), (JNJ, 1,747, 0.91%, 0.00%), (NEE, 4,384, 0.91%, 0.00%), (PG, 1,838, 0.85%, 0.00%), (WMT, 2,909, 0.84%, 0.00%), (COST, 297, 0.83%, 0.00%), (CVX, 1,846, 0.83%, 0.00%), (PLTR, 1,823, 0.81%, 0.00%), (RTX, 1,747, 0.80%, 0.00%), (HD, 657, 0.80%, 0.00%), (MCD, 869, 0.79%, 0.00%), (ABBV, 1,282, 0.79%, 0.00%), (CAT, 634, 0.78%, 0.00%), (ABT, 2,004, 0.78%, 0.00%), (BAC, 4,756, 0.69%, 0.00%), (KO, 3,324, 0.66%, 0.00%), (BA, 981, 0.66%, 0.00%), (BKNG, 40, 0.64%, 0.00%), (PM, 1,333, 0.63%, 0.00%), (SO, 2,336, 0.62%, 0.00%), (CRM, 850, 0.62%, 0.00%), (NKE, 2,840, 0.61%, 0.00%), (IBM, 822, 0.59%, 0.00%), (AMD, 1,332, 0.59%, 0.00%), (GS, 271, 0.58%, 0.00%), (DUK, 1,647, 0.58%, 0.00%), (UBER, 2,114, 0.56%, 0.00%), (ISRG, 412, 0.56%, 0.00%), (MET, 2,364, 0.55%, 0.00%), (WFC, 2,372, 0.55%, 0.00%), (HON, 854, 0.53%, 0.00%), (ETN, 519, 0.53%, 0.00%), (PEP, 1,176, 0.50%, 0.00%), (T, 5,661, 0.49%, 0.00%), (INTU, 249, 0.49%, 0.00%), (NOW, 183, 0.49%, 0.00%), (MS, 1,072, 0.46%, 0.00%), (DE, 334, 0.46%, 0.00%), (AXP, 481, 0.46%, 0.00%), (MRK, 1,836, 0.45%, 0.00%), (SPGI, 274, 0.43%, 0.00%), (VZ, 3,321, 0.43%, 0.00%), (QCOM, 912, 0.42%, 0.00%), (ACN, 556, 0.41%, 0.00%), (TXN, 749, 0.41%, 0.00%), (BLK, 126, 0.40%, 0.00%), (MDT, 1,482, 0.40%, 0.00%), (TMO, 278, 0.40%, 0.00%), (ADBE, 391, 0.40%, 0.00%), (UNP, 609, 0.39%, 0.00%), (DIS, 1,131, 0.39%, 0.00%), (COP, 1,429, 0.39%, 0.00%), (C, 1,348, 0.37%, 0.00%), (LMT, 277, 0.37%, 0.00%), (SCHW, 1,292, 0.35%, 0.00%), (SBUX, 1,374, 0.34%, 0.00%), (MMM, 715, 0.32%, 0.00%), (AMGN, 390, 0.32%, 0.00%), (AMAT, 677, 0.32%, 0.00%), (CVS, 1,454, 0.31%, 0.00%), (TJX, 746, 0.30%, 0.00%), (GILD, 904, 0.30%, 0.00%), (PFE, 4,113, 0.30%, 0.00%), (LOW, 375, 0.29%, 0.00%), (EMR, 748, 0.29%, 0.00%), (MO, 1,453, 0.28%, 0.00%), (DHR, 467, 0.27%, 0.00%), (INTC, 3,540, 0.25%, 0.00%), (ELV, 268, 0.25%, 0.00%), (CMCSA, 2,384, 0.24%, 0.00%), (MDLZ, 1,147, 0.21%, 0.00%), (BMY, 1,472, 0.20%, 0.00%), (UPS, 734, 0.18%, 0.00%), (PYPL, 866, 0.17%, 0.00%), (USB, 1,112, 0.16%, 0.00%), (CL, 638, 0.16%, 0.00%), (FDX, 226, 0.15%, 0.00%), (TGT, 309, 0.08%, 0.00%), (SC31761B, nan, nan%, 0.00%), (SC31763B, nan, nan%, 0.00%), (SP31762B, nan, nan%, 0.00%), (SP31765B, nan, nan%, 0.00%), (SP31764B, nan, nan%, 0.00%), (XP31765B, nan, nan%, 0.00%)</t>
  </si>
  <si>
    <t>(AVGO, 2,526, 3.51%, 0.00%), (META, 897, 2.88%, 0.00%), (GOOGL, 2,405, 2.35%, 0.00%), (BRK/B, 1,044, 2.24%, 0.00%), (GOOG, 1,959, 1.93%, 0.00%), (CSCO, 6,340, 1.82%, 0.00%), (LIN, 897, 1.81%, 0.00%), (TSLA, 1,201, 1.78%, 0.00%), (JPM, 1,322, 1.67%, 0.00%), (AMT, 1,820, 1.55%, 0.00%), (XOM, 3,200, 1.50%, 0.00%), (V, 984, 1.45%, 0.00%), (CB, 1,004, 1.20%, 0.00%), (LLY, 377, 1.18%, 0.00%), (MA, 467, 1.17%, 0.00%), (GE, 936, 1.12%, 0.00%), (WM, 1,125, 1.07%, 0.00%), (UNH, 701, 0.94%, 0.00%), (ORCL, 942, 0.93%, 0.00%), (NFLX, 176, 0.93%, 0.00%), (JNJ, 1,152, 0.88%, 0.00%), (NEE, 2,890, 0.88%, 0.00%), (PG, 1,212, 0.83%, 0.00%), (WMT, 1,917, 0.82%, 0.00%), (CVX, 1,217, 0.80%, 0.00%), (COST, 196, 0.80%, 0.00%), (PLTR, 1,201, 0.79%, 0.00%), (RTX, 1,152, 0.78%, 0.00%), (HD, 433, 0.78%, 0.00%), (MCD, 573, 0.77%, 0.00%), (ABBV, 845, 0.77%, 0.00%), (CAT, 418, 0.76%, 0.00%), (ABT, 1,321, 0.76%, 0.00%), (BAC, 3,135, 0.67%, 0.00%), (KO, 2,191, 0.64%, 0.00%), (BA, 647, 0.64%, 0.00%), (BKNG, 26, 0.62%, 0.00%), (PM, 879, 0.61%, 0.00%), (SO, 1,540, 0.61%, 0.00%), (CRM, 560, 0.60%, 0.00%), (NKE, 1,872, 0.60%, 0.00%), (IBM, 542, 0.57%, 0.00%), (AMD, 878, 0.57%, 0.00%), (GS, 179, 0.57%, 0.00%), (DUK, 1,085, 0.56%, 0.00%), (UBER, 1,393, 0.55%, 0.00%), (ISRG, 271, 0.54%, 0.00%), (MET, 1,558, 0.53%, 0.00%), (WFC, 1,564, 0.53%, 0.00%), (HON, 563, 0.52%, 0.00%), (ETN, 342, 0.51%, 0.00%), (PEP, 775, 0.49%, 0.00%), (NOW, 121, 0.48%, 0.00%), (T, 3,731, 0.47%, 0.00%), (INTU, 164, 0.47%, 0.00%), (MS, 707, 0.45%, 0.00%), (DE, 220, 0.45%, 0.00%), (AXP, 317, 0.44%, 0.00%), (MRK, 1,210, 0.44%, 0.00%), (SPGI, 181, 0.42%, 0.00%), (VZ, 2,189, 0.42%, 0.00%), (QCOM, 601, 0.41%, 0.00%), (ACN, 366, 0.40%, 0.00%), (TXN, 493, 0.40%, 0.00%), (BLK, 83, 0.39%, 0.00%), (MDT, 977, 0.39%, 0.00%), (ADBE, 258, 0.39%, 0.00%), (TMO, 183, 0.39%, 0.00%), (UNP, 401, 0.38%, 0.00%), (DIS, 746, 0.38%, 0.00%), (COP, 942, 0.38%, 0.00%), (C, 888, 0.36%, 0.00%), (LMT, 183, 0.36%, 0.00%), (SCHW, 852, 0.34%, 0.00%), (SBUX, 906, 0.33%, 0.00%), (MMM, 471, 0.31%, 0.00%), (AMGN, 257, 0.31%, 0.00%), (AMAT, 446, 0.31%, 0.00%), (CVS, 958, 0.30%, 0.00%), (GILD, 596, 0.29%, 0.00%), (TJX, 492, 0.29%, 0.00%), (PFE, 2,711, 0.29%, 0.00%), (LOW, 247, 0.28%, 0.00%), (EMR, 493, 0.28%, 0.00%), (MO, 958, 0.27%, 0.00%), (DHR, 307, 0.26%, 0.00%), (INTC, 2,333, 0.25%, 0.00%), (ELV, 177, 0.24%, 0.00%), (CMCSA, 1,571, 0.23%, 0.00%), (MDLZ, 756, 0.20%, 0.00%), (BMY, 970, 0.20%, 0.00%), (UPS, 484, 0.18%, 0.00%), (PYPL, 571, 0.17%, 0.00%), (USB, 733, 0.15%, 0.00%), (CL, 420, 0.15%, 0.00%), (FDX, 149, 0.15%, 0.00%), (TGT, 203, 0.08%, 0.00%), (SC9061B, nan, nan%, 0.00%), (SC9063B, nan, nan%, 0.00%), (SP9062B, nan, nan%, 0.00%), (SP9065B, nan, nan%, 0.00%), (SP9064B, nan, nan%, 0.00%), (XP9065B, nan, nan%, 0.00%)</t>
  </si>
  <si>
    <t>(META, 861, 2.63%, 0.00%), (GOOGL, 2,307, 2.15%, 0.00%), (BRK/B, 1,001, 2.04%, 0.00%), (GOOG, 1,879, 1.76%, 0.00%), (CSCO, 6,081, 1.66%, 0.00%), (LIN, 860, 1.65%, 0.00%), (TSLA, 1,152, 1.62%, 0.00%), (JPM, 1,268, 1.52%, 0.00%), (AMT, 1,745, 1.41%, 0.00%), (XOM, 3,070, 1.37%, 0.00%), (V, 944, 1.32%, 0.00%), (CB, 963, 1.09%, 0.00%), (LLY, 361, 1.07%, 0.00%), (MA, 448, 1.07%, 0.00%), (GE, 898, 1.02%, 0.00%), (WM, 1,079, 0.97%, 0.00%), (UNH, 672, 0.86%, 0.00%), (NFLX, 169, 0.86%, 0.00%), (ORCL, 904, 0.85%, 0.00%), (JNJ, 1,105, 0.80%, 0.00%), (NEE, 2,772, 0.80%, 0.00%), (PG, 1,162, 0.75%, 0.00%), (WMT, 1,839, 0.75%, 0.00%), (CVX, 1,167, 0.73%, 0.00%), (COST, 188, 0.73%, 0.00%), (PLTR, 1,152, 0.72%, 0.00%), (RTX, 1,105, 0.71%, 0.00%), (HD, 416, 0.71%, 0.00%), (MCD, 549, 0.70%, 0.00%), (ABBV, 811, 0.70%, 0.00%), (CAT, 401, 0.69%, 0.00%), (ABT, 1,267, 0.69%, 0.00%), (BAC, 3,007, 0.61%, 0.00%), (KO, 2,101, 0.58%, 0.00%), (BA, 620, 0.58%, 0.00%), (BKNG, 25, 0.56%, 0.00%), (PM, 843, 0.55%, 0.00%), (SO, 1,477, 0.55%, 0.00%), (CRM, 537, 0.55%, 0.00%), (NKE, 1,795, 0.54%, 0.00%), (IBM, 520, 0.52%, 0.00%), (AMD, 842, 0.52%, 0.00%), (GS, 172, 0.52%, 0.00%), (DUK, 1,041, 0.51%, 0.00%), (UBER, 1,336, 0.50%, 0.00%), (ISRG, 260, 0.49%, 0.00%), (MET, 1,494, 0.48%, 0.00%), (WFC, 1,500, 0.48%, 0.00%), (HON, 540, 0.47%, 0.00%), (ETN, 328, 0.47%, 0.00%), (PEP, 744, 0.44%, 0.00%), (INTU, 158, 0.43%, 0.00%), (NOW, 116, 0.43%, 0.00%), (T, 3,579, 0.43%, 0.00%), (MS, 678, 0.41%, 0.00%), (DE, 211, 0.41%, 0.00%), (AXP, 304, 0.40%, 0.00%), (MRK, 1,161, 0.40%, 0.00%), (SPGI, 173, 0.38%, 0.00%), (VZ, 2,099, 0.38%, 0.00%), (QCOM, 576, 0.38%, 0.00%), (ACN, 351, 0.36%, 0.00%), (TXN, 473, 0.36%, 0.00%), (BLK, 80, 0.36%, 0.00%), (MDT, 937, 0.35%, 0.00%), (TMO, 175, 0.35%, 0.00%), (ADBE, 247, 0.35%, 0.00%), (UNP, 385, 0.35%, 0.00%), (DIS, 715, 0.34%, 0.00%), (COP, 903, 0.34%, 0.00%), (C, 852, 0.33%, 0.00%), (LMT, 175, 0.33%, 0.00%), (SCHW, 817, 0.31%, 0.00%), (SBUX, 869, 0.30%, 0.00%), (MMM, 452, 0.29%, 0.00%), (AMGN, 247, 0.29%, 0.00%), (AMAT, 428, 0.28%, 0.00%), (CVS, 919, 0.28%, 0.00%), (TJX, 472, 0.27%, 0.00%), (GILD, 572, 0.27%, 0.00%), (PFE, 2,600, 0.26%, 0.00%), (LOW, 237, 0.26%, 0.00%), (EMR, 473, 0.26%, 0.00%), (MO, 919, 0.25%, 0.00%), (DHR, 295, 0.24%, 0.00%), (INTC, 2,238, 0.22%, 0.00%), (ELV, 169, 0.22%, 0.00%), (CMCSA, 1,507, 0.21%, 0.00%), (MDLZ, 725, 0.18%, 0.00%), (BMY, 931, 0.18%, 0.00%), (UPS, 464, 0.16%, 0.00%), (PYPL, 548, 0.15%, 0.00%), (USB, 703, 0.14%, 0.00%), (CL, 403, 0.14%, 0.00%), (FDX, 143, 0.13%, 0.00%), (TGT, 195, 0.07%, 0.00%), (SC28781H, nan, nan%, 0.00%), (SC28783H, nan, nan%, 0.00%), (SP28782H, nan, nan%, 0.00%), (SP28785B, nan, nan%, 0.00%), (SP28784H, nan, nan%, 0.00%), (XP28785B, nan, nan%, 0.00%)</t>
  </si>
  <si>
    <t>(AVGO, 1,604, 3.43%, 0.00%), (META, 570, 2.79%, 0.00%), (GOOGL, 1,527, 2.30%, 0.00%), (BRK/B, 663, 2.17%, 0.00%), (GOOG, 1,244, 1.88%, 0.00%), (CSCO, 4,025, 1.77%, 0.00%), (LIN, 569, 1.75%, 0.00%), (TSLA, 762, 1.73%, 0.00%), (JPM, 839, 1.62%, 0.00%), (AMT, 1,155, 1.50%, 0.00%), (XOM, 2,032, 1.46%, 0.00%), (V, 625, 1.41%, 0.00%), (CB, 638, 1.16%, 0.00%), (LLY, 239, 1.14%, 0.00%), (MA, 296, 1.13%, 0.00%), (GE, 595, 1.08%, 0.00%), (WM, 714, 1.03%, 0.00%), (UNH, 445, 0.92%, 0.00%), (NFLX, 112, 0.91%, 0.00%), (ORCL, 598, 0.90%, 0.00%), (JNJ, 731, 0.85%, 0.00%), (NEE, 1,835, 0.85%, 0.00%), (PG, 769, 0.80%, 0.00%), (WMT, 1,217, 0.80%, 0.00%), (COST, 124, 0.78%, 0.00%), (CVX, 773, 0.78%, 0.00%), (PLTR, 763, 0.77%, 0.00%), (RTX, 731, 0.76%, 0.00%), (MCD, 364, 0.75%, 0.00%), (HD, 275, 0.75%, 0.00%), (ABBV, 537, 0.75%, 0.00%), (CAT, 265, 0.73%, 0.00%), (ABT, 839, 0.73%, 0.00%), (BAC, 1,990, 0.65%, 0.00%), (KO, 1,391, 0.62%, 0.00%), (BA, 411, 0.62%, 0.00%), (BKNG, 17, 0.61%, 0.00%), (PM, 558, 0.59%, 0.00%), (SO, 978, 0.59%, 0.00%), (CRM, 356, 0.59%, 0.00%), (NKE, 1,188, 0.58%, 0.00%), (IBM, 344, 0.56%, 0.00%), (AMD, 557, 0.55%, 0.00%), (GS, 114, 0.55%, 0.00%), (DUK, 689, 0.55%, 0.00%), (UBER, 884, 0.53%, 0.00%), (ISRG, 172, 0.53%, 0.00%), (MET, 989, 0.52%, 0.00%), (WFC, 993, 0.51%, 0.00%), (HON, 357, 0.50%, 0.00%), (ETN, 217, 0.50%, 0.00%), (PEP, 492, 0.47%, 0.00%), (NOW, 77, 0.46%, 0.00%), (T, 2,369, 0.46%, 0.00%), (INTU, 104, 0.46%, 0.00%), (MS, 449, 0.44%, 0.00%), (DE, 140, 0.43%, 0.00%), (AXP, 201, 0.43%, 0.00%), (MRK, 768, 0.43%, 0.00%), (SPGI, 115, 0.41%, 0.00%), (VZ, 1,390, 0.40%, 0.00%), (QCOM, 382, 0.40%, 0.00%), (ACN, 233, 0.39%, 0.00%), (TXN, 313, 0.39%, 0.00%), (BLK, 53, 0.38%, 0.00%), (MDT, 620, 0.38%, 0.00%), (ADBE, 164, 0.38%, 0.00%), (TMO, 116, 0.38%, 0.00%), (UNP, 255, 0.37%, 0.00%), (DIS, 473, 0.37%, 0.00%), (COP, 598, 0.36%, 0.00%), (LMT, 116, 0.35%, 0.00%), (C, 564, 0.35%, 0.00%), (SCHW, 541, 0.33%, 0.00%), (SBUX, 575, 0.32%, 0.00%), (MMM, 299, 0.30%, 0.00%), (AMGN, 163, 0.30%, 0.00%), (AMAT, 283, 0.30%, 0.00%), (CVS, 609, 0.29%, 0.00%), (GILD, 378, 0.28%, 0.00%), (TJX, 312, 0.28%, 0.00%), (PFE, 1,721, 0.28%, 0.00%), (LOW, 157, 0.28%, 0.00%), (EMR, 313, 0.27%, 0.00%), (MO, 608, 0.27%, 0.00%), (DHR, 195, 0.26%, 0.00%), (INTC, 1,481, 0.24%, 0.00%), (ELV, 112, 0.23%, 0.00%), (CMCSA, 998, 0.22%, 0.00%), (MDLZ, 480, 0.19%, 0.00%), (BMY, 616, 0.19%, 0.00%), (UPS, 307, 0.17%, 0.00%), (PYPL, 363, 0.16%, 0.00%), (USB, 465, 0.15%, 0.00%), (CL, 267, 0.15%, 0.00%), (FDX, 94, 0.14%, 0.00%), (TGT, 129, 0.08%, 0.00%), (SC8071B, nan, nan%, 0.00%), (SC8073B, nan, nan%, 0.00%), (SP8072B, nan, nan%, 0.00%), (SP8075B, nan, nan%, 0.00%), (SP8074B, nan, nan%, 0.00%), (XP8075B, nan, nan%, 0.00%)</t>
  </si>
  <si>
    <t>(META, 5,934, 2.67%, 0.00%), (GOOGL, 15,904, 2.18%, 0.00%), (BRK/B, 6,903, 2.08%, 0.00%), (GOOG, 12,954, 1.79%, 0.00%), (CSCO, 41,917, 1.69%, 0.00%), (LIN, 5,930, 1.68%, 0.00%), (TSLA, 7,940, 1.65%, 0.00%), (JPM, 8,741, 1.55%, 0.00%), (AMT, 12,031, 1.44%, 0.00%), (XOM, 21,159, 1.39%, 0.00%), (V, 6,508, 1.35%, 0.00%), (CB, 6,640, 1.11%, 0.00%), (LLY, 2,492, 1.09%, 0.00%), (MA, 3,087, 1.09%, 0.00%), (GE, 6,191, 1.04%, 0.00%), (WM, 7,437, 0.99%, 0.00%), (UNH, 4,635, 0.87%, 0.00%), (ORCL, 6,228, 0.86%, 0.00%), (NFLX, 1,163, 0.86%, 0.00%), (JNJ, 7,614, 0.82%, 0.00%), (NEE, 19,106, 0.82%, 0.00%), (PG, 8,011, 0.77%, 0.00%), (WMT, 12,675, 0.76%, 0.00%), (COST, 1,294, 0.75%, 0.00%), (CVX, 8,046, 0.75%, 0.00%), (PLTR, 7,943, 0.73%, 0.00%), (RTX, 7,614, 0.72%, 0.00%), (HD, 2,864, 0.72%, 0.00%), (MCD, 3,786, 0.72%, 0.00%), (ABBV, 5,589, 0.71%, 0.00%), (CAT, 2,762, 0.70%, 0.00%), (ABT, 8,735, 0.70%, 0.00%), (BAC, 20,727, 0.62%, 0.00%), (KO, 14,486, 0.59%, 0.00%), (BA, 4,276, 0.59%, 0.00%), (BKNG, 175, 0.58%, 0.00%), (PM, 5,809, 0.57%, 0.00%), (SO, 10,180, 0.56%, 0.00%), (CRM, 3,705, 0.56%, 0.00%), (NKE, 12,375, 0.55%, 0.00%), (IBM, 3,583, 0.53%, 0.00%), (AMD, 5,804, 0.53%, 0.00%), (GS, 1,182, 0.53%, 0.00%), (DUK, 7,177, 0.52%, 0.00%), (UBER, 9,211, 0.51%, 0.00%), (ISRG, 1,794, 0.51%, 0.00%), (MET, 10,302, 0.49%, 0.00%), (WFC, 10,338, 0.49%, 0.00%), (HON, 3,720, 0.48%, 0.00%), (ETN, 2,261, 0.48%, 0.00%), (PEP, 5,126, 0.45%, 0.00%), (INTU, 1,086, 0.44%, 0.00%), (T, 24,667, 0.44%, 0.00%), (NOW, 798, 0.44%, 0.00%), (MS, 4,672, 0.42%, 0.00%), (DE, 1,456, 0.42%, 0.00%), (AXP, 2,096, 0.41%, 0.00%), (MRK, 8,000, 0.41%, 0.00%), (SPGI, 1,196, 0.39%, 0.00%), (VZ, 14,472, 0.39%, 0.00%), (QCOM, 3,973, 0.38%, 0.00%), (ACN, 2,421, 0.37%, 0.00%), (TXN, 3,262, 0.37%, 0.00%), (BLK, 548, 0.36%, 0.00%), (MDT, 6,458, 0.36%, 0.00%), (ADBE, 1,706, 0.36%, 0.00%), (TMO, 1,210, 0.36%, 0.00%), (UNP, 2,652, 0.35%, 0.00%), (DIS, 4,929, 0.35%, 0.00%), (COP, 6,228, 0.35%, 0.00%), (C, 5,872, 0.34%, 0.00%), (LMT, 1,207, 0.34%, 0.00%), (SCHW, 5,630, 0.31%, 0.00%), (SBUX, 5,988, 0.31%, 0.00%), (MMM, 3,115, 0.29%, 0.00%), (AMGN, 1,700, 0.29%, 0.00%), (AMAT, 2,948, 0.29%, 0.00%), (CVS, 6,337, 0.28%, 0.00%), (TJX, 3,253, 0.27%, 0.00%), (GILD, 3,941, 0.27%, 0.00%), (PFE, 17,922, 0.27%, 0.00%), (LOW, 1,636, 0.26%, 0.00%), (EMR, 3,262, 0.26%, 0.00%), (MO, 6,332, 0.25%, 0.00%), (DHR, 2,033, 0.25%, 0.00%), (INTC, 15,425, 0.23%, 0.00%), (ELV, 1,168, 0.22%, 0.00%), (CMCSA, 10,390, 0.21%, 0.00%), (MDLZ, 4,996, 0.18%, 0.00%), (BMY, 6,414, 0.18%, 0.00%), (UPS, 3,199, 0.16%, 0.00%), (PYPL, 3,776, 0.16%, 0.00%), (USB, 4,844, 0.14%, 0.00%), (CL, 2,779, 0.14%, 0.00%), (FDX, 983, 0.14%, 0.00%), (TGT, 1,345, 0.08%, 0.00%), (SC26771B, nan, nan%, 0.00%), (SC26773B, nan, nan%, 0.00%), (SP26772B, nan, nan%, 0.00%), (SP26774B, nan, nan%, 0.00%), (SP26775T, nan, nan%, 0.00%), (XP26775T, nan, nan%, 0.00%)</t>
  </si>
  <si>
    <t>(AVGO, 14,463, 3.47%, 0.00%), (META, 5,138, 2.85%, 0.00%), (GOOGL, 13,771, 2.33%, 0.00%), (BRK/B, 5,977, 2.22%, 0.00%), (GOOG, 11,216, 1.90%, 0.00%), (CSCO, 36,294, 1.80%, 0.00%), (LIN, 5,135, 1.79%, 0.00%), (TSLA, 6,875, 1.76%, 0.00%), (JPM, 7,569, 1.66%, 0.00%), (AMT, 10,417, 1.53%, 0.00%), (XOM, 18,321, 1.49%, 0.00%), (V, 5,635, 1.44%, 0.00%), (CB, 5,749, 1.18%, 0.00%), (LLY, 2,158, 1.17%, 0.00%), (MA, 2,673, 1.16%, 0.00%), (GE, 5,361, 1.11%, 0.00%), (WM, 6,440, 1.05%, 0.00%), (UNH, 4,013, 0.93%, 0.00%), (NFLX, 1,007, 0.92%, 0.00%), (ORCL, 5,393, 0.92%, 0.00%), (JNJ, 6,593, 0.87%, 0.00%), (NEE, 16,543, 0.87%, 0.00%), (PG, 6,937, 0.82%, 0.00%), (WMT, 10,975, 0.81%, 0.00%), (CVX, 6,967, 0.80%, 0.00%), (COST, 1,120, 0.80%, 0.00%), (PLTR, 6,878, 0.78%, 0.00%), (RTX, 6,593, 0.77%, 0.00%), (HD, 2,480, 0.77%, 0.00%), (MCD, 3,278, 0.76%, 0.00%), (ABBV, 4,839, 0.76%, 0.00%), (CAT, 2,391, 0.75%, 0.00%), (ABT, 7,563, 0.75%, 0.00%), (BAC, 17,946, 0.66%, 0.00%), (KO, 12,543, 0.63%, 0.00%), (BA, 3,703, 0.63%, 0.00%), (BKNG, 151, 0.62%, 0.00%), (PM, 5,030, 0.60%, 0.00%), (SO, 8,814, 0.60%, 0.00%), (CRM, 3,208, 0.60%, 0.00%), (NKE, 10,715, 0.59%, 0.00%), (IBM, 3,102, 0.57%, 0.00%), (AMD, 5,025, 0.56%, 0.00%), (GS, 1,024, 0.56%, 0.00%), (DUK, 6,214, 0.56%, 0.00%), (UBER, 7,975, 0.54%, 0.00%), (ISRG, 1,553, 0.54%, 0.00%), (MET, 8,920, 0.53%, 0.00%), (WFC, 8,951, 0.53%, 0.00%), (HON, 3,221, 0.51%, 0.00%), (ETN, 1,957, 0.51%, 0.00%), (PEP, 4,439, 0.48%, 0.00%), (INTU, 940, 0.47%, 0.00%), (T, 21,358, 0.47%, 0.00%), (NOW, 691, 0.47%, 0.00%), (MS, 4,045, 0.45%, 0.00%), (DE, 1,260, 0.44%, 0.00%), (AXP, 1,815, 0.44%, 0.00%), (MRK, 6,927, 0.44%, 0.00%), (SPGI, 1,035, 0.41%, 0.00%), (VZ, 12,531, 0.41%, 0.00%), (QCOM, 3,440, 0.41%, 0.00%), (ACN, 2,097, 0.40%, 0.00%), (TXN, 2,825, 0.39%, 0.00%), (BLK, 475, 0.39%, 0.00%), (MDT, 5,592, 0.39%, 0.00%), (ADBE, 1,477, 0.38%, 0.00%), (TMO, 1,047, 0.38%, 0.00%), (UNP, 2,296, 0.38%, 0.00%), (DIS, 4,268, 0.37%, 0.00%), (COP, 5,392, 0.37%, 0.00%), (C, 5,085, 0.36%, 0.00%), (LMT, 1,045, 0.36%, 0.00%), (SCHW, 4,875, 0.33%, 0.00%), (SBUX, 5,185, 0.33%, 0.00%), (MMM, 2,697, 0.31%, 0.00%), (AMGN, 1,472, 0.31%, 0.00%), (AMAT, 2,553, 0.31%, 0.00%), (CVS, 5,487, 0.30%, 0.00%), (TJX, 2,816, 0.29%, 0.00%), (GILD, 3,413, 0.29%, 0.00%), (PFE, 15,518, 0.29%, 0.00%), (LOW, 1,416, 0.28%, 0.00%), (EMR, 2,824, 0.28%, 0.00%), (MO, 5,483, 0.27%, 0.00%), (DHR, 1,760, 0.26%, 0.00%), (INTC, 13,356, 0.24%, 0.00%), (ELV, 1,011, 0.24%, 0.00%), (CMCSA, 8,996, 0.23%, 0.00%), (MDLZ, 4,326, 0.20%, 0.00%), (BMY, 5,554, 0.19%, 0.00%), (UPS, 2,770, 0.17%, 0.00%), (PYPL, 3,269, 0.17%, 0.00%), (USB, 4,194, 0.15%, 0.00%), (CL, 2,407, 0.15%, 0.00%), (FDX, 851, 0.14%, 0.00%), (TGT, 1,165, 0.08%, 0.00%), (SC23471B, nan, nan%, 0.00%), (SC23473B, nan, nan%, 0.00%), (SP23472B, nan, nan%, 0.00%), (SP23475B, nan, nan%, 0.00%), (SP23474B, nan, nan%, 0.00%), (XP23475B, nan, nan%, 0.00%)</t>
  </si>
  <si>
    <t>(AVGO, 10,777, 3.46%, 0.00%), (META, 3,828, 2.84%, 0.00%), (GOOGL, 10,261, 2.32%, 0.00%), (BRK/B, 4,454, 2.21%, 0.00%), (GOOG, 8,358, 1.90%, 0.00%), (CSCO, 27,043, 1.80%, 0.00%), (LIN, 3,826, 1.79%, 0.00%), (TSLA, 5,123, 1.76%, 0.00%), (JPM, 5,640, 1.65%, 0.00%), (AMT, 7,762, 1.53%, 0.00%), (XOM, 13,651, 1.48%, 0.00%), (V, 4,199, 1.43%, 0.00%), (CB, 4,284, 1.18%, 0.00%), (LLY, 1,608, 1.16%, 0.00%), (MA, 1,992, 1.16%, 0.00%), (GE, 3,994, 1.10%, 0.00%), (WM, 4,798, 1.05%, 0.00%), (UNH, 2,990, 0.93%, 0.00%), (NFLX, 751, 0.92%, 0.00%), (ORCL, 4,018, 0.92%, 0.00%), (JNJ, 4,912, 0.87%, 0.00%), (NEE, 12,326, 0.87%, 0.00%), (PG, 5,169, 0.82%, 0.00%), (WMT, 8,177, 0.81%, 0.00%), (COST, 835, 0.79%, 0.00%), (CVX, 5,191, 0.79%, 0.00%), (PLTR, 5,125, 0.78%, 0.00%), (RTX, 4,912, 0.77%, 0.00%), (HD, 1,848, 0.76%, 0.00%), (MCD, 2,442, 0.76%, 0.00%), (ABBV, 3,606, 0.76%, 0.00%), (CAT, 1,782, 0.75%, 0.00%), (ABT, 5,635, 0.74%, 0.00%), (BAC, 13,372, 0.66%, 0.00%), (KO, 9,346, 0.63%, 0.00%), (BA, 2,759, 0.63%, 0.00%), (BKNG, 113, 0.62%, 0.00%), (PM, 3,748, 0.60%, 0.00%), (SO, 6,568, 0.60%, 0.00%), (CRM, 2,390, 0.60%, 0.00%), (NKE, 7,984, 0.59%, 0.00%), (IBM, 2,312, 0.57%, 0.00%), (AMD, 3,744, 0.56%, 0.00%), (GS, 763, 0.56%, 0.00%), (DUK, 4,630, 0.56%, 0.00%), (UBER, 5,942, 0.54%, 0.00%), (ISRG, 1,157, 0.54%, 0.00%), (MET, 6,646, 0.53%, 0.00%), (WFC, 6,670, 0.52%, 0.00%), (HON, 2,400, 0.51%, 0.00%), (ETN, 1,459, 0.51%, 0.00%), (PEP, 3,307, 0.48%, 0.00%), (INTU, 701, 0.47%, 0.00%), (T, 15,915, 0.47%, 0.00%), (NOW, 515, 0.47%, 0.00%), (MS, 3,014, 0.44%, 0.00%), (DE, 939, 0.44%, 0.00%), (AXP, 1,352, 0.44%, 0.00%), (MRK, 5,161, 0.43%, 0.00%), (SPGI, 771, 0.41%, 0.00%), (VZ, 9,337, 0.41%, 0.00%), (QCOM, 2,564, 0.41%, 0.00%), (ACN, 1,562, 0.40%, 0.00%), (TXN, 2,105, 0.39%, 0.00%), (BLK, 354, 0.39%, 0.00%), (MDT, 4,167, 0.38%, 0.00%), (ADBE, 1,101, 0.38%, 0.00%), (TMO, 780, 0.38%, 0.00%), (UNP, 1,711, 0.37%, 0.00%), (DIS, 3,180, 0.37%, 0.00%), (COP, 4,018, 0.37%, 0.00%), (C, 3,789, 0.36%, 0.00%), (LMT, 779, 0.36%, 0.00%), (SCHW, 3,632, 0.33%, 0.00%), (SBUX, 3,863, 0.33%, 0.00%), (MMM, 2,010, 0.31%, 0.00%), (AMGN, 1,097, 0.31%, 0.00%), (AMAT, 1,902, 0.31%, 0.00%), (CVS, 4,089, 0.30%, 0.00%), (GILD, 2,543, 0.29%, 0.00%), (TJX, 2,098, 0.29%, 0.00%), (PFE, 11,563, 0.28%, 0.00%), (LOW, 1,055, 0.28%, 0.00%), (EMR, 2,104, 0.28%, 0.00%), (MO, 4,086, 0.27%, 0.00%), (DHR, 1,312, 0.26%, 0.00%), (INTC, 9,952, 0.24%, 0.00%), (ELV, 754, 0.24%, 0.00%), (CMCSA, 6,703, 0.23%, 0.00%), (MDLZ, 3,223, 0.20%, 0.00%), (BMY, 4,138, 0.19%, 0.00%), (UPS, 2,064, 0.17%, 0.00%), (PYPL, 2,436, 0.17%, 0.00%), (USB, 3,125, 0.15%, 0.00%), (CL, 1,793, 0.15%, 0.00%), (FDX, 634, 0.14%, 0.00%), (TGT, 868, 0.08%, 0.00%), (SC22171B, nan, nan%, 0.00%), (SC22173B, nan, nan%, 0.00%), (SP22172B, nan, nan%, 0.00%), (SP22175B, nan, nan%, 0.00%), (SP22174B, nan, nan%, 0.00%), (XP22175B, nan, nan%, 0.00%)</t>
  </si>
  <si>
    <t>(AVGO, 4,083, 3.32%, 0.00%), (META, 1,451, 2.71%, 0.00%), (GOOGL, 3,888, 2.23%, 0.00%), (BRK/B, 1,688, 2.11%, 0.00%), (GOOG, 3,167, 1.82%, 0.00%), (CSCO, 10,247, 1.71%, 0.00%), (LIN, 1,450, 1.70%, 0.00%), (TSLA, 1,941, 1.68%, 0.00%), (JPM, 2,137, 1.57%, 0.00%), (AMT, 2,941, 1.46%, 0.00%), (XOM, 5,172, 1.41%, 0.00%), (V, 1,591, 1.36%, 0.00%), (CB, 1,623, 1.12%, 0.00%), (LLY, 609, 1.11%, 0.00%), (MA, 755, 1.10%, 0.00%), (GE, 1,513, 1.05%, 0.00%), (WM, 1,818, 1.00%, 0.00%), (UNH, 1,133, 0.89%, 0.00%), (ORCL, 1,522, 0.88%, 0.00%), (NFLX, 284, 0.87%, 0.00%), (JNJ, 1,861, 0.83%, 0.00%), (NEE, 4,670, 0.83%, 0.00%), (PG, 1,958, 0.78%, 0.00%), (WMT, 3,098, 0.77%, 0.00%), (COST, 316, 0.76%, 0.00%), (CVX, 1,967, 0.75%, 0.00%), (PLTR, 1,942, 0.74%, 0.00%), (RTX, 1,861, 0.73%, 0.00%), (HD, 700, 0.73%, 0.00%), (MCD, 925, 0.73%, 0.00%), (ABBV, 1,366, 0.72%, 0.00%), (CAT, 675, 0.71%, 0.00%), (ABT, 2,135, 0.71%, 0.00%), (BAC, 5,067, 0.63%, 0.00%), (KO, 3,541, 0.60%, 0.00%), (BA, 1,045, 0.60%, 0.00%), (BKNG, 43, 0.59%, 0.00%), (PM, 1,420, 0.57%, 0.00%), (SO, 2,488, 0.57%, 0.00%), (CRM, 906, 0.57%, 0.00%), (NKE, 3,025, 0.56%, 0.00%), (IBM, 876, 0.54%, 0.00%), (AMD, 1,419, 0.54%, 0.00%), (GS, 289, 0.53%, 0.00%), (DUK, 1,754, 0.53%, 0.00%), (UBER, 2,252, 0.51%, 0.00%), (ISRG, 438, 0.51%, 0.00%), (MET, 2,518, 0.50%, 0.00%), (WFC, 2,527, 0.50%, 0.00%), (HON, 909, 0.49%, 0.00%), (ETN, 553, 0.48%, 0.00%), (PEP, 1,253, 0.46%, 0.00%), (INTU, 266, 0.45%, 0.00%), (T, 6,030, 0.45%, 0.00%), (NOW, 195, 0.44%, 0.00%), (MS, 1,142, 0.42%, 0.00%), (DE, 356, 0.42%, 0.00%), (AXP, 512, 0.42%, 0.00%), (MRK, 1,956, 0.41%, 0.00%), (SPGI, 292, 0.39%, 0.00%), (VZ, 3,538, 0.39%, 0.00%), (QCOM, 971, 0.39%, 0.00%), (ACN, 592, 0.38%, 0.00%), (TXN, 798, 0.37%, 0.00%), (BLK, 134, 0.37%, 0.00%), (MDT, 1,579, 0.37%, 0.00%), (TMO, 296, 0.36%, 0.00%), (ADBE, 417, 0.36%, 0.00%), (UNP, 648, 0.36%, 0.00%), (DIS, 1,205, 0.35%, 0.00%), (COP, 1,522, 0.35%, 0.00%), (C, 1,436, 0.34%, 0.00%), (LMT, 295, 0.34%, 0.00%), (SCHW, 1,376, 0.32%, 0.00%), (SBUX, 1,464, 0.31%, 0.00%), (MMM, 761, 0.30%, 0.00%), (AMGN, 416, 0.29%, 0.00%), (AMAT, 721, 0.29%, 0.00%), (CVS, 1,549, 0.28%, 0.00%), (TJX, 795, 0.28%, 0.00%), (GILD, 963, 0.28%, 0.00%), (PFE, 4,381, 0.27%, 0.00%), (LOW, 400, 0.27%, 0.00%), (EMR, 797, 0.26%, 0.00%), (MO, 1,548, 0.26%, 0.00%), (DHR, 497, 0.25%, 0.00%), (INTC, 3,771, 0.23%, 0.00%), (ELV, 286, 0.22%, 0.00%), (CMCSA, 2,540, 0.22%, 0.00%), (MDLZ, 1,221, 0.19%, 0.00%), (BMY, 1,568, 0.18%, 0.00%), (UPS, 782, 0.17%, 0.00%), (PYPL, 923, 0.16%, 0.00%), (USB, 1,184, 0.14%, 0.00%), (CL, 679, 0.14%, 0.00%), (FDX, 240, 0.14%, 0.00%), (TGT, 329, 0.08%, 0.00%), (SC28181B, nan, nan%, 0.00%), (SC28183B, nan, nan%, 0.00%), (SP28182B, nan, nan%, 0.00%), (SP28185B, nan, nan%, 0.00%), (SP28184B, nan, nan%, 0.00%), (XP28185B, nan, nan%, 0.00%)</t>
  </si>
  <si>
    <t>(AVGO, 4,440, 3.35%, 0.00%), (META, 1,577, 2.74%, 0.00%), (GOOGL, 4,227, 2.25%, 0.00%), (BRK/B, 1,835, 2.13%, 0.00%), (GOOG, 3,443, 1.84%, 0.00%), (CSCO, 11,141, 1.73%, 0.00%), (LIN, 1,576, 1.72%, 0.00%), (TSLA, 2,111, 1.69%, 0.00%), (JPM, 2,323, 1.59%, 0.00%), (AMT, 3,198, 1.47%, 0.00%), (XOM, 5,624, 1.43%, 0.00%), (V, 1,730, 1.38%, 0.00%), (CB, 1,765, 1.14%, 0.00%), (LLY, 662, 1.12%, 0.00%), (MA, 821, 1.11%, 0.00%), (GE, 1,646, 1.06%, 0.00%), (WM, 1,977, 1.01%, 0.00%), (UNH, 1,232, 0.90%, 0.00%), (ORCL, 1,655, 0.89%, 0.00%), (NFLX, 309, 0.88%, 0.00%), (JNJ, 2,024, 0.84%, 0.00%), (NEE, 5,078, 0.84%, 0.00%), (PG, 2,129, 0.79%, 0.00%), (WMT, 3,369, 0.78%, 0.00%), (COST, 344, 0.76%, 0.00%), (CVX, 2,139, 0.76%, 0.00%), (PLTR, 2,111, 0.75%, 0.00%), (RTX, 2,024, 0.74%, 0.00%), (HD, 761, 0.74%, 0.00%), (MCD, 1,006, 0.73%, 0.00%), (ABBV, 1,485, 0.73%, 0.00%), (CAT, 734, 0.72%, 0.00%), (ABT, 2,322, 0.72%, 0.00%), (BAC, 5,509, 0.64%, 0.00%), (KO, 3,850, 0.61%, 0.00%), (BA, 1,137, 0.61%, 0.00%), (BKNG, 46, 0.59%, 0.00%), (PM, 1,544, 0.58%, 0.00%), (SO, 2,706, 0.58%, 0.00%), (CRM, 985, 0.57%, 0.00%), (NKE, 3,289, 0.56%, 0.00%), (IBM, 952, 0.55%, 0.00%), (AMD, 1,543, 0.54%, 0.00%), (GS, 314, 0.54%, 0.00%), (DUK, 1,908, 0.53%, 0.00%), (UBER, 2,448, 0.52%, 0.00%), (ISRG, 477, 0.52%, 0.00%), (MET, 2,738, 0.51%, 0.00%), (WFC, 2,748, 0.50%, 0.00%), (HON, 989, 0.49%, 0.00%), (ETN, 601, 0.49%, 0.00%), (PEP, 1,363, 0.46%, 0.00%), (INTU, 289, 0.45%, 0.00%), (T, 6,557, 0.45%, 0.00%), (NOW, 212, 0.45%, 0.00%), (MS, 1,242, 0.43%, 0.00%), (DE, 387, 0.43%, 0.00%), (AXP, 557, 0.42%, 0.00%), (MRK, 2,126, 0.42%, 0.00%), (SPGI, 318, 0.40%, 0.00%), (VZ, 3,847, 0.40%, 0.00%), (QCOM, 1,056, 0.39%, 0.00%), (ACN, 644, 0.38%, 0.00%), (TXN, 867, 0.38%, 0.00%), (BLK, 146, 0.37%, 0.00%), (MDT, 1,717, 0.37%, 0.00%), (TMO, 322, 0.37%, 0.00%), (ADBE, 453, 0.37%, 0.00%), (UNP, 705, 0.36%, 0.00%), (DIS, 1,310, 0.36%, 0.00%), (COP, 1,655, 0.36%, 0.00%), (C, 1,561, 0.35%, 0.00%), (LMT, 321, 0.34%, 0.00%), (SCHW, 1,497, 0.32%, 0.00%), (SBUX, 1,592, 0.32%, 0.00%), (MMM, 828, 0.30%, 0.00%), (AMGN, 452, 0.30%, 0.00%), (AMAT, 784, 0.29%, 0.00%), (CVS, 1,684, 0.29%, 0.00%), (TJX, 865, 0.28%, 0.00%), (GILD, 1,048, 0.28%, 0.00%), (PFE, 4,764, 0.27%, 0.00%), (LOW, 435, 0.27%, 0.00%), (EMR, 867, 0.27%, 0.00%), (MO, 1,683, 0.26%, 0.00%), (DHR, 540, 0.25%, 0.00%), (INTC, 4,100, 0.23%, 0.00%), (ELV, 310, 0.23%, 0.00%), (CMCSA, 2,762, 0.22%, 0.00%), (MDLZ, 1,328, 0.19%, 0.00%), (BMY, 1,705, 0.19%, 0.00%), (UPS, 850, 0.17%, 0.00%), (PYPL, 1,004, 0.16%, 0.00%), (USB, 1,287, 0.15%, 0.00%), (CL, 739, 0.15%, 0.00%), (FDX, 261, 0.14%, 0.00%), (TGT, 358, 0.08%, 0.00%), (SC13481B, nan, nan%, 0.00%), (SC13483B, nan, nan%, 0.00%), (SP13482B, nan, nan%, 0.00%), (SP13485B, nan, nan%, 0.00%), (SP13484B, nan, nan%, 0.00%), (XP13485B, nan, nan%, 0.00%)</t>
  </si>
  <si>
    <t>(AVGO, 8,350, 3.48%, 0.00%), (META, 2,966, 2.84%, 0.00%), (GOOGL, 7,950, 2.33%, 0.00%), (BRK/B, 3,451, 2.21%, 0.00%), (GOOG, 6,475, 1.91%, 0.00%), (CSCO, 20,953, 1.79%, 0.00%), (LIN, 2,964, 1.78%, 0.00%), (TSLA, 3,969, 1.76%, 0.00%), (JPM, 4,370, 1.65%, 0.00%), (AMT, 6,014, 1.53%, 0.00%), (XOM, 10,577, 1.48%, 0.00%), (V, 3,253, 1.43%, 0.00%), (CB, 3,319, 1.18%, 0.00%), (LLY, 1,246, 1.16%, 0.00%), (MA, 1,543, 1.15%, 0.00%), (GE, 3,095, 1.10%, 0.00%), (WM, 3,718, 1.05%, 0.00%), (UNH, 2,317, 0.93%, 0.00%), (ORCL, 3,113, 0.92%, 0.00%), (NFLX, 582, 0.92%, 0.00%), (JNJ, 3,806, 0.87%, 0.00%), (NEE, 9,550, 0.87%, 0.00%), (PG, 4,005, 0.82%, 0.00%), (WMT, 6,336, 0.81%, 0.00%), (COST, 647, 0.79%, 0.00%), (CVX, 4,022, 0.79%, 0.00%), (PLTR, 3,971, 0.78%, 0.00%), (RTX, 3,806, 0.77%, 0.00%), (HD, 1,432, 0.76%, 0.00%), (MCD, 1,892, 0.76%, 0.00%), (ABBV, 2,794, 0.76%, 0.00%), (CAT, 1,381, 0.75%, 0.00%), (ABT, 4,366, 0.74%, 0.00%), (BAC, 10,361, 0.66%, 0.00%), (KO, 7,241, 0.63%, 0.00%), (BA, 2,138, 0.63%, 0.00%), (BKNG, 87, 0.61%, 0.00%), (PM, 2,904, 0.60%, 0.00%), (SO, 5,089, 0.60%, 0.00%), (CRM, 1,852, 0.59%, 0.00%), (NKE, 6,186, 0.59%, 0.00%), (IBM, 1,791, 0.57%, 0.00%), (AMD, 2,901, 0.56%, 0.00%), (GS, 591, 0.56%, 0.00%), (DUK, 3,588, 0.55%, 0.00%), (UBER, 4,604, 0.54%, 0.00%), (ISRG, 897, 0.54%, 0.00%), (MET, 5,150, 0.52%, 0.00%), (WFC, 5,168, 0.52%, 0.00%), (HON, 1,859, 0.51%, 0.00%), (ETN, 1,130, 0.50%, 0.00%), (PEP, 2,562, 0.48%, 0.00%), (INTU, 543, 0.47%, 0.00%), (T, 12,331, 0.47%, 0.00%), (NOW, 399, 0.47%, 0.00%), (MS, 2,335, 0.44%, 0.00%), (DE, 728, 0.44%, 0.00%), (AXP, 1,048, 0.44%, 0.00%), (MRK, 3,999, 0.43%, 0.00%), (SPGI, 598, 0.41%, 0.00%), (VZ, 7,234, 0.41%, 0.00%), (QCOM, 1,986, 0.41%, 0.00%), (ACN, 1,210, 0.39%, 0.00%), (TXN, 1,631, 0.39%, 0.00%), (BLK, 274, 0.38%, 0.00%), (MDT, 3,228, 0.38%, 0.00%), (ADBE, 853, 0.38%, 0.00%), (TMO, 605, 0.38%, 0.00%), (UNP, 1,326, 0.37%, 0.00%), (DIS, 2,464, 0.37%, 0.00%), (COP, 3,113, 0.37%, 0.00%), (C, 2,935, 0.36%, 0.00%), (LMT, 603, 0.36%, 0.00%), (SCHW, 2,814, 0.33%, 0.00%), (SBUX, 2,993, 0.33%, 0.00%), (MMM, 1,557, 0.31%, 0.00%), (AMGN, 850, 0.31%, 0.00%), (AMAT, 1,474, 0.31%, 0.00%), (CVS, 3,168, 0.30%, 0.00%), (TJX, 1,626, 0.29%, 0.00%), (GILD, 1,970, 0.29%, 0.00%), (PFE, 8,959, 0.28%, 0.00%), (LOW, 818, 0.28%, 0.00%), (EMR, 1,630, 0.28%, 0.00%), (MO, 3,165, 0.27%, 0.00%), (DHR, 1,016, 0.26%, 0.00%), (INTC, 7,711, 0.24%, 0.00%), (ELV, 584, 0.23%, 0.00%), (CMCSA, 5,194, 0.23%, 0.00%), (MDLZ, 2,497, 0.20%, 0.00%), (BMY, 3,206, 0.19%, 0.00%), (UPS, 1,599, 0.17%, 0.00%), (PYPL, 1,887, 0.16%, 0.00%), (USB, 2,421, 0.15%, 0.00%), (CL, 1,389, 0.15%, 0.00%), (FDX, 491, 0.14%, 0.00%), (TGT, 672, 0.08%, 0.00%), (SC26771B, nan, nan%, 0.00%), (SC26773B, nan, nan%, 0.00%), (SP26772B, nan, nan%, 0.00%), (SP26775B, nan, nan%, 0.00%), (SP26774B, nan, nan%, 0.00%), (XP26775B, nan, nan%, 0.00%)</t>
  </si>
  <si>
    <t>EBAY, GOOGL, BK, META, MLI, PHM, MSFT, JPM, EWBC, EA, BKNG</t>
  </si>
  <si>
    <t>(BLK, 964, 1.94%, 0.00%), (RJF, 6,415, 1.94%, 0.00%), (AXP, 3,238, 1.92%, 0.00%), (HIG, 7,687, 1.83%, 0.00%), (TRV, 3,652, 1.83%, 0.00%), (V, 2,870, 1.79%, 0.00%), (ROST, 6,395, 1.77%, 0.00%), (LEN, 6,777, 1.76%, 0.00%), (UNM, 12,914, 1.73%, 0.01%), (SNA, 2,862, 1.71%, 0.01%), (KLAC, 1,016, 1.68%, 0.00%), (ADP, 3,067, 1.67%, 0.00%), (NVDA, 5,363, 1.65%, 0.00%), (SYF, 11,988, 1.64%, 0.00%), (CB, 3,239, 1.64%, 0.00%), (PCAR, 9,078, 1.63%, 0.00%), (AMAT, 5,500, 1.62%, 0.00%), (CRM, 3,289, 1.51%, 0.00%), (DHI, 4,503, 1.51%, 0.00%), (CTSH, 11,602, 1.51%, 0.00%), (WSM, 4,059, 1.50%, 0.00%), (PAYC, 3,512, 1.44%, 0.01%), (BKR, 17,074, 1.42%, 0.00%), (QCOM, 4,631, 1.35%, 0.00%), (AAPL, 2,990, 1.30%, 0.00%), (ACN, 2,735, 1.27%, 0.00%), (ELV, 2,199, 1.24%, 0.00%), (AFL, 6,342, 1.23%, 0.00%), (MPWR, 733, 1.15%, 0.00%), (LRCX, 5,914, 1.13%, 0.00%), (ODFL, 3,933, 1.08%, 0.00%), (CSCO, 8,589, 1.05%, 0.00%), (GE, 2,073, 1.04%, 0.00%), (STT, 4,761, 0.97%, 0.00%), (PNC, 2,549, 0.95%, 0.00%), (MTB, 2,533, 0.92%, 0.00%), (COST, 476, 0.84%, 0.00%), (CF, 5,441, 0.84%, 0.00%), (AMP, 927, 0.83%, 0.00%), (ABT, 3,427, 0.83%, 0.00%), (XOM, 3,985, 0.80%, 0.00%), (EOG, 3,586, 0.77%, 0.00%), (CSL, 1,067, 0.76%, 0.00%), (EG, 1,206, 0.75%, 0.00%), (GEV, 486, 0.53%, 0.00%), (NTRS, 2,210, 0.51%, 0.00%), (MA, 461, 0.49%, 0.00%), (ACM, 2,091, 0.48%, 0.00%), (JNJ, 1,480, 0.48%, 0.00%), (CRBG, 7,583, 0.46%, 0.00%), (LNC, 6,044, 0.46%, 0.00%), (WTFC, 1,780, 0.45%, 0.00%), (MTG, 8,683, 0.45%, 0.00%), (JXN, 2,494, 0.44%, 0.00%), (CINF, 1,537, 0.43%, 0.00%), (DOV, 1,292, 0.42%, 0.00%), (ADM, 3,680, 0.42%, 0.00%), (EQH, 4,284, 0.42%, 0.00%), (MCK, 319, 0.41%, 0.00%), (ALL, 1,094, 0.40%, 0.00%), (SLM, 7,095, 0.39%, 0.00%), (NUE, 1,477, 0.39%, 0.00%), (NKE, 2,693, 0.36%, 0.00%), (PGR, 806, 0.36%, 0.00%), (FANG, 1,150, 0.29%, 0.00%), (SC13N61B, nan, nan%, 0.00%), (SC13N63B, nan, nan%, 0.00%), (SP13N62B, nan, nan%, 0.00%), (SP13N65B, nan, nan%, 0.00%), (SP13N64B, nan, nan%, 0.00%), (SPX Index, nan, nan%, 0.00%), (XP13N65B, nan, nan%, 0.00%)</t>
  </si>
  <si>
    <t>(AVGO, 3,812, 3.79%, 0.00%), (META, 1,354, 2.95%, 0.00%), (GOOGL, 3,629, 2.46%, 0.00%), (BRK/B, 1,575, 2.26%, 0.00%), (GOOG, 2,956, 2.01%, 0.00%), (LIN, 1,353, 1.87%, 0.00%), (CSCO, 9,565, 1.86%, 0.00%), (TSLA, 1,812, 1.82%, 0.00%), (JPM, 1,995, 1.70%, 0.00%), (LLY, 769, 1.64%, 0.00%), (AMT, 2,745, 1.55%, 0.00%), (XOM, 4,828, 1.54%, 0.00%), (V, 1,485, 1.47%, 0.00%), (CB, 1,515, 1.22%, 0.00%), (MA, 704, 1.20%, 0.00%), (GE, 1,413, 1.13%, 0.00%), (WM, 1,697, 1.08%, 0.00%), (ABT, 2,693, 1.04%, 0.00%), (UNH, 1,058, 0.98%, 0.00%), (ORCL, 1,421, 0.97%, 0.00%), (NFLX, 266, 0.96%, 0.00%), (JNJ, 1,738, 0.90%, 0.00%), (NEE, 4,360, 0.88%, 0.00%), (WMT, 2,892, 0.85%, 0.00%), (PG, 1,828, 0.84%, 0.00%), (COST, 295, 0.83%, 0.00%), (CVX, 1,836, 0.82%, 0.00%), (PLTR, 1,813, 0.82%, 0.00%), (HD, 654, 0.80%, 0.00%), (MCD, 864, 0.79%, 0.00%), (RTX, 1,737, 0.78%, 0.00%), (ABBV, 1,275, 0.78%, 0.00%), (CAT, 630, 0.77%, 0.00%), (BAC, 4,730, 0.68%, 0.00%), (BA, 976, 0.65%, 0.00%), (BKNG, 40, 0.65%, 0.00%), (KO, 3,306, 0.65%, 0.00%), (PM, 1,326, 0.63%, 0.00%), (CRM, 845, 0.62%, 0.00%), (SO, 2,323, 0.61%, 0.00%), (NKE, 2,824, 0.61%, 0.00%), (IBM, 818, 0.60%, 0.00%), (AMD, 1,324, 0.58%, 0.00%), (GS, 270, 0.58%, 0.00%), (DUK, 1,638, 0.57%, 0.00%), (UBER, 2,102, 0.57%, 0.00%), (QCOM, 1,207, 0.56%, 0.00%), (ISRG, 409, 0.56%, 0.00%), (MET, 2,351, 0.54%, 0.00%), (WFC, 2,359, 0.54%, 0.00%), (HON, 849, 0.53%, 0.00%), (DIS, 1,525, 0.53%, 0.00%), (ETN, 516, 0.52%, 0.00%), (NOW, 182, 0.49%, 0.00%), (INTU, 248, 0.48%, 0.00%), (PEP, 1,170, 0.48%, 0.00%), (T, 5,629, 0.47%, 0.00%), (DE, 332, 0.46%, 0.00%), (MS, 1,066, 0.46%, 0.00%), (AXP, 478, 0.45%, 0.00%), (MRK, 1,826, 0.45%, 0.00%), (SPGI, 273, 0.43%, 0.00%), (VZ, 3,302, 0.42%, 0.00%), (ACN, 553, 0.41%, 0.00%), (MMM, 911, 0.41%, 0.00%), (BLK, 125, 0.40%, 0.00%), (TXN, 744, 0.40%, 0.00%), (ADBE, 389, 0.40%, 0.00%), (MDT, 1,474, 0.40%, 0.00%), (TMO, 276, 0.39%, 0.00%), (UNP, 605, 0.38%, 0.00%), (COP, 1,421, 0.38%, 0.00%), (C, 1,340, 0.37%, 0.00%), (LMT, 275, 0.37%, 0.00%), (SCHW, 1,285, 0.35%, 0.00%), (SBUX, 1,366, 0.33%, 0.00%), (AMAT, 673, 0.32%, 0.00%), (AMGN, 388, 0.32%, 0.00%), (TJX, 742, 0.30%, 0.00%), (GILD, 899, 0.30%, 0.00%), (CVS, 1,446, 0.30%, 0.00%), (LOW, 373, 0.30%, 0.00%), (PFE, 4,090, 0.29%, 0.00%), (EMR, 744, 0.29%, 0.00%), (MO, 1,445, 0.28%, 0.00%), (DHR, 464, 0.27%, 0.00%), (INTC, 3,520, 0.25%, 0.00%), (ELV, 267, 0.24%, 0.00%), (CMCSA, 2,371, 0.23%, 0.00%), (MDLZ, 1,140, 0.20%, 0.00%), (BMY, 1,464, 0.20%, 0.00%), (UPS, 730, 0.18%, 0.00%), (PYPL, 862, 0.17%, 0.00%), (USB, 1,105, 0.16%, 0.00%), (CL, 634, 0.16%, 0.00%), (FDX, 224, 0.15%, 0.00%), (TGT, 307, 0.08%, 0.00%), (SC31761B, nan, nan%, 0.00%), (SC31763B, nan, nan%, 0.00%), (SP31762B, nan, nan%, 0.00%), (SP31765B, nan, nan%, 0.00%), (SP31764B, nan, nan%, 0.00%), (XP31765B, nan, nan%, 0.00%)</t>
  </si>
  <si>
    <t>(AVGO, 2,513, 3.69%, 0.00%), (META, 893, 2.88%, 0.00%), (GOOGL, 2,392, 2.40%, 0.00%), (BRK/B, 1,038, 2.20%, 0.00%), (GOOG, 1,949, 1.96%, 0.00%), (LIN, 892, 1.82%, 0.00%), (CSCO, 6,305, 1.81%, 0.00%), (TSLA, 1,194, 1.77%, 0.00%), (JPM, 1,315, 1.65%, 0.00%), (AMT, 1,810, 1.51%, 0.00%), (LLY, 475, 1.50%, 0.00%), (XOM, 3,183, 1.50%, 0.00%), (V, 979, 1.44%, 0.00%), (CB, 999, 1.19%, 0.00%), (MA, 464, 1.17%, 0.00%), (GE, 931, 1.10%, 0.00%), (WM, 1,119, 1.05%, 0.00%), (ABT, 1,714, 0.97%, 0.00%), (UNH, 697, 0.95%, 0.00%), (ORCL, 937, 0.94%, 0.00%), (NFLX, 175, 0.93%, 0.00%), (JNJ, 1,145, 0.87%, 0.00%), (NEE, 2,874, 0.86%, 0.00%), (WMT, 1,907, 0.83%, 0.00%), (PG, 1,205, 0.82%, 0.00%), (COST, 195, 0.81%, 0.00%), (CVX, 1,210, 0.80%, 0.00%), (PLTR, 1,195, 0.80%, 0.00%), (HD, 431, 0.78%, 0.00%), (MCD, 569, 0.76%, 0.00%), (RTX, 1,145, 0.76%, 0.00%), (ABBV, 841, 0.76%, 0.00%), (CAT, 415, 0.75%, 0.00%), (BAC, 3,118, 0.66%, 0.00%), (BA, 643, 0.63%, 0.00%), (KO, 2,179, 0.63%, 0.00%), (BKNG, 26, 0.62%, 0.00%), (PM, 874, 0.61%, 0.00%), (CRM, 557, 0.60%, 0.00%), (SO, 1,531, 0.60%, 0.00%), (NKE, 1,862, 0.59%, 0.00%), (IBM, 539, 0.58%, 0.00%), (AMD, 873, 0.57%, 0.00%), (GS, 178, 0.56%, 0.00%), (DUK, 1,080, 0.56%, 0.00%), (UBER, 1,385, 0.56%, 0.00%), (QCOM, 798, 0.55%, 0.00%), (ISRG, 270, 0.54%, 0.00%), (MET, 1,550, 0.53%, 0.00%), (WFC, 1,555, 0.53%, 0.00%), (HON, 560, 0.52%, 0.00%), (ETN, 340, 0.51%, 0.00%), (NOW, 120, 0.48%, 0.00%), (DIS, 941, 0.48%, 0.00%), (INTU, 163, 0.47%, 0.00%), (PEP, 771, 0.47%, 0.00%), (T, 3,710, 0.46%, 0.00%), (DE, 219, 0.45%, 0.00%), (MS, 703, 0.45%, 0.00%), (MMM, 669, 0.44%, 0.00%), (AXP, 315, 0.44%, 0.00%), (MRK, 1,203, 0.43%, 0.00%), (SPGI, 180, 0.42%, 0.00%), (VZ, 2,177, 0.41%, 0.00%), (ACN, 364, 0.40%, 0.00%), (TXN, 491, 0.39%, 0.00%), (BLK, 82, 0.39%, 0.00%), (MDT, 971, 0.39%, 0.00%), (ADBE, 257, 0.39%, 0.00%), (TMO, 182, 0.38%, 0.00%), (UNP, 399, 0.37%, 0.00%), (COP, 937, 0.37%, 0.00%), (C, 883, 0.36%, 0.00%), (LMT, 182, 0.36%, 0.00%), (SCHW, 847, 0.34%, 0.00%), (SBUX, 901, 0.32%, 0.00%), (AMAT, 444, 0.31%, 0.00%), (AMGN, 256, 0.31%, 0.00%), (TJX, 489, 0.29%, 0.00%), (GILD, 593, 0.29%, 0.00%), (CVS, 953, 0.29%, 0.00%), (LOW, 246, 0.29%, 0.00%), (PFE, 2,696, 0.28%, 0.00%), (EMR, 491, 0.28%, 0.00%), (MO, 953, 0.27%, 0.00%), (DHR, 306, 0.26%, 0.00%), (INTC, 2,320, 0.24%, 0.00%), (ELV, 176, 0.23%, 0.00%), (CMCSA, 1,563, 0.23%, 0.00%), (MDLZ, 752, 0.20%, 0.00%), (BMY, 965, 0.19%, 0.00%), (UPS, 481, 0.17%, 0.00%), (PYPL, 568, 0.17%, 0.00%), (USB, 729, 0.15%, 0.00%), (CL, 418, 0.15%, 0.00%), (FDX, 148, 0.14%, 0.00%), (TGT, 202, 0.08%, 0.00%), (SC9061B, nan, nan%, 0.00%), (SC9063B, nan, nan%, 0.00%), (SP9062B, nan, nan%, 0.00%), (SP9065B, nan, nan%, 0.00%), (SP9064B, nan, nan%, 0.00%), (XP9065B, nan, nan%, 0.00%)</t>
  </si>
  <si>
    <t>(META, 856, 2.61%, 0.00%), (GOOGL, 2,294, 2.18%, 0.00%), (BRK/B, 996, 2.00%, 0.00%), (GOOG, 1,869, 1.78%, 0.00%), (LIN, 855, 1.65%, 0.00%), (CSCO, 6,046, 1.64%, 0.00%), (TSLA, 1,145, 1.61%, 0.00%), (JPM, 1,261, 1.50%, 0.00%), (LLY, 459, 1.37%, 0.00%), (AMT, 1,735, 1.37%, 0.00%), (XOM, 3,052, 1.36%, 0.00%), (V, 939, 1.30%, 0.00%), (CB, 958, 1.08%, 0.00%), (MA, 445, 1.06%, 0.00%), (GE, 893, 1.00%, 0.00%), (WM, 1,073, 0.96%, 0.00%), (ABT, 1,660, 0.89%, 0.00%), (UNH, 669, 0.87%, 0.00%), (ORCL, 898, 0.86%, 0.00%), (NFLX, 168, 0.85%, 0.00%), (JNJ, 1,098, 0.79%, 0.00%), (NEE, 2,756, 0.78%, 0.00%), (WMT, 1,828, 0.76%, 0.00%), (PG, 1,156, 0.75%, 0.00%), (COST, 187, 0.73%, 0.00%), (CVX, 1,161, 0.73%, 0.00%), (PLTR, 1,146, 0.72%, 0.00%), (HD, 413, 0.70%, 0.00%), (MCD, 546, 0.69%, 0.00%), (RTX, 1,098, 0.69%, 0.00%), (ABBV, 806, 0.69%, 0.00%), (CAT, 398, 0.68%, 0.00%), (BAC, 2,990, 0.60%, 0.00%), (BA, 617, 0.58%, 0.00%), (KO, 2,090, 0.57%, 0.00%), (BKNG, 25, 0.57%, 0.00%), (PM, 838, 0.55%, 0.00%), (CRM, 534, 0.55%, 0.00%), (SO, 1,468, 0.54%, 0.00%), (NKE, 1,785, 0.54%, 0.00%), (IBM, 517, 0.53%, 0.00%), (GS, 171, 0.52%, 0.00%), (AMD, 837, 0.51%, 0.00%), (DUK, 1,035, 0.51%, 0.00%), (UBER, 1,329, 0.50%, 0.00%), (QCOM, 773, 0.50%, 0.00%), (ISRG, 259, 0.49%, 0.00%), (MET, 1,486, 0.48%, 0.00%), (WFC, 1,491, 0.48%, 0.00%), (HON, 537, 0.47%, 0.00%), (ETN, 326, 0.46%, 0.00%), (NOW, 115, 0.44%, 0.00%), (DIS, 911, 0.44%, 0.00%), (INTU, 157, 0.43%, 0.00%), (PEP, 739, 0.43%, 0.00%), (T, 3,558, 0.42%, 0.00%), (DE, 210, 0.41%, 0.00%), (MS, 674, 0.41%, 0.00%), (AXP, 302, 0.40%, 0.00%), (MRK, 1,154, 0.39%, 0.00%), (SPGI, 172, 0.38%, 0.00%), (VZ, 2,087, 0.37%, 0.00%), (ACN, 349, 0.36%, 0.00%), (TXN, 471, 0.36%, 0.00%), (BLK, 79, 0.36%, 0.00%), (MDT, 932, 0.35%, 0.00%), (ADBE, 246, 0.35%, 0.00%), (TMO, 174, 0.35%, 0.00%), (MMM, 549, 0.34%, 0.00%), (UNP, 383, 0.34%, 0.00%), (COP, 898, 0.33%, 0.00%), (C, 847, 0.33%, 0.00%), (LMT, 174, 0.33%, 0.00%), (SCHW, 812, 0.31%, 0.00%), (SBUX, 864, 0.30%, 0.00%), (AMAT, 425, 0.28%, 0.00%), (AMGN, 245, 0.28%, 0.00%), (TJX, 469, 0.27%, 0.00%), (GILD, 569, 0.27%, 0.00%), (CVS, 914, 0.26%, 0.00%), (LOW, 236, 0.26%, 0.00%), (PFE, 2,585, 0.26%, 0.00%), (EMR, 470, 0.25%, 0.00%), (MO, 913, 0.24%, 0.00%), (DHR, 293, 0.24%, 0.00%), (INTC, 2,225, 0.22%, 0.00%), (ELV, 168, 0.21%, 0.00%), (CMCSA, 1,499, 0.21%,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</si>
  <si>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3.59%, 0.00%), (META, 567, 2.78%, 0.00%), (GOOGL, 1,521, 2.33%, 0.00%), (BRK/B, 660, 2.13%, 0.00%), (GOOG, 1,239, 1.90%, 0.00%), (LIN, 567, 1.76%, 0.00%), (CSCO, 4,008, 1.75%, 0.00%), (TSLA, 759, 1.72%, 0.00%), (LLY, 338, 1.63%, 0.00%), (JPM, 836, 1.60%, 0.00%), (AMT, 1,150, 1.46%, 0.00%), (XOM, 2,023, 1.45%, 0.00%), (V, 622, 1.39%, 0.00%), (CB, 635, 1.15%, 0.00%), (MA, 295, 1.13%, 0.00%), (GE, 592, 1.07%, 0.00%), (WM, 711, 1.02%, 0.00%), (UNH, 443, 0.92%, 0.00%), (ORCL, 595, 0.91%, 0.00%), (NFLX, 111, 0.91%, 0.00%), (ABT, 1,035, 0.90%, 0.00%), (JNJ, 728, 0.85%, 0.00%), (NEE, 1,827, 0.83%, 0.00%), (WMT, 1,212, 0.81%, 0.00%), (PG, 766, 0.80%, 0.00%), (COST, 124, 0.79%, 0.00%), (CVX, 769, 0.77%, 0.00%), (PLTR, 759, 0.77%, 0.00%), (HD, 274, 0.75%, 0.00%), (MCD, 362, 0.74%, 0.00%), (RTX, 728, 0.74%, 0.00%), (ABBV, 534, 0.73%, 0.00%), (CAT, 264, 0.73%, 0.00%), (BAC, 1,982, 0.64%, 0.00%), (BKNG, 17, 0.62%, 0.00%), (BA, 409, 0.62%, 0.00%), (KO, 1,385, 0.61%, 0.00%), (PM, 555, 0.59%, 0.00%), (CRM, 354, 0.58%, 0.00%), (SO, 973, 0.58%, 0.00%), (NKE, 1,183, 0.57%, 0.00%), (IBM, 343, 0.57%, 0.00%), (GS, 113, 0.55%, 0.00%), (AMD, 555, 0.55%, 0.00%), (DUK, 686, 0.54%, 0.00%), (UBER, 881, 0.54%, 0.00%), (ISRG, 171, 0.53%, 0.00%), (MET, 985, 0.51%, 0.00%), (WFC, 988, 0.51%, 0.00%), (QCOM, 480, 0.50%, 0.00%), (HON, 356, 0.50%, 0.00%), (ETN, 216, 0.49%, 0.00%), (NOW, 76, 0.47%, 0.00%), (INTU, 104, 0.46%, 0.00%), (PEP, 490, 0.45%, 0.00%), (T, 2,358, 0.45%, 0.00%), (DIS, 571, 0.44%, 0.00%), (DE, 139, 0.44%, 0.00%), (MS, 447, 0.43%, 0.00%), (AXP, 200, 0.42%, 0.00%), (MRK, 765, 0.42%, 0.00%), (SPGI, 114, 0.41%, 0.00%), (MMM, 398, 0.40%, 0.00%), (VZ, 1,384, 0.39%, 0.00%), (ACN, 232, 0.39%, 0.00%), (ADBE, 163, 0.38%, 0.00%), (TXN, 312, 0.38%, 0.00%), (BLK, 52, 0.38%, 0.00%), (MDT, 617, 0.38%, 0.00%), (TMO, 116, 0.37%, 0.00%), (UNP, 254, 0.36%, 0.00%), (COP, 595, 0.36%, 0.00%), (C, 561, 0.35%, 0.00%), (LMT, 115, 0.35%, 0.00%), (SCHW, 538, 0.33%, 0.00%), (SBUX, 572, 0.31%, 0.00%), (AMGN, 163, 0.30%, 0.00%), (AMAT, 282, 0.30%, 0.00%), (TJX, 311, 0.29%, 0.00%), (GILD, 377, 0.29%, 0.00%), (LOW, 156, 0.28%, 0.00%), (CVS, 606, 0.28%, 0.00%), (PFE, 1,713, 0.28%, 0.00%), (EMR, 312, 0.27%, 0.00%), (MO, 605, 0.26%, 0.00%), (DHR, 194, 0.25%, 0.00%), (INTC, 1,475, 0.24%,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</si>
  <si>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5,901, 2.66%, 0.00%), (GOOGL, 15,816, 2.22%, 0.00%), (BRK/B, 6,865, 2.04%, 0.00%), (GOOG, 12,883, 1.81%, 0.00%), (LIN, 5,898, 1.69%, 0.00%), (CSCO, 41,685, 1.68%, 0.00%), (TSLA, 7,896, 1.64%, 0.00%), (JPM, 8,693, 1.53%, 0.00%), (LLY, 3,278, 1.45%, 0.00%), (AMT, 11,965, 1.40%, 0.00%), (XOM, 21,043, 1.39%, 0.00%), (V, 6,473, 1.33%, 0.00%), (CB, 6,603, 1.10%, 0.00%), (MA, 3,070, 1.08%, 0.00%), (GE, 6,157, 1.02%, 0.00%), (WM, 7,396, 0.98%, 0.00%), (ABT, 11,586, 0.92%, 0.00%), (UNH, 4,609, 0.88%, 0.00%), (ORCL, 6,194, 0.88%, 0.00%), (NFLX, 1,157, 0.86%, 0.00%), (JNJ, 7,572, 0.81%, 0.00%), (NEE, 19,000, 0.80%, 0.00%), (WMT, 12,605, 0.77%, 0.00%), (PG, 7,967, 0.76%, 0.00%), (COST, 1,287, 0.75%, 0.00%), (CVX, 8,002, 0.74%, 0.00%), (PLTR, 7,899, 0.74%, 0.00%), (HD, 2,849, 0.72%, 0.00%), (MCD, 3,765, 0.71%, 0.00%), (RTX, 7,572, 0.70%, 0.00%), (ABBV, 5,558, 0.70%, 0.00%), (CAT, 2,747, 0.70%, 0.00%), (BAC, 20,612, 0.61%, 0.00%), (BA, 4,253, 0.59%, 0.00%), (KO, 14,406, 0.58%, 0.00%), (BKNG, 174, 0.58%, 0.00%), (PM, 5,777, 0.56%, 0.00%), (CRM, 3,684, 0.56%, 0.00%), (SO, 10,124, 0.55%, 0.00%), (NKE, 12,307, 0.55%, 0.00%), (IBM, 3,563, 0.54%, 0.00%), (AMD, 5,772, 0.52%, 0.00%), (GS, 1,176, 0.52%, 0.00%), (DUK, 7,137, 0.52%, 0.00%), (UBER, 9,160, 0.51%, 0.00%), (QCOM, 5,251, 0.51%, 0.00%), (ISRG, 1,784, 0.50%, 0.00%), (MET, 10,245, 0.49%, 0.00%), (WFC, 10,281, 0.49%, 0.00%), (HON, 3,699, 0.48%, 0.00%), (ETN, 2,248, 0.47%, 0.00%), (DIS, 6,502, 0.46%, 0.00%), (NOW, 794, 0.44%, 0.00%), (INTU, 1,080, 0.44%, 0.00%), (PEP, 5,098, 0.44%, 0.00%), (T, 24,531, 0.43%, 0.00%), (DE, 1,447, 0.42%, 0.00%), (MS, 4,646, 0.41%, 0.00%), (AXP, 2,084, 0.41%, 0.00%), (MRK, 7,956, 0.40%, 0.00%), (SPGI, 1,189, 0.39%, 0.00%), (MMM, 4,098, 0.38%, 0.00%), (VZ, 14,392, 0.38%, 0.00%), (ACN, 2,408, 0.37%, 0.00%), (TXN, 3,244, 0.36%, 0.00%), (BLK, 545, 0.36%, 0.00%), (ADBE, 1,696, 0.36%, 0.00%), (MDT, 6,423, 0.36%, 0.00%), (TMO, 1,203, 0.35%, 0.00%), (UNP, 2,637, 0.34%, 0.00%), (COP, 6,193, 0.34%, 0.00%), (C, 5,840, 0.34%, 0.00%), (LMT, 1,200, 0.33%, 0.00%), (SCHW, 5,599, 0.31%, 0.00%), (SBUX, 5,955, 0.30%, 0.00%), (AMAT, 2,932, 0.29%, 0.00%), (AMGN, 1,691, 0.28%, 0.00%), (TJX, 3,235, 0.27%, 0.00%), (GILD, 3,920, 0.27%, 0.00%), (CVS, 6,302, 0.27%, 0.00%), (LOW, 1,627, 0.27%, 0.00%), (PFE, 17,823, 0.26%, 0.00%), (EMR, 3,244, 0.26%, 0.00%), (MO, 6,298, 0.25%, 0.00%), (DHR, 2,022, 0.24%, 0.00%), (INTC, 15,340, 0.22%, 0.00%), (ELV, 1,162, 0.22%, 0.00%), (CMCSA, 10,332, 0.21%, 0.00%), (MDLZ, 4,969, 0.18%, 0.00%), (BMY, 6,379, 0.18%, 0.00%), (UPS, 3,181, 0.16%, 0.00%), (PYPL, 3,755, 0.15%, 0.00%), (USB, 4,817, 0.14%, 0.00%), (CL, 2,764, 0.14%, 0.00%), (FDX, 978, 0.13%, 0.00%), (TGT, 1,338, 0.07%, 0.00%), (SC26771B, nan, nan%, 0.00%), (SC26773B, nan, nan%, 0.00%), (SP26772B, nan, nan%, 0.00%), (SP26774B, nan, nan%, 0.00%), (SP26775T, nan, nan%, 0.00%), (XP26775T, nan, nan%, 0.00%)</t>
  </si>
  <si>
    <t>(AVGO, 14,382, 3.65%, 0.00%), (META, 5,109, 2.84%, 0.00%), (GOOGL, 13,694, 2.37%, 0.00%), (BRK/B, 5,944, 2.18%, 0.00%), (GOOG, 11,154, 1.93%, 0.00%), (LIN, 5,106, 1.80%, 0.00%), (CSCO, 36,091, 1.79%, 0.00%), (TSLA, 6,837, 1.75%, 0.00%), (JPM, 7,527, 1.63%, 0.00%), (LLY, 2,846, 1.55%, 0.00%), (AMT, 10,359, 1.49%, 0.00%), (XOM, 18,218, 1.48%, 0.00%), (V, 5,604, 1.42%, 0.00%), (CB, 5,717, 1.18%, 0.00%), (MA, 2,658, 1.15%, 0.00%), (GE, 5,331, 1.09%, 0.00%), (WM, 6,404, 1.04%, 0.00%), (ABT, 10,021, 0.98%, 0.00%), (UNH, 3,990, 0.94%, 0.00%), (ORCL, 5,362, 0.93%, 0.00%), (NFLX, 1,002, 0.92%, 0.00%), (JNJ, 6,556, 0.86%, 0.00%), (NEE, 16,450, 0.85%, 0.00%), (WMT, 10,913, 0.82%, 0.00%), (PG, 6,898, 0.81%, 0.00%), (COST, 1,114, 0.80%, 0.00%), (CVX, 6,928, 0.79%, 0.00%), (PLTR, 6,839, 0.79%, 0.00%), (HD, 2,466, 0.77%, 0.00%), (MCD, 3,259, 0.76%, 0.00%), (RTX, 6,556, 0.75%, 0.00%), (ABBV, 4,812, 0.75%, 0.00%), (CAT, 2,378, 0.74%, 0.00%), (BAC, 17,846, 0.65%, 0.00%), (BA, 3,682, 0.63%, 0.00%), (BKNG, 151, 0.62%, 0.00%), (KO, 12,473, 0.62%, 0.00%), (PM, 5,002, 0.60%, 0.00%), (CRM, 3,190, 0.59%, 0.00%), (SO, 8,765, 0.59%, 0.00%), (NKE, 10,655, 0.58%, 0.00%), (IBM, 3,085, 0.58%, 0.00%), (AMD, 4,997, 0.56%, 0.00%), (GS, 1,018, 0.56%, 0.00%), (DUK, 6,179, 0.55%, 0.00%), (UBER, 7,930, 0.55%, 0.00%), (QCOM, 4,621, 0.55%, 0.00%), (ISRG, 1,544, 0.54%, 0.00%), (MET, 8,870, 0.52%, 0.00%), (WFC, 8,901, 0.52%, 0.00%), (HON, 3,203, 0.51%, 0.00%), (ETN, 1,946, 0.50%, 0.00%), (DIS, 5,644, 0.50%, 0.00%), (NOW, 687, 0.47%, 0.00%), (INTU, 935, 0.46%, 0.00%), (PEP, 4,414, 0.46%, 0.00%), (T, 21,239, 0.46%, 0.00%), (DE, 1,253, 0.45%, 0.00%), (MS, 4,023, 0.44%, 0.00%), (AXP, 1,805, 0.43%, 0.00%), (MRK, 6,888, 0.43%, 0.00%), (SPGI, 1,030, 0.42%, 0.00%), (VZ, 12,461, 0.40%, 0.00%), (ACN, 2,085, 0.39%, 0.00%), (TXN, 2,809, 0.39%, 0.00%), (BLK, 472, 0.39%, 0.00%), (ADBE, 1,469, 0.38%, 0.00%), (MDT, 5,561, 0.38%, 0.00%), (TMO, 1,042, 0.38%, 0.00%), (UNP, 2,283, 0.37%, 0.00%), (COP, 5,362, 0.36%, 0.00%), (C, 5,056, 0.36%, 0.00%), (LMT, 1,039, 0.35%, 0.00%), (SCHW, 4,848, 0.33%, 0.00%), (SBUX, 5,156, 0.32%, 0.00%), (MMM, 2,782, 0.32%, 0.00%), (AMAT, 2,539, 0.30%, 0.00%), (AMGN, 1,464, 0.30%, 0.00%), (TJX, 2,800, 0.29%, 0.00%), (GILD, 3,394, 0.29%, 0.00%), (CVS, 5,456, 0.28%, 0.00%), (LOW, 1,409, 0.28%, 0.00%), (PFE, 15,431, 0.28%, 0.00%), (EMR, 2,808, 0.28%, 0.00%), (MO, 5,452, 0.27%, 0.00%), (DHR, 1,750, 0.26%, 0.00%), (INTC, 13,281, 0.24%, 0.00%), (ELV, 1,006, 0.23%, 0.00%), (CMCSA, 8,946, 0.22%, 0.00%), (MDLZ, 4,302, 0.20%, 0.00%), (BMY, 5,523, 0.19%, 0.00%), (UPS, 2,754, 0.17%, 0.00%), (PYPL, 3,251, 0.16%, 0.00%), (USB, 4,171, 0.15%, 0.00%), (CL, 2,393, 0.15%, 0.00%), (FDX, 847, 0.14%, 0.00%), (TGT, 1,158, 0.08%, 0.00%), (SC23471B, nan, nan%, 0.00%), (SC23473B, nan, nan%, 0.00%), (SP23472B, nan, nan%, 0.00%), (SP23475B, nan, nan%, 0.00%), (SP23474B, nan, nan%, 0.00%), (XP23475B, nan, nan%, 0.00%)</t>
  </si>
  <si>
    <t>(AVGO, 10,718, 3.64%, 0.00%), (META, 3,807, 2.83%, 0.00%), (GOOGL, 10,204, 2.37%, 0.00%), (BRK/B, 4,429, 2.17%, 0.00%), (GOOG, 8,312, 1.93%, 0.00%), (LIN, 3,805, 1.79%, 0.00%), (CSCO, 26,894, 1.78%, 0.00%), (TSLA, 5,095, 1.74%, 0.00%), (JPM, 5,609, 1.63%, 0.00%), (LLY, 2,099, 1.53%, 0.00%), (AMT, 7,719, 1.49%, 0.00%), (XOM, 13,576, 1.48%, 0.00%), (V, 4,176, 1.42%, 0.00%), (CB, 4,260, 1.17%, 0.00%), (MA, 1,981, 1.15%, 0.00%), (GE, 3,972, 1.09%, 0.00%), (WM, 4,772, 1.04%, 0.00%), (ABT, 7,404, 0.97%, 0.00%), (UNH, 2,974, 0.94%, 0.00%), (ORCL, 3,996, 0.93%, 0.00%), (NFLX, 747, 0.92%, 0.00%), (JNJ, 4,885, 0.86%, 0.00%), (NEE, 12,259, 0.85%, 0.00%), (WMT, 8,132, 0.82%, 0.00%), (PG, 5,140, 0.81%, 0.00%), (COST, 830, 0.80%, 0.00%), (CVX, 5,163, 0.79%, 0.00%), (PLTR, 5,097, 0.78%, 0.00%), (HD, 1,838, 0.76%, 0.00%), (MCD, 2,429, 0.75%, 0.00%), (RTX, 4,885, 0.75%, 0.00%), (ABBV, 3,586, 0.75%, 0.00%), (CAT, 1,772, 0.74%, 0.00%), (BAC, 13,299, 0.65%, 0.00%), (BA, 2,744, 0.63%, 0.00%), (KO, 9,294, 0.62%, 0.00%), (BKNG, 112, 0.62%, 0.00%), (PM, 3,727, 0.60%, 0.00%), (CRM, 2,377, 0.59%, 0.00%), (SO, 6,532, 0.59%, 0.00%), (NKE, 7,940, 0.58%, 0.00%), (IBM, 2,299, 0.58%, 0.00%), (AMD, 3,724, 0.56%, 0.00%), (GS, 759, 0.56%, 0.00%), (DUK, 4,605, 0.55%, 0.00%), (UBER, 5,910, 0.55%, 0.00%), (ISRG, 1,151, 0.53%, 0.00%), (QCOM, 3,349, 0.53%, 0.00%), (MET, 6,610, 0.52%, 0.00%), (WFC, 6,633, 0.52%, 0.00%), (HON, 2,387, 0.51%, 0.00%), (ETN, 1,450, 0.50%, 0.00%), (DIS, 4,163, 0.49%, 0.00%), (NOW, 512, 0.47%, 0.00%), (INTU, 697, 0.46%, 0.00%), (PEP, 3,289, 0.46%, 0.00%), (T, 15,827, 0.45%, 0.00%), (DE, 934, 0.44%, 0.00%), (MS, 2,998, 0.44%, 0.00%), (AXP, 1,345, 0.43%, 0.00%), (MRK, 5,133, 0.43%, 0.00%), (SPGI, 767, 0.41%, 0.00%), (VZ, 9,285, 0.40%, 0.00%), (ACN, 1,554, 0.39%, 0.00%), (TXN, 2,093, 0.39%, 0.00%), (BLK, 352, 0.39%, 0.00%), (ADBE, 1,094, 0.38%, 0.00%), (MDT, 4,144, 0.38%, 0.00%), (TMO, 776, 0.38%, 0.00%), (UNP, 1,701, 0.37%, 0.00%), (COP, 3,996, 0.36%, 0.00%), (C, 3,768, 0.36%, 0.00%), (LMT, 774, 0.35%, 0.00%), (SCHW, 3,612, 0.33%, 0.00%), (SBUX, 3,842, 0.32%, 0.00%), (MMM, 1,999, 0.31%, 0.00%), (AMAT, 1,892, 0.30%, 0.00%), (AMGN, 1,091, 0.30%, 0.00%), (TJX, 2,087, 0.29%, 0.00%), (GILD, 2,529, 0.29%, 0.00%), (CVS, 4,066, 0.28%, 0.00%), (LOW, 1,050, 0.28%, 0.00%), (PFE, 11,499, 0.28%, 0.00%), (EMR, 2,093, 0.28%, 0.00%), (MO, 4,063, 0.26%, 0.00%), (DHR, 1,304, 0.26%, 0.00%), (INTC, 9,897, 0.24%, 0.00%), (ELV, 749, 0.23%, 0.00%), (CMCSA, 6,666, 0.22%, 0.00%), (MDLZ, 3,206, 0.20%, 0.00%), (BMY, 4,115, 0.19%, 0.00%), (UPS, 2,053, 0.17%, 0.00%), (PYPL, 2,423, 0.16%, 0.00%), (USB, 3,108, 0.15%, 0.00%), (CL, 1,783, 0.15%, 0.00%), (FDX, 631, 0.14%, 0.00%), (TGT, 863, 0.08%, 0.00%), (SC22171B, nan, nan%, 0.00%), (SC22173B, nan, nan%, 0.00%), (SP22172B, nan, nan%, 0.00%), (SP22175B, nan, nan%, 0.00%), (SP22174B, nan, nan%, 0.00%), (XP22175B, nan, nan%, 0.00%)</t>
  </si>
  <si>
    <t>(AVGO, 4,065, 3.47%, 0.00%), (META, 1,444, 2.70%, 0.00%), (GOOGL, 3,870, 2.25%, 0.00%), (BRK/B, 1,680, 2.07%, 0.00%), (GOOG, 3,153, 1.84%, 0.00%), (LIN, 1,443, 1.71%, 0.00%), (CSCO, 10,201, 1.70%, 0.00%), (TSLA, 1,932, 1.66%, 0.00%), (JPM, 2,127, 1.55%, 0.00%), (LLY, 806, 1.48%, 0.00%), (AMT, 2,928, 1.41%, 0.00%), (XOM, 5,149, 1.41%, 0.00%), (V, 1,584, 1.35%, 0.00%), (CB, 1,616, 1.12%, 0.00%), (MA, 751, 1.09%, 0.00%), (GE, 1,507, 1.04%, 0.00%), (WM, 1,810, 0.99%, 0.00%), (ABT, 2,726, 0.90%, 0.00%), (UNH, 1,128, 0.89%, 0.00%), (ORCL, 1,516, 0.89%, 0.00%), (NFLX, 283, 0.88%, 0.00%), (JNJ, 1,853, 0.82%, 0.00%), (NEE, 4,650, 0.81%, 0.00%), (WMT, 3,085, 0.78%, 0.00%), (PG, 1,950, 0.77%, 0.00%), (COST, 315, 0.76%, 0.00%), (CVX, 1,958, 0.75%, 0.00%), (PLTR, 1,933, 0.75%, 0.00%), (HD, 697, 0.73%, 0.00%), (MCD, 921, 0.72%, 0.00%), (RTX, 1,853, 0.71%, 0.00%), (ABBV, 1,360, 0.71%, 0.00%), (CAT, 672, 0.71%, 0.00%), (BAC, 5,044, 0.62%, 0.00%), (BKNG, 43, 0.60%, 0.00%), (BA, 1,041, 0.60%, 0.00%), (KO, 3,525, 0.59%, 0.00%), (PM, 1,414, 0.57%, 0.00%), (CRM, 902, 0.57%, 0.00%), (SO, 2,477, 0.56%, 0.00%), (NKE, 3,012, 0.56%, 0.00%), (IBM, 872, 0.55%, 0.00%), (AMD, 1,412, 0.53%, 0.00%), (GS, 288, 0.53%, 0.00%), (DUK, 1,747, 0.52%, 0.00%), (UBER, 2,242, 0.52%, 0.00%), (ISRG, 437, 0.51%, 0.00%), (QCOM, 1,267, 0.51%, 0.00%), (MET, 2,507, 0.50%, 0.00%), (WFC, 2,516, 0.50%, 0.00%), (HON, 905, 0.48%, 0.00%), (ETN, 550, 0.48%, 0.00%), (NOW, 194, 0.45%, 0.00%), (DIS, 1,500, 0.44%, 0.00%), (PEP, 1,248, 0.44%, 0.00%), (INTU, 264, 0.44%, 0.00%), (T, 6,003, 0.43%, 0.00%), (DE, 354, 0.42%, 0.00%), (MS, 1,137, 0.42%, 0.00%), (AXP, 510, 0.41%, 0.00%), (MRK, 1,947, 0.41%, 0.00%), (SPGI, 291, 0.39%, 0.00%), (VZ, 3,522, 0.38%, 0.00%), (ACN, 589, 0.37%, 0.00%), (TXN, 794, 0.37%, 0.00%), (BLK, 133, 0.37%, 0.00%), (ADBE, 415, 0.37%, 0.00%), (MDT, 1,572, 0.36%, 0.00%), (TMO, 294, 0.36%, 0.00%), (UNP, 645, 0.35%, 0.00%), (COP, 1,516, 0.35%, 0.00%), (C, 1,429, 0.34%, 0.00%), (LMT, 294, 0.34%, 0.00%), (SCHW, 1,370, 0.32%, 0.00%), (SBUX, 1,457, 0.31%, 0.00%), (MMM, 758, 0.29%, 0.00%), (AMAT, 718, 0.29%, 0.00%), (AMGN, 414, 0.29%, 0.00%), (TJX, 792, 0.28%, 0.00%), (GILD, 959, 0.28%, 0.00%), (CVS, 1,542, 0.27%, 0.00%), (LOW, 398, 0.27%, 0.00%), (PFE, 4,362, 0.27%, 0.00%), (EMR, 794, 0.26%, 0.00%), (MO, 1,541, 0.25%, 0.00%), (DHR, 495, 0.24%, 0.00%), (INTC, 3,754, 0.23%, 0.00%), (ELV, 284, 0.22%, 0.00%), (CMCSA, 2,528, 0.21%, 0.00%), (MDLZ, 1,216, 0.19%, 0.00%), (BMY, 1,561, 0.18%, 0.00%), (UPS, 779, 0.16%, 0.00%), (PYPL, 919, 0.16%,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</si>
  <si>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3.51%, 0.00%), (META, 1,571, 2.73%, 0.00%), (GOOGL, 4,209, 2.28%, 0.00%), (BRK/B, 1,827, 2.09%, 0.00%), (GOOG, 3,429, 1.86%, 0.00%), (LIN, 1,570, 1.73%, 0.00%), (CSCO, 11,094, 1.72%, 0.00%), (TSLA, 2,102, 1.68%, 0.00%), (JPM, 2,314, 1.57%, 0.00%), (LLY, 860, 1.46%, 0.00%), (AMT, 3,184, 1.43%, 0.00%), (XOM, 5,600, 1.42%, 0.00%), (V, 1,723, 1.36%, 0.00%), (CB, 1,757, 1.13%, 0.00%), (MA, 817, 1.11%, 0.00%), (GE, 1,639, 1.05%, 0.00%), (WM, 1,969, 1.00%, 0.00%), (UNH, 1,227, 0.91%, 0.00%), (ORCL, 1,648, 0.90%, 0.00%), (ABT, 2,912, 0.89%, 0.00%), (NFLX, 308, 0.89%, 0.00%), (JNJ, 2,015, 0.83%, 0.00%), (NEE, 5,057, 0.82%, 0.00%), (WMT, 3,355, 0.79%, 0.00%), (PG, 2,120, 0.78%, 0.00%), (COST, 342, 0.77%, 0.00%), (CVX, 2,130, 0.76%, 0.00%), (PLTR, 2,102, 0.76%, 0.00%), (HD, 758, 0.74%, 0.00%), (MCD, 1,002, 0.73%, 0.00%), (RTX, 2,015, 0.72%, 0.00%), (ABBV, 1,479, 0.72%, 0.00%), (CAT, 731, 0.72%, 0.00%), (BAC, 5,486, 0.63%, 0.00%), (BA, 1,132, 0.60%, 0.00%), (KO, 3,834, 0.60%, 0.00%), (BKNG, 46, 0.59%, 0.00%), (PM, 1,538, 0.58%, 0.00%), (CRM, 981, 0.57%, 0.00%), (SO, 2,694, 0.57%, 0.00%), (NKE, 3,276, 0.56%, 0.00%), (IBM, 948, 0.56%, 0.00%), (AMD, 1,536, 0.54%, 0.00%), (GS, 313, 0.54%, 0.00%), (DUK, 1,900, 0.53%, 0.00%), (UBER, 2,438, 0.53%, 0.00%), (ISRG, 475, 0.52%, 0.00%), (MET, 2,727, 0.50%, 0.00%), (QCOM, 1,352, 0.50%, 0.00%), (WFC, 2,736, 0.50%, 0.00%), (HON, 985, 0.49%, 0.00%), (ETN, 598, 0.48%, 0.00%), (DIS, 1,705, 0.47%, 0.00%), (NOW, 211, 0.45%, 0.00%), (PEP, 1,357, 0.45%, 0.00%), (INTU, 287, 0.45%, 0.00%), (T, 6,529, 0.44%, 0.00%), (DE, 385, 0.43%, 0.00%), (MS, 1,237, 0.43%, 0.00%), (AXP, 555, 0.42%, 0.00%), (MRK, 2,117, 0.41%, 0.00%), (SPGI, 316, 0.40%, 0.00%), (VZ, 3,830, 0.38%, 0.00%), (ACN, 641, 0.38%, 0.00%), (BLK, 145, 0.37%, 0.00%), (TXN, 864, 0.37%, 0.00%), (ADBE, 451, 0.37%, 0.00%), (MDT, 1,709, 0.37%, 0.00%), (MMM, 1,024, 0.36%, 0.00%), (TMO, 320, 0.36%, 0.00%), (UNP, 702, 0.35%, 0.00%), (COP, 1,648, 0.35%, 0.00%), (C, 1,554, 0.34%, 0.00%), (LMT, 319, 0.34%, 0.00%), (SCHW, 1,490, 0.32%, 0.00%), (SBUX, 1,585, 0.31%, 0.00%), (AMAT, 780, 0.29%, 0.00%), (AMGN, 450, 0.29%, 0.00%), (TJX, 861, 0.28%, 0.00%), (GILD, 1,043, 0.28%, 0.00%), (LOW, 433, 0.27%, 0.00%), (CVS, 1,677, 0.27%, 0.00%), (PFE, 4,744, 0.27%, 0.00%), (EMR, 863, 0.27%, 0.00%), (MO, 1,676, 0.26%, 0.00%), (DHR, 538, 0.25%, 0.00%), (INTC, 4,083, 0.23%, 0.00%), (ELV, 309, 0.22%, 0.00%), (CMCSA, 2,750, 0.22%, 0.00%), (MDLZ, 1,322, 0.19%, 0.00%), (BMY, 1,698, 0.18%, 0.00%), (UPS, 847, 0.17%, 0.00%), (PYPL, 999, 0.16%, 0.00%), (USB, 1,282, 0.14%, 0.00%), (CL, 736, 0.14%, 0.00%), (FDX, 260, 0.14%, 0.00%), (TGT, 356, 0.08%, 0.00%), (SC13481B, nan, nan%, 0.00%), (SC13483B, nan, nan%, 0.00%), (SP13482B, nan, nan%, 0.00%), (SP13485B, nan, nan%, 0.00%), (SP13484B, nan, nan%, 0.00%), (XP13485B, nan, nan%, 0.00%)</t>
  </si>
  <si>
    <t>(AVGO, 8,311, 3.64%, 0.00%), (META, 2,952, 2.83%, 0.00%), (GOOGL, 7,913, 2.36%, 0.00%), (BRK/B, 3,435, 2.17%, 0.00%), (GOOG, 6,445, 1.92%, 0.00%), (LIN, 2,950, 1.79%, 0.00%), (CSCO, 20,854, 1.78%, 0.00%), (TSLA, 3,950, 1.74%, 0.00%), (JPM, 4,349, 1.63%, 0.00%), (AMT, 5,986, 1.48%, 0.00%), (XOM, 10,527, 1.47%, 0.00%), (LLY, 1,540, 1.45%, 0.00%), (V, 3,238, 1.41%, 0.00%), (CB, 3,303, 1.17%, 0.00%), (MA, 1,536, 1.15%, 0.00%), (GE, 3,080, 1.09%, 0.00%), (WM, 3,700, 1.04%, 0.00%), (UNH, 2,306, 0.94%, 0.00%), (ABT, 5,546, 0.94%, 0.00%), (ORCL, 3,099, 0.93%, 0.00%), (NFLX, 579, 0.92%, 0.00%), (JNJ, 3,788, 0.86%, 0.00%), (NEE, 9,505, 0.85%, 0.00%), (WMT, 6,306, 0.82%, 0.00%), (PG, 3,986, 0.81%, 0.00%), (COST, 644, 0.80%, 0.00%), (CVX, 4,003, 0.79%, 0.00%), (PLTR, 3,952, 0.78%, 0.00%), (HD, 1,425, 0.76%, 0.00%), (MCD, 1,883, 0.75%, 0.00%), (RTX, 3,788, 0.75%, 0.00%), (ABBV, 2,780, 0.74%, 0.00%), (CAT, 1,374, 0.74%, 0.00%), (BAC, 10,312, 0.65%, 0.00%), (BA, 2,128, 0.63%, 0.00%), (KO, 7,207, 0.62%, 0.00%), (BKNG, 87, 0.62%, 0.00%), (PM, 2,890, 0.60%, 0.00%), (CRM, 1,843, 0.59%, 0.00%), (SO, 5,065, 0.59%, 0.00%), (NKE, 6,157, 0.58%, 0.00%), (IBM, 1,783, 0.58%, 0.00%), (AMD, 2,888, 0.56%, 0.00%), (GS, 588, 0.56%, 0.00%), (DUK, 3,571, 0.55%, 0.00%), (UBER, 4,582, 0.55%, 0.00%), (ISRG, 892, 0.53%, 0.00%), (MET, 5,125, 0.52%, 0.00%), (WFC, 5,143, 0.52%, 0.00%), (HON, 1,851, 0.51%, 0.00%), (QCOM, 2,477, 0.51%, 0.00%), (ETN, 1,125, 0.50%, 0.00%), (DIS, 3,152, 0.48%, 0.00%), (NOW, 397, 0.47%, 0.00%), (INTU, 540, 0.46%, 0.00%), (PEP, 2,550, 0.46%, 0.00%), (T, 12,272, 0.45%, 0.00%), (DE, 724, 0.44%, 0.00%), (MS, 2,324, 0.44%, 0.00%), (AXP, 1,043, 0.43%, 0.00%), (MRK, 3,980, 0.43%, 0.00%), (SPGI, 595, 0.41%, 0.00%), (VZ, 7,200, 0.40%, 0.00%), (ACN, 1,205, 0.39%, 0.00%), (TXN, 1,623, 0.38%, 0.00%), (BLK, 273, 0.38%, 0.00%), (ADBE, 849, 0.38%, 0.00%), (MMM, 1,950, 0.38%, 0.00%), (MDT, 3,213, 0.38%, 0.00%), (TMO, 602, 0.37%, 0.00%), (UNP, 1,319, 0.37%, 0.00%), (COP, 3,098, 0.36%, 0.00%), (C, 2,922, 0.36%, 0.00%), (LMT, 600, 0.35%, 0.00%), (SCHW, 2,801, 0.33%, 0.00%), (SBUX, 2,979, 0.32%, 0.00%), (AMAT, 1,467, 0.30%, 0.00%), (AMGN, 846, 0.30%, 0.00%), (TJX, 1,618, 0.29%, 0.00%), (GILD, 1,961, 0.29%, 0.00%), (CVS, 3,153, 0.28%, 0.00%), (LOW, 814, 0.28%, 0.00%), (PFE, 8,916, 0.28%, 0.00%), (EMR, 1,623, 0.27%, 0.00%), (MO, 3,151, 0.26%, 0.00%), (DHR, 1,011, 0.26%,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</si>
  <si>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EBAY, GOOGL, BK, META, MLI, JPM, PHM, MSFT, BKNG, EWBC, BLK</t>
  </si>
  <si>
    <t>(EA, 6,402, 1.95%, 0.00%), (RJF, 6,415, 1.94%, 0.00%), (AXP, 3,238, 1.92%, 0.00%), (HIG, 7,687, 1.84%, 0.00%), (TRV, 3,652, 1.83%, 0.00%), (V, 2,870, 1.81%, 0.00%), (ROST, 6,395, 1.74%, 0.00%), (UNM, 12,914, 1.73%, 0.01%), (KLAC, 1,016, 1.71%, 0.00%), (LEN, 6,777, 1.70%, 0.00%), (SNA, 2,862, 1.69%, 0.01%), (NVDA, 5,363, 1.68%, 0.00%), (SYF, 11,988, 1.67%, 0.00%), (ADP, 3,067, 1.67%, 0.00%), (AMAT, 5,500, 1.65%, 0.00%), (CB, 3,239, 1.64%, 0.00%), (PCAR, 9,078, 1.62%, 0.00%), (CRM, 3,289, 1.52%, 0.00%), (WSM, 4,059, 1.51%, 0.00%), (CTSH, 11,602, 1.50%, 0.00%), (DHI, 4,503, 1.47%, 0.00%), (PAYC, 3,512, 1.43%, 0.01%), (BKR, 17,074, 1.42%, 0.00%), (QCOM, 4,631, 1.34%, 0.00%), (AAPL, 2,990, 1.28%, 0.00%), (ELV, 2,199, 1.27%, 0.00%), (ACN, 2,735, 1.26%, 0.00%), (AFL, 6,342, 1.23%, 0.00%), (MPWR, 733, 1.15%, 0.00%), (LRCX, 5,914, 1.14%, 0.00%), (ODFL, 3,933, 1.07%, 0.00%), (CSCO, 8,589, 1.06%, 0.00%), (GE, 2,073, 1.05%, 0.00%), (STT, 4,761, 0.98%, 0.00%), (PNC, 2,549, 0.93%, 0.00%), (MTB, 2,533, 0.93%, 0.00%), (COST, 476, 0.85%, 0.00%), (CF, 5,441, 0.84%, 0.00%), (AMP, 927, 0.84%, 0.00%), (ABT, 3,427, 0.83%, 0.00%), (XOM, 3,985, 0.81%, 0.00%), (EOG, 3,586, 0.77%, 0.00%), (EG, 1,206, 0.75%, 0.00%), (CSL, 1,067, 0.75%, 0.00%), (GEV, 486, 0.54%, 0.00%), (NTRS, 2,210, 0.52%, 0.00%), (MA, 461, 0.49%, 0.00%), (JNJ, 1,480, 0.48%, 0.00%), (ACM, 2,091, 0.48%, 0.00%), (CRBG, 7,583, 0.46%, 0.00%), (LNC, 6,044, 0.46%, 0.00%), (WTFC, 1,780, 0.45%, 0.00%), (MTG, 8,683, 0.45%, 0.00%), (JXN, 2,494, 0.44%, 0.00%), (CINF, 1,537, 0.43%, 0.00%), (ADM, 3,680, 0.42%, 0.00%), (EQH, 4,284, 0.41%, 0.00%), (DOV, 1,292, 0.41%, 0.00%), (MCK, 319, 0.41%, 0.00%), (ALL, 1,094, 0.40%, 0.00%), (SLM, 7,095, 0.39%, 0.00%), (NUE, 1,477, 0.38%, 0.00%), (NKE, 2,693, 0.36%, 0.00%), (PGR, 806, 0.36%, 0.00%), (FANG, 1,150, 0.29%, 0.00%), (SC13N61B, nan, nan%, 0.00%), (SC13N63B, nan, nan%, 0.00%), (SP13N62B, nan, nan%, 0.00%), (SP13N65B, nan, nan%, 0.00%), (SP13N64B, nan, nan%, 0.00%), (SPX Index, nan, nan%, 0.00%), (XP13N65B, nan, nan%, 0.00%)</t>
  </si>
  <si>
    <t>(AVGO, 3,812, 3.71%, 0.00%), (META, 1,354, 2.99%, 0.00%), (GOOGL, 3,629, 2.51%, 0.00%), (BRK/B, 1,575, 2.25%, 0.00%), (GOOG, 2,956, 2.04%, 0.00%), (CSCO, 9,565, 1.86%, 0.00%), (LIN, 1,353, 1.86%, 0.00%), (TSLA, 1,812, 1.82%, 0.00%), (JPM, 1,995, 1.72%, 0.00%), (AMT, 2,745, 1.55%, 0.00%), (XOM, 4,828, 1.54%, 0.00%), (V, 1,485, 1.48%, 0.00%), (LLY, 569, 1.23%, 0.00%), (CB, 1,515, 1.22%, 0.00%), (MA, 704, 1.19%, 0.00%), (GE, 1,413, 1.13%, 0.00%), (WM, 1,697, 1.08%, 0.00%), (UNH, 1,058, 1.04%, 0.00%), (ORCL, 1,421, 0.98%, 0.00%), (NFLX, 266, 0.97%, 0.00%), (JNJ, 1,738, 0.89%, 0.00%), (NEE, 4,360, 0.89%, 0.00%), (WMT, 2,892, 0.85%, 0.00%), (PG, 1,828, 0.84%, 0.00%), (PLTR, 1,813, 0.84%, 0.00%), (COST, 295, 0.83%, 0.00%), (CVX, 1,836, 0.82%, 0.00%), (HD, 654, 0.79%, 0.00%), (MCD, 864, 0.78%, 0.00%), (ABBV, 1,275, 0.78%, 0.00%), (ABT, 2,004, 0.77%, 0.00%), (RTX, 1,737, 0.76%, 0.00%), (CAT, 630, 0.76%, 0.00%), (BAC, 4,730, 0.69%, 0.00%), (KO, 3,306, 0.65%, 0.00%), (BA, 976, 0.65%, 0.00%), (BKNG, 40, 0.65%, 0.00%), (PM, 1,326, 0.63%, 0.00%), (CRM, 845, 0.61%, 0.00%), (SO, 2,323, 0.61%, 0.00%), (IBM, 818, 0.60%, 0.00%), (NKE, 2,824, 0.60%, 0.00%), (AMD, 1,324, 0.59%, 0.00%), (GS, 270, 0.59%, 0.00%), (UBER, 2,102, 0.57%, 0.00%), (DUK, 1,638, 0.57%, 0.00%), (ISRG, 409, 0.55%, 0.00%), (WFC, 2,359, 0.55%, 0.00%), (MET, 2,351, 0.54%, 0.00%), (HON, 849, 0.53%, 0.00%), (ETN, 516, 0.52%, 0.00%), (NOW, 182, 0.49%, 0.00%), (PEP, 1,170, 0.49%, 0.00%), (INTU, 248, 0.48%, 0.00%), (T, 5,629, 0.48%, 0.00%), (MS, 1,066, 0.47%, 0.00%), (DE, 332, 0.46%, 0.00%), (AXP, 478, 0.45%, 0.00%), (MRK, 1,826, 0.45%, 0.00%), (SPGI, 273, 0.43%, 0.00%), (QCOM, 912, 0.42%, 0.00%), (VZ, 3,302, 0.42%, 0.00%), (ACN, 553, 0.40%, 0.00%), (BLK, 125, 0.40%, 0.00%), (MDT, 1,474, 0.40%, 0.00%), (TXN, 744, 0.40%, 0.00%), (ADBE, 389, 0.39%, 0.00%), (TMO, 276, 0.39%, 0.00%), (DIS, 1,131, 0.38%, 0.00%), (UNP, 605, 0.38%, 0.00%), (COP, 1,421, 0.38%, 0.00%), (C, 1,340, 0.38%, 0.00%), (LMT, 275, 0.36%, 0.00%), (SCHW, 1,285, 0.35%, 0.00%), (SBUX, 1,366, 0.33%, 0.00%), (AMAT, 673, 0.32%, 0.00%), (MMM, 715, 0.32%, 0.00%), (AMGN, 388, 0.31%, 0.00%), (TJX, 742, 0.30%, 0.00%), (GILD, 899, 0.30%, 0.00%), (CVS, 1,446, 0.30%, 0.00%), (PFE, 4,090, 0.29%, 0.00%), (LOW, 373, 0.29%, 0.00%), (EMR, 744, 0.28%, 0.00%), (MO, 1,445, 0.28%, 0.00%), (DHR, 464, 0.26%, 0.00%), (INTC, 3,520, 0.25%, 0.00%), (ELV, 267, 0.24%, 0.00%), (CMCSA, 2,371, 0.23%, 0.00%), (MDLZ, 1,140, 0.21%, 0.00%), (BMY, 1,464, 0.20%, 0.00%), (UPS, 730, 0.18%, 0.00%), (PYPL, 862, 0.17%, 0.00%), (USB, 1,105, 0.16%, 0.00%), (CL, 634, 0.15%, 0.00%), (FDX, 224, 0.15%, 0.00%), (TGT, 307, 0.08%, 0.00%), (SC31761B, nan, nan%, 0.00%), (SC31763B, nan, nan%, 0.00%), (SP31762B, nan, nan%, 0.00%), (SP31765B, nan, nan%, 0.00%), (SP31764B, nan, nan%, 0.00%), (XP31765B, nan, nan%, 0.00%)</t>
  </si>
  <si>
    <t>(AVGO, 2,513, 3.61%, 0.00%), (META, 893, 2.91%, 0.00%), (GOOGL, 2,392, 2.44%, 0.00%), (BRK/B, 1,038, 2.19%, 0.00%), (GOOG, 1,949, 1.99%, 0.00%), (CSCO, 6,305, 1.81%, 0.00%), (LIN, 892, 1.81%, 0.00%), (TSLA, 1,194, 1.77%, 0.00%), (JPM, 1,315, 1.67%, 0.00%), (AMT, 1,810, 1.51%, 0.00%), (XOM, 3,183, 1.50%, 0.00%), (V, 979, 1.44%, 0.00%), (LLY, 375, 1.20%, 0.00%), (CB, 999, 1.19%, 0.00%), (MA, 464, 1.16%, 0.00%), (GE, 931, 1.10%, 0.00%), (WM, 1,119, 1.05%, 0.00%), (UNH, 697, 1.01%, 0.00%), (ORCL, 937, 0.95%, 0.00%), (NFLX, 175, 0.94%, 0.00%), (JNJ, 1,145, 0.87%, 0.00%), (NEE, 2,874, 0.86%, 0.00%), (WMT, 1,907, 0.83%, 0.00%), (PG, 1,205, 0.82%, 0.00%), (PLTR, 1,195, 0.82%, 0.00%), (COST, 195, 0.81%, 0.00%), (CVX, 1,210, 0.80%, 0.00%), (HD, 431, 0.77%, 0.00%), (MCD, 569, 0.76%, 0.00%), (ABBV, 841, 0.76%, 0.00%), (ABT, 1,321, 0.75%, 0.00%), (RTX, 1,145, 0.74%, 0.00%), (CAT, 415, 0.74%, 0.00%), (BAC, 3,118, 0.67%, 0.00%), (KO, 2,179, 0.63%, 0.00%), (BA, 643, 0.63%, 0.00%), (BKNG, 26, 0.62%, 0.00%), (PM, 874, 0.61%, 0.00%), (CRM, 557, 0.60%, 0.00%), (SO, 1,531, 0.60%, 0.00%), (IBM, 539, 0.59%, 0.00%), (NKE, 1,862, 0.59%, 0.00%), (AMD, 873, 0.58%, 0.00%), (GS, 178, 0.57%, 0.00%), (UBER, 1,385, 0.56%, 0.00%), (DUK, 1,080, 0.56%, 0.00%), (ISRG, 270, 0.54%, 0.00%), (WFC, 1,555, 0.53%, 0.00%), (MET, 1,550, 0.53%, 0.00%), (HON, 560, 0.51%, 0.00%), (ETN, 340, 0.51%, 0.00%), (NOW, 120, 0.48%, 0.00%), (PEP, 771, 0.47%, 0.00%), (INTU, 163, 0.47%, 0.00%), (T, 3,710, 0.47%, 0.00%), (MS, 703, 0.46%, 0.00%), (DE, 219, 0.44%, 0.00%), (AXP, 315, 0.44%, 0.00%), (MRK, 1,203, 0.43%, 0.00%), (SPGI, 180, 0.42%, 0.00%), (QCOM, 601, 0.41%, 0.00%), (VZ, 2,177, 0.41%, 0.00%), (ACN, 364, 0.39%, 0.00%), (MDT, 971, 0.39%, 0.00%), (TXN, 491, 0.39%, 0.00%), (BLK, 82, 0.39%, 0.00%), (ADBE, 257, 0.38%, 0.00%), (DIS, 746, 0.37%, 0.00%), (TMO, 182, 0.37%, 0.00%), (UNP, 399, 0.37%, 0.00%), (COP, 937, 0.37%, 0.00%), (C, 883, 0.37%, 0.00%), (LMT, 182, 0.36%, 0.00%), (SCHW, 847, 0.34%, 0.00%), (SBUX, 901, 0.32%, 0.00%), (AMAT, 444, 0.31%, 0.00%), (MMM, 471, 0.31%, 0.00%), (AMGN, 256, 0.31%, 0.00%), (GILD, 593, 0.29%, 0.00%), (TJX, 489, 0.29%, 0.00%), (CVS, 953, 0.29%, 0.00%), (PFE, 2,696, 0.29%, 0.00%), (LOW, 246, 0.28%, 0.00%), (EMR, 491, 0.28%, 0.00%), (MO, 953, 0.27%, 0.00%), (DHR, 306, 0.25%, 0.00%), (INTC, 2,320, 0.24%, 0.00%), (ELV, 176, 0.24%, 0.00%), (CMCSA, 1,563, 0.23%, 0.00%), (MDLZ, 752, 0.20%, 0.00%), (BMY, 965, 0.19%, 0.00%), (UPS, 481, 0.17%, 0.00%), (PYPL, 568, 0.16%, 0.00%), (USB, 729, 0.15%, 0.00%), (CL, 418, 0.15%, 0.00%), (FDX, 148, 0.14%, 0.00%), (TGT, 202, 0.08%, 0.00%), (SC9061B, nan, nan%, 0.00%), (SC9063B, nan, nan%, 0.00%), (SP9062B, nan, nan%, 0.00%), (SP9065B, nan, nan%, 0.00%), (SP9064B, nan, nan%, 0.00%), (XP9065B, nan, nan%, 0.00%)</t>
  </si>
  <si>
    <t>(META, 856, 2.65%, 0.00%), (GOOGL, 2,294, 2.22%, 0.00%), (BRK/B, 996, 1.99%, 0.00%), (GOOG, 1,869, 1.81%, 0.00%), (CSCO, 6,046, 1.65%, 0.00%), (LIN, 855, 1.64%, 0.00%), (TSLA, 1,145, 1.61%, 0.00%), (JPM, 1,261, 1.52%, 0.00%), (AMT, 1,735, 1.37%, 0.00%), (XOM, 3,052, 1.37%, 0.00%), (V, 939, 1.31%, 0.00%), (LLY, 359, 1.09%, 0.00%), (CB, 958, 1.08%, 0.00%), (MA, 445, 1.05%, 0.00%), (GE, 893, 1.00%, 0.00%), (WM, 1,073, 0.96%, 0.00%), (UNH, 669, 0.92%, 0.00%), (ORCL, 898, 0.87%, 0.00%), (NFLX, 168, 0.86%, 0.00%), (JNJ, 1,098, 0.79%, 0.00%), (NEE, 2,756, 0.78%, 0.00%), (WMT, 1,828, 0.75%, 0.00%), (PG, 1,156, 0.75%, 0.00%), (PLTR, 1,146, 0.75%, 0.00%), (COST, 187, 0.74%, 0.00%), (CVX, 1,161, 0.73%, 0.00%), (HD, 413, 0.70%, 0.00%), (MCD, 546, 0.69%, 0.00%), (ABBV, 806, 0.69%, 0.00%), (ABT, 1,267, 0.68%, 0.00%), (RTX, 1,098, 0.68%, 0.00%), (CAT, 398, 0.68%, 0.00%), (BAC, 2,990, 0.61%, 0.00%), (KO, 2,090, 0.58%, 0.00%), (BA, 617, 0.57%, 0.00%), (BKNG, 25, 0.57%, 0.00%), (PM, 838, 0.56%, 0.00%), (CRM, 534, 0.55%, 0.00%), (SO, 1,468, 0.54%, 0.00%), (IBM, 517, 0.54%, 0.00%), (NKE, 1,785, 0.53%, 0.00%), (GS, 171, 0.53%, 0.00%), (AMD, 837, 0.53%, 0.00%), (UBER, 1,329, 0.51%, 0.00%), (DUK, 1,035, 0.51%, 0.00%), (ISRG, 259, 0.49%, 0.00%), (WFC, 1,491, 0.49%, 0.00%), (MET, 1,486, 0.48%, 0.00%), (HON, 537, 0.47%, 0.00%), (ETN, 326, 0.46%, 0.00%), (NOW, 115, 0.44%, 0.00%), (PEP, 739, 0.43%, 0.00%), (INTU, 157, 0.43%, 0.00%), (T, 3,558, 0.42%, 0.00%), (MS, 674, 0.41%, 0.00%), (DE, 210, 0.40%, 0.00%), (AXP, 302, 0.40%, 0.00%), (MRK, 1,154, 0.40%, 0.00%), (SPGI, 172, 0.38%, 0.00%), (QCOM, 576, 0.37%, 0.00%), (VZ, 2,087, 0.37%, 0.00%), (ACN, 349, 0.36%, 0.00%), (MDT, 932, 0.36%, 0.00%), (BLK, 79, 0.35%, 0.00%), (TXN, 471, 0.35%, 0.00%), (ADBE, 246, 0.35%, 0.00%), (TMO, 174, 0.34%, 0.00%), (DIS, 715, 0.34%, 0.00%), (UNP, 383, 0.34%, 0.00%), (COP, 898, 0.33%, 0.00%), (C, 847, 0.33%, 0.00%), (LMT, 174, 0.32%, 0.00%), (SCHW, 812, 0.31%, 0.00%), (SBUX, 864, 0.29%, 0.00%), (AMAT, 425, 0.28%, 0.00%), (MMM, 452, 0.28%, 0.00%), (AMGN, 245, 0.28%, 0.00%), (GILD, 569, 0.27%, 0.00%), (TJX, 469, 0.27%, 0.00%), (CVS, 914, 0.27%, 0.00%), (PFE, 2,585, 0.26%, 0.00%), (LOW, 236, 0.26%, 0.00%), (EMR, 470, 0.25%, 0.00%), (MO, 913, 0.25%, 0.00%), (DHR, 293, 0.23%, 0.00%), (INTC, 2,225, 0.22%, 0.00%), (ELV, 168, 0.22%,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</si>
  <si>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3.50%, 0.00%), (META, 567, 2.82%, 0.00%), (GOOGL, 1,521, 2.37%, 0.00%), (BRK/B, 660, 2.13%, 0.00%), (GOOG, 1,239, 1.93%, 0.00%), (CSCO, 4,008, 1.76%, 0.00%), (LIN, 567, 1.76%, 0.00%), (TSLA, 759, 1.72%, 0.00%), (JPM, 836, 1.62%, 0.00%), (AMT, 1,150, 1.46%, 0.00%), (XOM, 2,023, 1.46%, 0.00%), (V, 622, 1.39%, 0.00%), (LLY, 239, 1.16%, 0.00%), (CB, 635, 1.15%, 0.00%), (MA, 295, 1.12%, 0.00%), (GE, 592, 1.07%, 0.00%), (WM, 711, 1.02%, 0.00%), (UNH, 443, 0.99%, 0.00%), (ORCL, 595, 0.92%, 0.00%), (NFLX, 111, 0.92%, 0.00%), (JNJ, 728, 0.84%, 0.00%), (NEE, 1,827, 0.84%, 0.00%), (WMT, 1,212, 0.81%, 0.00%), (PG, 766, 0.80%, 0.00%), (PLTR, 759, 0.80%, 0.00%), (COST, 124, 0.79%, 0.00%), (CVX, 769, 0.78%, 0.00%), (HD, 274, 0.74%, 0.00%), (MCD, 362, 0.74%, 0.00%), (ABBV, 534, 0.73%, 0.00%), (ABT, 839, 0.72%, 0.00%), (RTX, 728, 0.72%, 0.00%), (CAT, 264, 0.72%, 0.00%), (BAC, 1,982, 0.65%, 0.00%), (BKNG, 17, 0.62%, 0.00%), (KO, 1,385, 0.61%, 0.00%), (BA, 409, 0.61%, 0.00%), (PM, 555, 0.60%, 0.00%), (CRM, 354, 0.58%, 0.00%), (SO, 973, 0.58%, 0.00%), (IBM, 343, 0.57%, 0.00%), (NKE, 1,183, 0.57%, 0.00%), (GS, 113, 0.56%, 0.00%), (AMD, 555, 0.56%, 0.00%), (UBER, 881, 0.54%, 0.00%), (DUK, 686, 0.54%, 0.00%), (ISRG, 171, 0.52%, 0.00%), (WFC, 988, 0.52%, 0.00%), (MET, 985, 0.51%, 0.00%), (HON, 356, 0.50%, 0.00%), (ETN, 216, 0.49%, 0.00%), (NOW, 76, 0.46%, 0.00%), (PEP, 490, 0.46%, 0.00%), (INTU, 104, 0.46%, 0.00%), (T, 2,358, 0.45%, 0.00%), (MS, 447, 0.44%, 0.00%), (DE, 139, 0.43%, 0.00%), (AXP, 200, 0.42%, 0.00%), (MRK, 765, 0.42%, 0.00%), (SPGI, 114, 0.41%, 0.00%), (QCOM, 382, 0.40%, 0.00%), (VZ, 1,384, 0.39%, 0.00%), (ACN, 232, 0.38%, 0.00%), (MDT, 617, 0.38%, 0.00%), (ADBE, 163, 0.38%, 0.00%), (TXN, 312, 0.38%, 0.00%), (BLK, 52, 0.38%, 0.00%), (TMO, 116, 0.37%, 0.00%), (DIS, 473, 0.36%, 0.00%), (UNP, 254, 0.36%, 0.00%), (COP, 595, 0.36%, 0.00%), (C, 561, 0.36%, 0.00%), (LMT, 115, 0.34%, 0.00%), (SCHW, 538, 0.33%, 0.00%), (SBUX, 572, 0.31%, 0.00%), (AMAT, 282, 0.30%, 0.00%), (MMM, 299, 0.30%, 0.00%), (AMGN, 163, 0.30%, 0.00%), (GILD, 377, 0.28%, 0.00%), (TJX, 311, 0.28%, 0.00%), (CVS, 606, 0.28%, 0.00%), (PFE, 1,713, 0.28%, 0.00%), (LOW, 156, 0.27%, 0.00%), (EMR, 312, 0.27%, 0.00%), (MO, 605, 0.26%, 0.00%), (DHR, 194, 0.25%, 0.00%), (INTC, 1,475, 0.23%,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</si>
  <si>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5,901, 2.70%, 0.00%), (GOOGL, 15,816, 2.26%, 0.00%), (BRK/B, 6,865, 2.03%, 0.00%), (GOOG, 12,883, 1.84%, 0.00%), (CSCO, 41,685, 1.68%, 0.00%), (LIN, 5,898, 1.68%, 0.00%), (TSLA, 7,896, 1.64%, 0.00%), (JPM, 8,693, 1.55%, 0.00%), (AMT, 11,965, 1.40%, 0.00%), (XOM, 21,043, 1.39%, 0.00%), (V, 6,473, 1.33%, 0.00%), (LLY, 2,478, 1.11%, 0.00%), (CB, 6,603, 1.10%, 0.00%), (MA, 3,070, 1.07%, 0.00%), (GE, 6,157, 1.02%, 0.00%), (WM, 7,396, 0.97%, 0.00%), (UNH, 4,609, 0.94%, 0.00%), (ORCL, 6,194, 0.88%, 0.00%), (NFLX, 1,157, 0.87%, 0.00%), (JNJ, 7,572, 0.80%, 0.00%), (NEE, 19,000, 0.80%, 0.00%), (WMT, 12,605, 0.77%, 0.00%), (PG, 7,967, 0.76%, 0.00%), (PLTR, 7,899, 0.76%, 0.00%), (COST, 1,287, 0.75%, 0.00%), (CVX, 8,002, 0.74%, 0.00%), (HD, 2,849, 0.71%, 0.00%), (MCD, 3,765, 0.71%, 0.00%), (ABBV, 5,558, 0.70%, 0.00%), (ABT, 8,735, 0.69%, 0.00%), (RTX, 7,572, 0.69%, 0.00%), (CAT, 2,747, 0.69%, 0.00%), (BAC, 20,612, 0.62%, 0.00%), (KO, 14,406, 0.59%, 0.00%), (BA, 4,253, 0.58%, 0.00%), (BKNG, 174, 0.58%, 0.00%), (PM, 5,777, 0.57%, 0.00%), (CRM, 3,684, 0.56%, 0.00%), (SO, 10,124, 0.55%, 0.00%), (IBM, 3,563, 0.55%, 0.00%), (NKE, 12,307, 0.54%, 0.00%), (AMD, 5,772, 0.54%, 0.00%), (GS, 1,176, 0.53%, 0.00%), (UBER, 9,160, 0.52%, 0.00%), (DUK, 7,137, 0.52%, 0.00%), (ISRG, 1,784, 0.50%, 0.00%), (WFC, 10,281, 0.50%, 0.00%), (MET, 10,245, 0.49%, 0.00%), (HON, 3,699, 0.48%, 0.00%), (ETN, 2,248, 0.47%, 0.00%), (NOW, 794, 0.44%, 0.00%), (PEP, 5,098, 0.44%, 0.00%), (INTU, 1,080, 0.43%, 0.00%), (T, 24,531, 0.43%, 0.00%), (MS, 4,646, 0.42%, 0.00%), (DE, 1,447, 0.41%, 0.00%), (AXP, 2,084, 0.41%, 0.00%), (MRK, 7,956, 0.40%, 0.00%), (SPGI, 1,189, 0.39%, 0.00%), (QCOM, 3,973, 0.38%, 0.00%), (VZ, 14,392, 0.38%, 0.00%), (ACN, 2,408, 0.36%, 0.00%), (MDT, 6,423, 0.36%, 0.00%), (BLK, 545, 0.36%, 0.00%), (TXN, 3,244, 0.36%, 0.00%), (ADBE, 1,696, 0.36%, 0.00%), (TMO, 1,203, 0.35%, 0.00%), (DIS, 4,929, 0.35%, 0.00%), (UNP, 2,637, 0.34%, 0.00%), (COP, 6,193, 0.34%, 0.00%), (C, 5,840, 0.34%, 0.00%), (LMT, 1,200, 0.33%, 0.00%), (SCHW, 5,599, 0.31%, 0.00%), (SBUX, 5,955, 0.30%, 0.00%), (AMAT, 2,932, 0.29%, 0.00%), (MMM, 3,115, 0.29%, 0.00%), (AMGN, 1,691, 0.28%, 0.00%), (GILD, 3,920, 0.27%, 0.00%), (TJX, 3,235, 0.27%, 0.00%), (CVS, 6,302, 0.27%, 0.00%), (PFE, 17,823, 0.26%, 0.00%), (LOW, 1,627, 0.26%, 0.00%), (EMR, 3,244, 0.26%, 0.00%), (MO, 6,298, 0.25%, 0.00%), (DHR, 2,022, 0.24%, 0.00%), (INTC, 15,340, 0.22%, 0.00%), (ELV, 1,162, 0.22%, 0.00%), (CMCSA, 10,332, 0.21%, 0.00%), (MDLZ, 4,969, 0.19%, 0.00%), (BMY, 6,379, 0.18%, 0.00%), (UPS, 3,181, 0.16%, 0.00%), (PYPL, 3,755, 0.15%, 0.00%), (USB, 4,817, 0.14%, 0.00%), (CL, 2,764, 0.14%, 0.00%), (FDX, 978, 0.13%, 0.00%), (TGT, 1,338, 0.07%, 0.00%), (SC26771B, nan, nan%, 0.00%), (SC26773B, nan, nan%, 0.00%), (SP26772B, nan, nan%, 0.00%), (SP26774B, nan, nan%, 0.00%), (SP26775T, nan, nan%, 0.00%), (XP26775T, nan, nan%, 0.00%)</t>
  </si>
  <si>
    <t>(AVGO, 14,382, 3.56%, 0.00%), (META, 5,109, 2.88%, 0.00%), (GOOGL, 13,694, 2.41%, 0.00%), (BRK/B, 5,944, 2.17%, 0.00%), (GOOG, 11,154, 1.97%, 0.00%), (CSCO, 36,091, 1.79%, 0.00%), (LIN, 5,106, 1.79%, 0.00%), (TSLA, 6,837, 1.75%, 0.00%), (JPM, 7,527, 1.65%, 0.00%), (AMT, 10,359, 1.49%, 0.00%), (XOM, 18,218, 1.48%, 0.00%), (V, 5,604, 1.42%, 0.00%), (LLY, 2,146, 1.18%, 0.00%), (CB, 5,717, 1.17%, 0.00%), (MA, 2,658, 1.15%, 0.00%), (GE, 5,331, 1.09%, 0.00%), (WM, 6,404, 1.04%, 0.00%), (UNH, 3,990, 1.00%, 0.00%), (ORCL, 5,362, 0.94%, 0.00%), (NFLX, 1,002, 0.93%, 0.00%), (JNJ, 6,556, 0.86%, 0.00%), (NEE, 16,450, 0.85%, 0.00%), (WMT, 10,913, 0.82%, 0.00%), (PG, 6,898, 0.81%, 0.00%), (PLTR, 6,839, 0.81%, 0.00%), (COST, 1,114, 0.80%, 0.00%), (CVX, 6,928, 0.79%, 0.00%), (HD, 2,466, 0.76%, 0.00%), (MCD, 3,259, 0.75%, 0.00%), (ABBV, 4,812, 0.75%, 0.00%), (ABT, 7,563, 0.74%, 0.00%), (RTX, 6,556, 0.74%, 0.00%), (CAT, 2,378, 0.74%, 0.00%), (BAC, 17,846, 0.66%, 0.00%), (KO, 12,473, 0.63%, 0.00%), (BA, 3,682, 0.62%, 0.00%), (BKNG, 151, 0.62%, 0.00%), (PM, 5,002, 0.61%, 0.00%), (CRM, 3,190, 0.59%, 0.00%), (SO, 8,765, 0.59%, 0.00%), (IBM, 3,085, 0.58%, 0.00%), (NKE, 10,655, 0.58%, 0.00%), (AMD, 4,997, 0.57%, 0.00%), (GS, 1,018, 0.57%, 0.00%), (UBER, 7,930, 0.55%, 0.00%), (DUK, 6,179, 0.55%, 0.00%), (ISRG, 1,544, 0.53%, 0.00%), (WFC, 8,901, 0.53%, 0.00%), (MET, 8,870, 0.52%, 0.00%), (HON, 3,203, 0.51%, 0.00%), (ETN, 1,946, 0.50%, 0.00%), (NOW, 687, 0.47%, 0.00%), (PEP, 4,414, 0.47%, 0.00%), (INTU, 935, 0.46%, 0.00%), (T, 21,239, 0.46%, 0.00%), (MS, 4,023, 0.45%, 0.00%), (DE, 1,253, 0.44%, 0.00%), (AXP, 1,805, 0.43%, 0.00%), (MRK, 6,888, 0.43%, 0.00%), (SPGI, 1,030, 0.42%, 0.00%), (QCOM, 3,440, 0.40%, 0.00%), (VZ, 12,461, 0.40%, 0.00%), (ACN, 2,085, 0.39%, 0.00%), (MDT, 5,561, 0.39%, 0.00%), (BLK, 472, 0.38%, 0.00%), (TXN, 2,809, 0.38%, 0.00%), (ADBE, 1,469, 0.38%, 0.00%), (TMO, 1,042, 0.37%, 0.00%), (DIS, 4,268, 0.37%, 0.00%), (UNP, 2,283, 0.36%, 0.00%), (COP, 5,362, 0.36%, 0.00%), (C, 5,056, 0.36%, 0.00%), (LMT, 1,039, 0.35%, 0.00%), (SCHW, 4,848, 0.33%, 0.00%), (SBUX, 5,156, 0.32%, 0.00%), (AMAT, 2,539, 0.31%, 0.00%), (MMM, 2,697, 0.30%, 0.00%), (AMGN, 1,464, 0.30%, 0.00%), (GILD, 3,394, 0.29%, 0.00%), (TJX, 2,800, 0.29%, 0.00%), (CVS, 5,456, 0.29%, 0.00%), (PFE, 15,431, 0.28%, 0.00%), (LOW, 1,409, 0.28%, 0.00%), (EMR, 2,808, 0.27%, 0.00%), (MO, 5,452, 0.27%, 0.00%), (DHR, 1,750, 0.25%, 0.00%), (INTC, 13,281, 0.24%, 0.00%), (ELV, 1,006, 0.23%, 0.00%), (CMCSA, 8,946, 0.22%, 0.00%), (MDLZ, 4,302, 0.20%, 0.00%), (BMY, 5,523, 0.19%, 0.00%), (UPS, 2,754, 0.17%, 0.00%), (PYPL, 3,251, 0.16%, 0.00%), (USB, 4,171, 0.15%, 0.00%), (CL, 2,393, 0.15%, 0.00%), (FDX, 847, 0.14%, 0.00%), (TGT, 1,158, 0.08%, 0.00%), (SC23471B, nan, nan%, 0.00%), (SC23473B, nan, nan%, 0.00%), (SP23472B, nan, nan%, 0.00%), (SP23475B, nan, nan%, 0.00%), (SP23474B, nan, nan%, 0.00%), (XP23475B, nan, nan%, 0.00%)</t>
  </si>
  <si>
    <t>(AVGO, 10,718, 3.56%, 0.00%), (META, 3,807, 2.87%, 0.00%), (GOOGL, 10,204, 2.41%, 0.00%), (BRK/B, 4,429, 2.16%, 0.00%), (GOOG, 8,312, 1.96%, 0.00%), (CSCO, 26,894, 1.79%, 0.00%), (LIN, 3,805, 1.79%, 0.00%), (TSLA, 5,095, 1.74%, 0.00%), (JPM, 5,609, 1.65%, 0.00%), (AMT, 7,719, 1.49%, 0.00%), (XOM, 13,576, 1.48%, 0.00%), (V, 4,176, 1.42%, 0.00%), (LLY, 1,608, 1.18%, 0.00%), (CB, 4,260, 1.17%, 0.00%), (MA, 1,981, 1.14%, 0.00%), (GE, 3,972, 1.09%, 0.00%), (WM, 4,772, 1.04%, 0.00%), (UNH, 2,974, 0.99%, 0.00%), (ORCL, 3,996, 0.94%, 0.00%), (NFLX, 747, 0.93%, 0.00%), (JNJ, 4,885, 0.86%, 0.00%), (NEE, 12,259, 0.85%, 0.00%), (WMT, 8,132, 0.82%, 0.00%), (PG, 5,140, 0.81%, 0.00%), (PLTR, 5,097, 0.81%, 0.00%), (COST, 830, 0.80%, 0.00%), (CVX, 5,163, 0.79%, 0.00%), (HD, 1,838, 0.76%, 0.00%), (MCD, 2,429, 0.75%, 0.00%), (ABBV, 3,586, 0.75%, 0.00%), (ABT, 5,635, 0.74%, 0.00%), (RTX, 4,885, 0.73%, 0.00%), (CAT, 1,772, 0.73%, 0.00%), (BAC, 13,299, 0.66%, 0.00%), (KO, 9,294, 0.62%, 0.00%), (BA, 2,744, 0.62%, 0.00%), (BKNG, 112, 0.62%, 0.00%), (PM, 3,727, 0.61%, 0.00%), (CRM, 2,377, 0.59%, 0.00%), (SO, 6,532, 0.59%, 0.00%), (IBM, 2,299, 0.58%, 0.00%), (NKE, 7,940, 0.58%, 0.00%), (GS, 759, 0.57%, 0.00%), (AMD, 3,724, 0.57%, 0.00%), (UBER, 5,910, 0.55%, 0.00%), (DUK, 4,605, 0.55%, 0.00%), (ISRG, 1,151, 0.53%, 0.00%), (WFC, 6,633, 0.53%, 0.00%), (MET, 6,610, 0.52%, 0.00%), (HON, 2,387, 0.51%, 0.00%), (ETN, 1,450, 0.50%, 0.00%), (NOW, 512, 0.47%, 0.00%), (PEP, 3,289, 0.47%, 0.00%), (INTU, 697, 0.46%, 0.00%), (T, 15,827, 0.46%, 0.00%), (MS, 2,998, 0.45%, 0.00%), (DE, 934, 0.44%, 0.00%), (AXP, 1,345, 0.43%, 0.00%), (MRK, 5,133, 0.43%, 0.00%), (SPGI, 767, 0.41%, 0.00%), (QCOM, 2,564, 0.40%, 0.00%), (VZ, 9,285, 0.40%, 0.00%), (ACN, 1,554, 0.39%, 0.00%), (MDT, 4,144, 0.38%, 0.00%), (BLK, 352, 0.38%, 0.00%), (TXN, 2,093, 0.38%, 0.00%), (ADBE, 1,094, 0.38%, 0.00%), (TMO, 776, 0.37%, 0.00%), (DIS, 3,180, 0.37%, 0.00%), (UNP, 1,701, 0.36%, 0.00%), (COP, 3,996, 0.36%, 0.00%), (C, 3,768, 0.36%, 0.00%), (LMT, 774, 0.35%, 0.00%), (SCHW, 3,612, 0.33%, 0.00%), (SBUX, 3,842, 0.32%, 0.00%), (AMAT, 1,892, 0.31%, 0.00%), (MMM, 1,999, 0.30%, 0.00%), (AMGN, 1,091, 0.30%, 0.00%), (GILD, 2,529, 0.29%, 0.00%), (TJX, 2,087, 0.29%, 0.00%), (CVS, 4,066, 0.29%, 0.00%), (PFE, 11,499, 0.28%, 0.00%), (LOW, 1,050, 0.28%, 0.00%), (EMR, 2,093, 0.27%, 0.00%), (MO, 4,063, 0.27%, 0.00%), (DHR, 1,304, 0.25%, 0.00%), (INTC, 9,897, 0.24%, 0.00%), (ELV, 749, 0.23%, 0.00%), (CMCSA, 6,666, 0.22%, 0.00%), (MDLZ, 3,206, 0.20%, 0.00%), (BMY, 4,115, 0.19%, 0.00%), (UPS, 2,053, 0.17%, 0.00%), (PYPL, 2,423, 0.16%, 0.00%), (USB, 3,108, 0.15%, 0.00%), (CL, 1,783, 0.15%, 0.00%), (FDX, 631, 0.14%, 0.00%), (TGT, 863, 0.08%, 0.00%), (SC22171B, nan, nan%, 0.00%), (SC22173B, nan, nan%, 0.00%), (SP22172B, nan, nan%, 0.00%), (SP22175B, nan, nan%, 0.00%), (SP22174B, nan, nan%, 0.00%), (XP22175B, nan, nan%, 0.00%)</t>
  </si>
  <si>
    <t>(AVGO, 4,065, 3.39%, 0.00%), (META, 1,444, 2.74%, 0.00%), (GOOGL, 3,870, 2.30%, 0.00%), (BRK/B, 1,680, 2.06%, 0.00%), (GOOG, 3,153, 1.87%, 0.00%), (CSCO, 10,201, 1.71%, 0.00%), (LIN, 1,443, 1.70%, 0.00%), (TSLA, 1,932, 1.66%, 0.00%), (JPM, 2,127, 1.57%, 0.00%), (AMT, 2,928, 1.42%, 0.00%), (XOM, 5,149, 1.41%, 0.00%), (V, 1,584, 1.35%, 0.00%), (LLY, 606, 1.12%, 0.00%), (CB, 1,616, 1.11%, 0.00%), (MA, 751, 1.09%, 0.00%), (GE, 1,507, 1.03%, 0.00%), (WM, 1,810, 0.99%, 0.00%), (UNH, 1,128, 0.95%, 0.00%), (ORCL, 1,516, 0.90%, 0.00%), (NFLX, 283, 0.88%, 0.00%), (JNJ, 1,853, 0.82%, 0.00%), (NEE, 4,650, 0.81%, 0.00%), (WMT, 3,085, 0.78%, 0.00%), (PG, 1,950, 0.77%, 0.00%), (PLTR, 1,933, 0.77%, 0.00%), (COST, 315, 0.76%, 0.00%), (CVX, 1,958, 0.75%, 0.00%), (HD, 697, 0.72%, 0.00%), (MCD, 921, 0.72%, 0.00%), (ABBV, 1,360, 0.71%, 0.00%), (ABT, 2,135, 0.70%, 0.00%), (RTX, 1,853, 0.70%, 0.00%), (CAT, 672, 0.70%, 0.00%), (BAC, 5,044, 0.63%, 0.00%), (BKNG, 43, 0.60%, 0.00%), (KO, 3,525, 0.59%, 0.00%), (BA, 1,041, 0.59%, 0.00%), (PM, 1,414, 0.58%, 0.00%), (CRM, 902, 0.56%, 0.00%), (SO, 2,477, 0.56%, 0.00%), (IBM, 872, 0.56%, 0.00%), (NKE, 3,012, 0.55%, 0.00%), (AMD, 1,412, 0.54%, 0.00%), (GS, 288, 0.54%, 0.00%), (UBER, 2,242, 0.53%, 0.00%), (DUK, 1,747, 0.52%, 0.00%), (ISRG, 437, 0.51%, 0.00%), (WFC, 2,516, 0.50%, 0.00%), (MET, 2,507, 0.49%, 0.00%), (HON, 905, 0.48%, 0.00%), (ETN, 550, 0.48%, 0.00%), (NOW, 194, 0.45%, 0.00%), (PEP, 1,248, 0.44%, 0.00%), (INTU, 264, 0.44%, 0.00%), (T, 6,003, 0.44%, 0.00%), (MS, 1,137, 0.43%, 0.00%), (DE, 354, 0.42%, 0.00%), (AXP, 510, 0.41%, 0.00%), (MRK, 1,947, 0.41%, 0.00%), (SPGI, 291, 0.39%, 0.00%), (QCOM, 971, 0.38%, 0.00%), (VZ, 3,522, 0.38%, 0.00%), (ACN, 589, 0.37%, 0.00%), (MDT, 1,572, 0.37%, 0.00%), (BLK, 133, 0.37%, 0.00%), (TXN, 794, 0.37%, 0.00%), (ADBE, 415, 0.36%, 0.00%), (TMO, 294, 0.35%, 0.00%), (DIS, 1,205, 0.35%, 0.00%), (UNP, 645, 0.35%, 0.00%), (COP, 1,516, 0.35%, 0.00%), (C, 1,429, 0.34%, 0.00%), (LMT, 294, 0.33%, 0.00%), (SCHW, 1,370, 0.32%, 0.00%), (SBUX, 1,457, 0.30%, 0.00%), (AMAT, 718, 0.29%, 0.00%), (MMM, 758, 0.29%, 0.00%), (AMGN, 414, 0.29%, 0.00%), (GILD, 959, 0.28%, 0.00%), (TJX, 792, 0.28%, 0.00%), (CVS, 1,542, 0.27%, 0.00%), (PFE, 4,362, 0.27%, 0.00%), (LOW, 398, 0.27%, 0.00%), (EMR, 794, 0.26%,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</si>
  <si>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3.43%, 0.00%), (META, 1,571, 2.77%, 0.00%), (GOOGL, 4,209, 2.32%, 0.00%), (BRK/B, 1,827, 2.08%, 0.00%), (GOOG, 3,429, 1.89%, 0.00%), (CSCO, 11,094, 1.72%, 0.00%), (LIN, 1,570, 1.72%, 0.00%), (TSLA, 2,102, 1.68%, 0.00%), (JPM, 2,314, 1.59%, 0.00%), (AMT, 3,184, 1.43%, 0.00%), (XOM, 5,600, 1.43%, 0.00%), (V, 1,723, 1.37%, 0.00%), (LLY, 662, 1.14%, 0.00%), (CB, 1,757, 1.13%, 0.00%), (MA, 817, 1.10%, 0.00%), (GE, 1,639, 1.05%, 0.00%), (WM, 1,969, 1.00%, 0.00%), (UNH, 1,227, 0.96%, 0.00%), (ORCL, 1,648, 0.91%, 0.00%), (NFLX, 308, 0.89%, 0.00%), (JNJ, 2,015, 0.82%, 0.00%), (NEE, 5,057, 0.82%, 0.00%), (WMT, 3,355, 0.79%, 0.00%), (PG, 2,120, 0.78%, 0.00%), (PLTR, 2,102, 0.78%, 0.00%), (COST, 342, 0.77%, 0.00%), (CVX, 2,130, 0.76%, 0.00%), (HD, 758, 0.73%, 0.00%), (MCD, 1,002, 0.72%, 0.00%), (ABBV, 1,479, 0.72%, 0.00%), (ABT, 2,322, 0.71%, 0.00%), (RTX, 2,015, 0.71%, 0.00%), (CAT, 731, 0.71%, 0.00%), (BAC, 5,486, 0.63%, 0.00%), (KO, 3,834, 0.60%, 0.00%), (BA, 1,132, 0.60%, 0.00%), (BKNG, 46, 0.59%, 0.00%), (PM, 1,538, 0.58%, 0.00%), (CRM, 981, 0.57%, 0.00%), (SO, 2,694, 0.57%, 0.00%), (IBM, 948, 0.56%, 0.00%), (NKE, 3,276, 0.56%, 0.00%), (AMD, 1,536, 0.55%, 0.00%), (GS, 313, 0.55%, 0.00%), (UBER, 2,438, 0.53%, 0.00%), (DUK, 1,900, 0.53%, 0.00%), (ISRG, 475, 0.51%, 0.00%), (WFC, 2,736, 0.51%, 0.00%), (MET, 2,727, 0.50%, 0.00%), (HON, 985, 0.49%, 0.00%), (ETN, 598, 0.48%, 0.00%), (NOW, 211, 0.45%, 0.00%), (PEP, 1,357, 0.45%, 0.00%), (INTU, 287, 0.44%, 0.00%), (T, 6,529, 0.44%, 0.00%), (MS, 1,237, 0.43%, 0.00%), (DE, 385, 0.42%, 0.00%), (AXP, 555, 0.42%, 0.00%), (MRK, 2,117, 0.41%, 0.00%), (SPGI, 316, 0.40%, 0.00%), (QCOM, 1,056, 0.39%, 0.00%), (VZ, 3,830, 0.39%, 0.00%), (ACN, 641, 0.37%, 0.00%), (BLK, 145, 0.37%, 0.00%), (MDT, 1,709, 0.37%, 0.00%), (TXN, 864, 0.37%, 0.00%), (ADBE, 451, 0.37%, 0.00%), (TMO, 320, 0.36%, 0.00%), (DIS, 1,310, 0.36%, 0.00%), (UNP, 702, 0.35%, 0.00%), (COP, 1,648, 0.35%, 0.00%), (C, 1,554, 0.35%, 0.00%), (LMT, 319, 0.34%, 0.00%), (SCHW, 1,490, 0.32%, 0.00%), (SBUX, 1,585, 0.31%, 0.00%), (AMAT, 780, 0.29%, 0.00%), (MMM, 828, 0.29%, 0.00%), (AMGN, 450, 0.29%, 0.00%), (GILD, 1,043, 0.28%, 0.00%), (TJX, 861, 0.28%, 0.00%), (CVS, 1,677, 0.28%, 0.00%), (PFE, 4,744, 0.27%, 0.00%), (LOW, 433, 0.27%, 0.00%), (EMR, 863, 0.26%, 0.00%), (MO, 1,676, 0.26%, 0.00%), (DHR, 538, 0.24%, 0.00%), (INTC, 4,083, 0.23%, 0.00%), (ELV, 309, 0.23%, 0.00%), (CMCSA, 2,750, 0.21%, 0.00%), (MDLZ, 1,322, 0.19%, 0.00%), (BMY, 1,698, 0.18%, 0.00%), (UPS, 847, 0.17%, 0.00%), (PYPL, 999, 0.16%,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</si>
  <si>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3.55%, 0.00%), (META, 2,952, 2.87%, 0.00%), (GOOGL, 7,913, 2.40%, 0.00%), (BRK/B, 3,435, 2.16%, 0.00%), (GOOG, 6,445, 1.96%, 0.00%), (CSCO, 20,854, 1.79%, 0.00%), (LIN, 2,950, 1.78%, 0.00%), (TSLA, 3,950, 1.74%, 0.00%), (JPM, 4,349, 1.65%, 0.00%), (AMT, 5,986, 1.49%, 0.00%), (XOM, 10,527, 1.48%, 0.00%), (V, 3,238, 1.42%, 0.00%), (LLY, 1,240, 1.18%, 0.00%), (CB, 3,303, 1.17%, 0.00%), (MA, 1,536, 1.14%, 0.00%), (GE, 3,080, 1.08%, 0.00%), (WM, 3,700, 1.03%, 0.00%), (UNH, 2,306, 1.00%, 0.00%), (ORCL, 3,099, 0.94%, 0.00%), (NFLX, 579, 0.93%, 0.00%), (JNJ, 3,788, 0.85%, 0.00%), (NEE, 9,505, 0.85%, 0.00%), (WMT, 6,306, 0.82%, 0.00%), (PG, 3,986, 0.81%, 0.00%), (PLTR, 3,952, 0.81%, 0.00%), (COST, 644, 0.80%, 0.00%), (CVX, 4,003, 0.79%, 0.00%), (HD, 1,425, 0.75%, 0.00%), (MCD, 1,883, 0.75%, 0.00%), (ABBV, 2,780, 0.75%, 0.00%), (ABT, 4,366, 0.73%, 0.00%), (RTX, 3,788, 0.73%, 0.00%), (CAT, 1,374, 0.73%, 0.00%), (BAC, 10,312, 0.66%, 0.00%), (KO, 7,207, 0.62%, 0.00%), (BA, 2,128, 0.62%, 0.00%), (BKNG, 87, 0.62%, 0.00%), (PM, 2,890, 0.60%, 0.00%), (CRM, 1,843, 0.59%, 0.00%), (SO, 5,065, 0.59%, 0.00%), (IBM, 1,783, 0.58%, 0.00%), (NKE, 6,157, 0.58%, 0.00%), (AMD, 2,888, 0.57%, 0.00%), (GS, 588, 0.57%, 0.00%), (UBER, 4,582, 0.55%, 0.00%), (DUK, 3,571, 0.55%, 0.00%), (ISRG, 892, 0.53%, 0.00%), (WFC, 5,143, 0.53%, 0.00%), (MET, 5,125, 0.52%, 0.00%), (HON, 1,851, 0.50%, 0.00%), (ETN, 1,125, 0.50%, 0.00%), (NOW, 397, 0.47%, 0.00%), (PEP, 2,550, 0.47%, 0.00%), (INTU, 540, 0.46%, 0.00%), (T, 12,272, 0.46%, 0.00%), (MS, 2,324, 0.45%, 0.00%), (DE, 724, 0.44%, 0.00%), (AXP, 1,043, 0.43%, 0.00%), (MRK, 3,980, 0.43%, 0.00%), (SPGI, 595, 0.41%, 0.00%), (QCOM, 1,986, 0.40%, 0.00%), (VZ, 7,200, 0.40%, 0.00%), (ACN, 1,205, 0.39%, 0.00%), (MDT, 3,213, 0.38%, 0.00%), (BLK, 273, 0.38%, 0.00%), (TXN, 1,623, 0.38%, 0.00%), (ADBE, 849, 0.38%, 0.00%), (TMO, 602, 0.37%, 0.00%), (DIS, 2,464, 0.37%, 0.00%), (UNP, 1,319, 0.36%, 0.00%), (COP, 3,098, 0.36%, 0.00%), (C, 2,922, 0.36%, 0.00%), (LMT, 600, 0.35%, 0.00%), (SCHW, 2,801, 0.33%, 0.00%), (SBUX, 2,979, 0.32%, 0.00%), (AMAT, 1,467, 0.30%, 0.00%), (MMM, 1,557, 0.30%, 0.00%), (AMGN, 846, 0.30%, 0.00%), (GILD, 1,961, 0.29%, 0.00%), (TJX, 1,618, 0.29%, 0.00%), (CVS, 3,153, 0.29%, 0.00%), (PFE, 8,916, 0.28%, 0.00%), (LOW, 814, 0.28%, 0.00%), (EMR, 1,623, 0.27%, 0.00%), (MO, 3,151, 0.27%, 0.00%), (DHR, 1,011, 0.25%,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</si>
  <si>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META, MLI, JPM, MSFT, PHM, EA, EWBC, RJF</t>
  </si>
  <si>
    <t>(BLK, 962, 1.95%, 0.00%), (BKNG, 193, 1.94%, 0.00%), (AXP, 3,229, 1.92%, 0.00%), (HIG, 7,666, 1.85%, 0.00%), (TRV, 3,642, 1.82%, 0.00%), (V, 2,863, 1.78%, 0.00%), (ROST, 6,378, 1.75%, 0.00%), (UNM, 12,879, 1.75%, 0.01%), (NVDA, 5,349, 1.74%, 0.00%), (KLAC, 1,013, 1.74%, 0.00%), (SNA, 2,855, 1.70%, 0.01%), (LEN, 6,758, 1.70%, 0.00%), (AMAT, 5,485, 1.65%, 0.00%), (CB, 3,230, 1.65%, 0.00%), (ADP, 3,059, 1.64%, 0.00%), (SYF, 11,956, 1.64%, 0.00%), (PCAR, 9,054, 1.64%, 0.00%), (WSM, 4,048, 1.51%, 0.00%), (CTSH, 11,571, 1.47%, 0.00%), (BKR, 17,028, 1.47%, 0.00%), (CRM, 3,280, 1.46%, 0.00%), (DHI, 4,491, 1.45%, 0.00%), (PAYC, 3,502, 1.42%, 0.01%), (QCOM, 4,618, 1.35%, 0.00%), (AFL, 6,324, 1.25%, 0.00%), (AAPL, 2,982, 1.24%, 0.00%), (ELV, 2,193, 1.24%, 0.00%), (ACN, 2,728, 1.22%, 0.00%), (LRCX, 5,898, 1.16%, 0.00%), (MPWR, 731, 1.15%, 0.00%), (GE, 2,067, 1.08%, 0.00%), (CSCO, 8,566, 1.07%, 0.00%), (ODFL, 3,923, 1.05%, 0.00%), (STT, 4,748, 0.97%, 0.00%), (PNC, 2,543, 0.94%, 0.00%), (MTB, 2,527, 0.92%, 0.00%), (CF, 5,426, 0.87%, 0.00%), (AMP, 925, 0.84%, 0.00%), (COST, 475, 0.83%, 0.00%), (XOM, 3,975, 0.82%, 0.00%), (ABT, 3,418, 0.81%, 0.00%), (EOG, 3,576, 0.79%, 0.00%), (EG, 1,203, 0.75%, 0.00%), (CSL, 1,065, 0.74%, 0.00%), (GEV, 484, 0.57%, 0.00%), (NTRS, 2,204, 0.51%, 0.00%), (MA, 460, 0.49%, 0.00%), (ACM, 2,085, 0.48%, 0.00%), (JNJ, 1,476, 0.48%, 0.00%), (CRBG, 7,572, 0.46%, 0.00%), (LNC, 6,027, 0.46%, 0.00%), (MTG, 8,660, 0.45%, 0.00%), (WTFC, 1,775, 0.45%, 0.00%), (JXN, 2,488, 0.44%, 0.00%), (CINF, 1,533, 0.43%, 0.00%), (DOV, 1,289, 0.42%, 0.00%), (ADM, 3,670, 0.41%, 0.00%), (EQH, 4,272, 0.41%, 0.00%), (MCK, 318, 0.41%, 0.00%), (ALL, 1,091, 0.40%, 0.00%), (NUE, 1,473, 0.38%, 0.00%), (SLM, 7,076, 0.37%, 0.00%), (NKE, 2,686, 0.37%, 0.00%), (PGR, 804,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</si>
  <si>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3.96%, 0.00%), (META, 1,355, 2.94%, 0.00%), (GOOGL, 3,633, 2.50%, 0.00%), (BRK/B, 1,577, 2.24%, 0.00%), (GOOG, 2,959, 2.04%, 0.00%), (CSCO, 9,575, 1.88%, 0.00%), (LIN, 1,355, 1.85%, 0.00%), (TSLA, 1,814, 1.82%, 0.00%), (JPM, 1,997, 1.73%, 0.00%), (XOM, 4,833, 1.56%, 0.00%), (AMT, 2,748, 1.54%, 0.00%), (V, 1,487, 1.45%, 0.00%), (ORCL, 1,423, 1.24%, 0.00%), (LLY, 569, 1.23%, 0.00%), (CB, 1,517, 1.22%, 0.00%), (MA, 705, 1.18%, 0.00%), (GE, 1,414, 1.15%, 0.00%), (WM, 1,699, 1.07%, 0.00%), (UNH, 1,059, 1.03%, 0.00%), (NFLX, 266, 0.96%, 0.00%), (NEE, 4,364, 0.89%, 0.00%), (JNJ, 1,739, 0.88%, 0.00%), (PLTR, 1,814, 0.85%, 0.00%), (WMT, 2,895, 0.84%, 0.00%), (CVX, 1,838, 0.83%, 0.00%), (PG, 1,830, 0.83%, 0.00%), (COST, 296, 0.82%, 0.00%), (ABBV, 1,277, 0.78%, 0.00%), (HD, 654, 0.78%, 0.00%), (RTX, 1,739, 0.78%, 0.00%), (CAT, 631, 0.77%, 0.00%), (MCD, 865, 0.77%, 0.00%), (ABT, 1,995, 0.75%, 0.00%), (BAC, 4,734, 0.68%, 0.00%), (KO, 3,309, 0.65%, 0.00%), (BA, 977, 0.64%, 0.00%), (BKNG, 40, 0.63%, 0.00%), (PM, 1,327, 0.63%, 0.00%), (SO, 2,325, 0.62%, 0.00%), (NKE, 2,827, 0.61%, 0.00%), (AMD, 1,326, 0.60%, 0.00%), (IBM, 818, 0.60%, 0.00%), (CRM, 846, 0.59%, 0.00%), (GS, 270, 0.59%, 0.00%), (DUK, 1,639, 0.58%, 0.00%), (UBER, 2,104, 0.57%, 0.00%), (WFC, 2,361, 0.55%, 0.00%), (MET, 2,353, 0.54%, 0.00%), (ISRG, 410, 0.53%, 0.00%), (ETN, 516, 0.53%, 0.00%), (HON, 850, 0.52%, 0.00%), (PEP, 1,171, 0.48%, 0.00%), (NOW, 182, 0.48%, 0.00%), (T, 5,635, 0.48%, 0.00%), (MS, 1,067, 0.47%, 0.00%), (INTU, 248, 0.47%, 0.00%), (DE, 332, 0.45%, 0.00%), (AXP, 479, 0.45%, 0.00%), (MRK, 1,827, 0.44%, 0.00%), (SPGI, 273, 0.42%, 0.00%), (QCOM, 908, 0.42%, 0.00%), (VZ, 3,306, 0.42%, 0.00%), (BLK, 125, 0.40%, 0.00%), (TXN, 745, 0.40%, 0.00%), (MDT, 1,475, 0.39%, 0.00%), (ADBE, 390, 0.39%, 0.00%), (ACN, 553, 0.39%, 0.00%), (COP, 1,423, 0.39%, 0.00%), (TMO, 276, 0.38%, 0.00%), (UNP, 606, 0.38%, 0.00%), (DIS, 1,126, 0.38%, 0.00%), (C, 1,341, 0.38%, 0.00%), (LMT, 276, 0.37%, 0.00%), (SCHW, 1,286, 0.34%, 0.00%), (SBUX, 1,368, 0.33%, 0.00%), (AMAT, 673, 0.32%, 0.00%), (MMM, 712, 0.32%, 0.00%), (AMGN, 388, 0.31%, 0.00%), (CVS, 1,448, 0.31%, 0.00%), (TJX, 743, 0.30%, 0.00%), (GILD, 900, 0.30%, 0.00%), (PFE, 4,094, 0.29%, 0.00%), (LOW, 374, 0.29%, 0.00%), (EMR, 745, 0.29%, 0.00%), (MO, 1,446, 0.28%, 0.00%), (DHR, 464, 0.26%, 0.00%), (INTC, 3,523, 0.25%, 0.00%), (ELV, 267, 0.24%, 0.00%), (CMCSA, 2,373, 0.23%, 0.00%), (MDLZ, 1,141, 0.20%, 0.00%), (BMY, 1,465, 0.20%, 0.00%), (UPS, 731, 0.18%, 0.00%), (PYPL, 862, 0.16%,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</si>
  <si>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3.86%, 0.00%), (META, 893, 2.87%, 0.00%), (GOOGL, 2,395, 2.44%, 0.00%), (BRK/B, 1,039, 2.18%, 0.00%), (GOOG, 1,950, 1.99%, 0.00%), (CSCO, 6,311, 1.83%, 0.00%), (LIN, 893, 1.81%, 0.00%), (TSLA, 1,195, 1.77%, 0.00%), (JPM, 1,316, 1.68%, 0.00%), (XOM, 3,186, 1.52%, 0.00%), (AMT, 1,811, 1.50%, 0.00%), (V, 980, 1.42%, 0.00%), (LLY, 375, 1.20%, 0.00%), (ORCL, 938, 1.19%, 0.00%), (CB, 1,000, 1.19%, 0.00%), (MA, 465, 1.15%, 0.00%), (GE, 932, 1.13%, 0.00%), (WM, 1,120, 1.04%, 0.00%), (UNH, 698, 1.01%, 0.00%), (NFLX, 175, 0.93%, 0.00%), (NEE, 2,877, 0.87%, 0.00%), (JNJ, 1,146, 0.86%, 0.00%), (PLTR, 1,196, 0.83%, 0.00%), (WMT, 1,908, 0.82%, 0.00%), (CVX, 1,211, 0.81%, 0.00%), (PG, 1,206, 0.81%, 0.00%), (COST, 195, 0.80%, 0.00%), (HD, 431, 0.76%, 0.00%), (ABBV, 841, 0.76%, 0.00%), (RTX, 1,146, 0.76%, 0.00%), (CAT, 416, 0.75%, 0.00%), (MCD, 570, 0.75%, 0.00%), (ABT, 1,315, 0.73%, 0.00%), (BAC, 3,121, 0.67%, 0.00%), (KO, 2,181, 0.63%, 0.00%), (BA, 644, 0.63%, 0.00%), (PM, 875, 0.62%, 0.00%), (BKNG, 26, 0.61%, 0.00%), (SO, 1,533, 0.60%, 0.00%), (NKE, 1,863, 0.59%, 0.00%), (AMD, 874, 0.59%, 0.00%), (IBM, 539, 0.58%, 0.00%), (CRM, 558, 0.58%, 0.00%), (GS, 178, 0.57%, 0.00%), (DUK, 1,081, 0.56%, 0.00%), (UBER, 1,387, 0.55%, 0.00%), (WFC, 1,556, 0.53%, 0.00%), (MET, 1,551, 0.53%, 0.00%), (ETN, 340, 0.52%, 0.00%), (ISRG, 270, 0.52%, 0.00%), (HON, 560, 0.51%, 0.00%), (NOW, 120, 0.47%, 0.00%), (PEP, 772, 0.47%, 0.00%), (T, 3,714, 0.46%, 0.00%), (INTU, 164, 0.46%, 0.00%), (MS, 703, 0.46%, 0.00%), (DE, 219, 0.44%, 0.00%), (AXP, 316, 0.44%, 0.00%), (MRK, 1,204, 0.43%, 0.00%), (SPGI, 180, 0.41%, 0.00%), (QCOM, 598, 0.41%, 0.00%), (VZ, 2,179, 0.41%, 0.00%), (BLK, 83, 0.39%, 0.00%), (TXN, 491, 0.39%, 0.00%), (MDT, 972, 0.38%, 0.00%), (ACN, 365, 0.38%, 0.00%), (ADBE, 257, 0.38%, 0.00%), (COP, 938, 0.38%, 0.00%), (TMO, 182, 0.37%, 0.00%), (DIS, 742, 0.37%, 0.00%), (UNP, 399, 0.37%, 0.00%), (C, 884, 0.37%, 0.00%), (LMT, 182, 0.36%, 0.00%), (SCHW, 848, 0.33%, 0.00%), (SBUX, 902, 0.32%, 0.00%), (AMAT, 444, 0.31%, 0.00%), (MMM, 469, 0.31%, 0.00%), (AMGN, 256, 0.31%, 0.00%), (CVS, 954, 0.30%, 0.00%), (TJX, 490, 0.29%, 0.00%), (GILD, 593, 0.29%, 0.00%), (PFE, 2,698, 0.28%, 0.00%), (EMR, 491, 0.28%, 0.00%), (LOW, 246, 0.28%, 0.00%), (MO, 953, 0.27%, 0.00%), (DHR, 306, 0.25%, 0.00%), (INTC, 2,322, 0.24%, 0.00%), (ELV, 176, 0.23%,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</si>
  <si>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2.61%, 0.00%), (GOOGL, 2,294, 2.22%, 0.00%), (BRK/B, 996, 1.98%, 0.00%), (GOOG, 1,869, 1.81%, 0.00%), (CSCO, 6,046, 1.66%, 0.00%), (LIN, 855, 1.64%, 0.00%), (TSLA, 1,145, 1.61%, 0.00%), (JPM, 1,261, 1.53%, 0.00%), (XOM, 3,052, 1.38%, 0.00%), (AMT, 1,735, 1.37%, 0.00%), (V, 939, 1.29%, 0.00%), (ORCL, 898, 1.12%, 0.00%), (LLY, 359, 1.09%, 0.00%), (CB, 958, 1.08%, 0.00%), (MA, 445, 1.05%, 0.00%), (GE, 893, 1.02%, 0.00%), (WM, 1,073, 0.95%, 0.00%), (UNH, 669, 0.92%, 0.00%), (NFLX, 168, 0.85%, 0.00%), (NEE, 2,756, 0.79%, 0.00%), (JNJ, 1,098, 0.78%, 0.00%), (PLTR, 1,146, 0.76%, 0.00%), (WMT, 1,828, 0.74%, 0.00%), (CVX, 1,161, 0.74%, 0.00%), (PG, 1,156, 0.74%, 0.00%), (COST, 187, 0.72%, 0.00%), (HD, 413, 0.69%, 0.00%), (ABBV, 806, 0.69%, 0.00%), (RTX, 1,098, 0.69%, 0.00%), (CAT, 398, 0.68%, 0.00%), (MCD, 546, 0.68%, 0.00%), (ABT, 1,267, 0.67%, 0.00%), (BAC, 2,990, 0.61%, 0.00%), (KO, 2,090, 0.57%, 0.00%), (BA, 617, 0.57%, 0.00%), (PM, 838, 0.56%, 0.00%), (BKNG, 25, 0.56%, 0.00%), (SO, 1,468, 0.55%, 0.00%), (NKE, 1,785, 0.54%, 0.00%), (AMD, 837, 0.54%, 0.00%), (IBM, 517, 0.54%, 0.00%), (GS, 171, 0.53%, 0.00%), (CRM, 534, 0.53%, 0.00%), (DUK, 1,035, 0.51%, 0.00%), (UBER, 1,329, 0.50%, 0.00%), (WFC, 1,491, 0.48%, 0.00%), (MET, 1,486, 0.48%, 0.00%), (ETN, 326, 0.47%, 0.00%), (ISRG, 259, 0.47%, 0.00%), (HON, 537, 0.46%, 0.00%), (NOW, 115, 0.43%, 0.00%), (PEP, 739, 0.43%, 0.00%), (T, 3,558, 0.42%, 0.00%), (INTU, 157, 0.42%, 0.00%), (MS, 674, 0.42%, 0.00%), (DE, 210, 0.40%, 0.00%), (AXP, 302, 0.40%, 0.00%), (MRK, 1,154, 0.39%, 0.00%), (SPGI, 172, 0.38%, 0.00%), (QCOM, 576, 0.37%, 0.00%), (VZ, 2,087, 0.37%, 0.00%), (BLK, 79, 0.35%, 0.00%), (TXN, 471, 0.35%, 0.00%), (MDT, 932, 0.35%, 0.00%), (ACN, 349, 0.34%, 0.00%), (COP, 898, 0.34%, 0.00%), (ADBE, 246, 0.34%, 0.00%), (TMO, 174, 0.34%, 0.00%), (DIS, 715, 0.34%, 0.00%), (UNP, 383, 0.33%, 0.00%), (C, 847, 0.33%, 0.00%), (LMT, 174, 0.33%, 0.00%), (SCHW, 812, 0.30%, 0.00%), (SBUX, 864, 0.29%, 0.00%), (MMM, 452, 0.28%, 0.00%), (AMAT, 425, 0.28%, 0.00%), (AMGN, 245, 0.28%, 0.00%), (CVS, 914, 0.27%, 0.00%), (TJX, 469, 0.27%, 0.00%), (GILD, 569, 0.27%, 0.00%), (PFE, 2,585, 0.26%, 0.00%), (LOW, 236, 0.25%, 0.00%), (EMR, 470, 0.25%, 0.00%), (MO, 913, 0.25%, 0.00%), (DHR, 293, 0.23%, 0.00%), (INTC, 2,225, 0.22%, 0.00%), (ELV, 168, 0.21%,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</si>
  <si>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3.77%, 0.00%), (META, 567, 2.78%, 0.00%), (GOOGL, 1,521, 2.36%, 0.00%), (BRK/B, 660, 2.11%, 0.00%), (GOOG, 1,239, 1.93%, 0.00%), (CSCO, 4,008, 1.78%, 0.00%), (LIN, 567, 1.75%, 0.00%), (TSLA, 759, 1.72%, 0.00%), (JPM, 836, 1.63%, 0.00%), (XOM, 2,023, 1.48%, 0.00%), (AMT, 1,150, 1.46%, 0.00%), (V, 622, 1.37%, 0.00%), (LLY, 239, 1.16%, 0.00%), (CB, 635, 1.15%, 0.00%), (ORCL, 595, 1.15%, 0.00%), (MA, 295, 1.12%, 0.00%), (GE, 592, 1.09%, 0.00%), (WM, 711, 1.01%, 0.00%), (UNH, 443, 0.98%, 0.00%), (NFLX, 111, 0.91%, 0.00%), (NEE, 1,827, 0.85%, 0.00%), (JNJ, 728, 0.84%, 0.00%), (PLTR, 759, 0.81%, 0.00%), (WMT, 1,212, 0.79%, 0.00%), (CVX, 769, 0.79%, 0.00%), (PG, 766, 0.79%, 0.00%), (COST, 124, 0.77%, 0.00%), (HD, 274, 0.74%, 0.00%), (ABBV, 534, 0.74%, 0.00%), (RTX, 728, 0.74%, 0.00%), (CAT, 264, 0.73%, 0.00%), (MCD, 362, 0.72%, 0.00%), (ABT, 839, 0.71%, 0.00%), (BAC, 1,982, 0.65%, 0.00%), (KO, 1,385, 0.61%, 0.00%), (BKNG, 17, 0.61%, 0.00%), (BA, 409, 0.61%, 0.00%), (PM, 555, 0.60%, 0.00%), (SO, 973, 0.58%, 0.00%), (AMD, 555, 0.57%, 0.00%), (NKE, 1,183, 0.57%, 0.00%), (IBM, 343, 0.57%, 0.00%), (GS, 113, 0.57%, 0.00%), (CRM, 354, 0.56%, 0.00%), (DUK, 686, 0.54%, 0.00%), (UBER, 881, 0.54%, 0.00%), (WFC, 988, 0.52%, 0.00%), (MET, 985, 0.51%, 0.00%), (ISRG, 171, 0.50%, 0.00%), (ETN, 216, 0.50%, 0.00%), (HON, 356, 0.49%, 0.00%), (NOW, 76, 0.46%, 0.00%), (PEP, 490, 0.46%, 0.00%), (T, 2,358, 0.45%, 0.00%), (MS, 447, 0.45%, 0.00%), (INTU, 104, 0.45%, 0.00%), (DE, 139, 0.43%, 0.00%), (AXP, 200, 0.42%, 0.00%), (MRK, 765, 0.42%, 0.00%), (SPGI, 114, 0.40%, 0.00%), (QCOM, 382, 0.40%, 0.00%), (VZ, 1,384, 0.39%, 0.00%), (BLK, 52, 0.37%, 0.00%), (TXN, 312, 0.37%, 0.00%), (ADBE, 163, 0.37%, 0.00%), (MDT, 617, 0.37%, 0.00%), (ACN, 232, 0.37%, 0.00%), (COP, 595, 0.36%, 0.00%), (TMO, 116, 0.36%, 0.00%), (DIS, 473, 0.36%, 0.00%), (UNP, 254, 0.36%, 0.00%), (C, 561, 0.36%, 0.00%), (LMT, 115, 0.35%, 0.00%), (SCHW, 538, 0.32%, 0.00%), (SBUX, 572, 0.31%, 0.00%), (AMAT, 282, 0.30%, 0.00%), (MMM, 299, 0.30%, 0.00%), (AMGN, 163, 0.30%, 0.00%), (CVS, 606, 0.29%, 0.00%), (TJX, 311, 0.28%, 0.00%), (GILD, 377, 0.28%, 0.00%), (PFE, 1,713, 0.27%, 0.00%), (EMR, 312, 0.27%, 0.00%), (LOW, 156, 0.27%, 0.00%), (MO, 605, 0.26%, 0.00%), (DHR, 194, 0.24%, 0.00%), (INTC, 1,475, 0.24%, 0.00%), (ELV, 112, 0.22%, 0.00%), (CMCSA, 993, 0.22%, 0.00%), (MDLZ, 478, 0.19%, 0.00%), (BMY, 613, 0.19%, 0.00%), (UPS, 306, 0.17%, 0.00%), (PYPL, 361, 0.15%, 0.00%), (USB, 463, 0.15%, 0.00%), (CL, 266, 0.14%, 0.00%), (FDX, 94, 0.14%, 0.00%), (TGT, 129, 0.08%, 0.00%), (SC8071B, nan, nan%, 0.00%), (SC8073B, nan, nan%, 0.00%), (SP8072B, nan, nan%, 0.00%), (SP8075B, nan, nan%, 0.00%), (SP8074B, nan, nan%, 0.00%), (XP8075B, nan, nan%, 0.00%)</t>
  </si>
  <si>
    <t>(META, 5,906, 2.66%, 0.00%), (GOOGL, 15,831, 2.26%, 0.00%), (BRK/B, 6,872, 2.02%, 0.00%), (GOOG, 12,895, 1.84%, 0.00%), (CSCO, 41,724, 1.70%, 0.00%), (LIN, 5,903, 1.68%, 0.00%), (TSLA, 7,904, 1.65%, 0.00%), (JPM, 8,701, 1.56%, 0.00%), (XOM, 21,062, 1.41%, 0.00%), (AMT, 11,976, 1.39%, 0.00%), (V, 6,479, 1.32%, 0.00%), (ORCL, 6,199, 1.11%, 0.00%), (LLY, 2,480, 1.11%, 0.00%), (CB, 6,609, 1.10%, 0.00%), (MA, 3,073, 1.07%, 0.00%), (GE, 6,163, 1.04%, 0.00%), (WM, 7,403, 0.97%, 0.00%), (UNH, 4,613, 0.93%, 0.00%), (NFLX, 1,158, 0.87%, 0.00%), (NEE, 19,018, 0.81%, 0.00%), (JNJ, 7,579, 0.80%, 0.00%), (PLTR, 7,907, 0.78%, 0.00%), (WMT, 12,617, 0.76%, 0.00%), (CVX, 8,009, 0.76%, 0.00%), (PG, 7,975, 0.75%, 0.00%), (COST, 1,288, 0.74%, 0.00%), (HD, 2,851, 0.71%, 0.00%), (ABBV, 5,563, 0.71%, 0.00%), (RTX, 7,579, 0.71%, 0.00%), (CAT, 2,749, 0.70%, 0.00%), (MCD, 3,768, 0.69%, 0.00%), (ABT, 8,695, 0.68%, 0.00%), (BAC, 20,631, 0.62%, 0.00%), (KO, 14,419, 0.59%, 0.00%), (BA, 4,257, 0.58%, 0.00%), (PM, 5,783, 0.57%, 0.00%), (BKNG, 174, 0.57%, 0.00%), (SO, 10,133, 0.56%, 0.00%), (NKE, 12,319, 0.55%, 0.00%), (AMD, 5,777, 0.55%, 0.00%), (IBM, 3,567, 0.54%, 0.00%), (CRM, 3,688, 0.54%, 0.00%), (GS, 1,177, 0.54%, 0.00%), (DUK, 7,144, 0.52%, 0.00%), (UBER, 9,168, 0.51%, 0.00%), (WFC, 10,290, 0.49%, 0.00%), (MET, 10,254, 0.49%, 0.00%), (ETN, 2,250, 0.48%, 0.00%), (ISRG, 1,785, 0.48%, 0.00%), (HON, 3,703, 0.47%, 0.00%), (NOW, 795, 0.44%, 0.00%), (PEP, 5,103, 0.44%, 0.00%), (T, 24,554, 0.43%, 0.00%), (INTU, 1,081, 0.43%, 0.00%), (MS, 4,651, 0.43%, 0.00%), (DE, 1,449, 0.41%, 0.00%), (AXP, 2,086, 0.40%, 0.00%), (MRK, 7,963, 0.40%, 0.00%), (SPGI, 1,190, 0.38%, 0.00%), (QCOM, 3,955, 0.38%, 0.00%), (VZ, 14,405, 0.38%, 0.00%), (BLK, 546, 0.36%, 0.00%), (TXN, 3,247, 0.36%, 0.00%), (MDT, 6,429, 0.36%, 0.00%), (ACN, 2,410, 0.35%, 0.00%), (ADBE, 1,698, 0.35%, 0.00%), (COP, 6,199, 0.35%, 0.00%), (TMO, 1,204, 0.34%, 0.00%), (UNP, 2,640, 0.34%, 0.00%), (DIS, 4,907, 0.34%, 0.00%), (C, 5,845, 0.34%, 0.00%), (LMT, 1,201, 0.33%, 0.00%), (SCHW, 5,604, 0.31%, 0.00%), (SBUX, 5,960, 0.30%, 0.00%), (AMAT, 2,935, 0.29%, 0.00%), (MMM, 3,101, 0.29%, 0.00%), (AMGN, 1,692, 0.28%, 0.00%), (CVS, 6,308, 0.28%, 0.00%), (TJX, 3,238, 0.27%, 0.00%), (GILD, 3,923, 0.27%, 0.00%), (PFE, 17,840, 0.26%, 0.00%), (LOW, 1,628, 0.26%, 0.00%), (EMR, 3,247, 0.26%, 0.00%), (MO, 6,303, 0.25%, 0.00%), (DHR, 2,024, 0.23%, 0.00%), (INTC, 15,354, 0.23%, 0.00%), (ELV, 1,163, 0.21%, 0.00%), (CMCSA, 10,342, 0.21%, 0.00%), (MDLZ, 4,973, 0.19%,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</si>
  <si>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3.82%, 0.00%), (META, 5,114, 2.84%, 0.00%), (GOOGL, 13,707, 2.41%, 0.00%), (BRK/B, 5,950, 2.16%, 0.00%), (GOOG, 11,165, 1.96%, 0.00%), (CSCO, 36,126, 1.81%, 0.00%), (LIN, 5,111, 1.79%, 0.00%), (TSLA, 6,843, 1.75%, 0.00%), (JPM, 7,534, 1.66%, 0.00%), (XOM, 18,236, 1.50%, 0.00%), (AMT, 10,369, 1.49%, 0.00%), (V, 5,609, 1.40%, 0.00%), (LLY, 2,148, 1.18%, 0.00%), (ORCL, 5,368, 1.18%, 0.00%), (CB, 5,723, 1.17%, 0.00%), (MA, 2,661, 1.14%, 0.00%), (GE, 5,336, 1.11%, 0.00%), (WM, 6,410, 1.03%, 0.00%), (UNH, 3,994, 0.99%, 0.00%), (NFLX, 1,003, 0.92%, 0.00%), (NEE, 16,466, 0.86%, 0.00%), (JNJ, 6,562, 0.85%, 0.00%), (PLTR, 6,846, 0.83%, 0.00%), (WMT, 10,924, 0.81%, 0.00%), (CVX, 6,935, 0.80%, 0.00%), (PG, 6,905, 0.80%, 0.00%), (COST, 1,115, 0.79%, 0.00%), (HD, 2,469, 0.75%, 0.00%), (ABBV, 4,817, 0.75%, 0.00%), (RTX, 6,562, 0.75%, 0.00%), (CAT, 2,380, 0.74%, 0.00%), (MCD, 3,263, 0.74%, 0.00%), (ABT, 7,528, 0.72%, 0.00%), (BAC, 17,864, 0.66%, 0.00%), (KO, 12,485, 0.63%, 0.00%), (BA, 3,686, 0.62%, 0.00%), (BKNG, 151, 0.61%, 0.00%), (PM, 5,007, 0.61%, 0.00%), (SO, 8,774, 0.59%, 0.00%), (NKE, 10,666, 0.58%, 0.00%), (AMD, 5,002, 0.58%, 0.00%), (IBM, 3,088, 0.58%, 0.00%), (GS, 1,019, 0.57%, 0.00%), (CRM, 3,193, 0.57%, 0.00%), (DUK, 6,186, 0.56%, 0.00%), (UBER, 7,938, 0.55%, 0.00%), (WFC, 8,910, 0.53%, 0.00%), (MET, 8,879, 0.52%, 0.00%), (ETN, 1,948, 0.52%, 0.00%), (ISRG, 1,546, 0.51%, 0.00%), (HON, 3,206, 0.50%, 0.00%), (NOW, 688, 0.47%, 0.00%), (PEP, 4,418, 0.47%, 0.00%), (T, 21,260, 0.46%, 0.00%), (INTU, 936, 0.45%, 0.00%), (MS, 4,027, 0.45%, 0.00%), (DE, 1,254, 0.44%, 0.00%), (AXP, 1,806, 0.43%, 0.00%), (MRK, 6,895, 0.43%, 0.00%), (SPGI, 1,031, 0.41%, 0.00%), (QCOM, 3,425, 0.40%, 0.00%), (VZ, 12,473, 0.40%, 0.00%), (BLK, 473, 0.38%, 0.00%), (TXN, 2,812, 0.38%, 0.00%), (MDT, 5,566, 0.38%, 0.00%), (ACN, 2,087, 0.38%, 0.00%), (ADBE, 1,470, 0.37%, 0.00%), (COP, 5,367, 0.37%, 0.00%), (TMO, 1,043, 0.37%, 0.00%), (UNP, 2,286, 0.36%, 0.00%), (DIS, 4,248, 0.36%, 0.00%), (C, 5,061, 0.36%, 0.00%), (LMT, 1,040, 0.36%, 0.00%), (SCHW, 4,852, 0.33%, 0.00%), (SBUX, 5,161, 0.32%, 0.00%), (AMAT, 2,541, 0.31%, 0.00%), (MMM, 2,685, 0.30%, 0.00%), (AMGN, 1,465, 0.30%, 0.00%), (CVS, 5,462, 0.30%, 0.00%), (TJX, 2,803, 0.29%, 0.00%), (GILD, 3,397, 0.29%, 0.00%), (PFE, 15,446, 0.28%, 0.00%), (LOW, 1,410, 0.28%, 0.00%), (EMR, 2,811, 0.28%,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</si>
  <si>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3.81%, 0.00%), (META, 3,811, 2.83%, 0.00%), (GOOGL, 10,214, 2.40%, 0.00%), (BRK/B, 4,433, 2.15%, 0.00%), (GOOG, 8,319, 1.96%, 0.00%), (CSCO, 26,919, 1.81%, 0.00%), (LIN, 3,809, 1.78%, 0.00%), (TSLA, 5,099, 1.75%, 0.00%), (JPM, 5,614, 1.66%, 0.00%), (XOM, 13,589, 1.50%, 0.00%), (AMT, 7,727, 1.48%, 0.00%), (V, 4,180, 1.40%, 0.00%), (ORCL, 4,000, 1.19%, 0.00%), (LLY, 1,600, 1.18%, 0.00%), (CB, 4,264, 1.17%, 0.00%), (MA, 1,983, 1.14%, 0.00%), (GE, 3,976, 1.11%, 0.00%), (WM, 4,776, 1.03%, 0.00%), (UNH, 2,976, 0.99%, 0.00%), (NFLX, 747, 0.92%, 0.00%), (NEE, 12,270, 0.86%, 0.00%), (JNJ, 4,890, 0.85%, 0.00%), (PLTR, 5,101, 0.82%, 0.00%), (WMT, 8,140, 0.81%, 0.00%), (CVX, 5,167, 0.80%, 0.00%), (PG, 5,145, 0.80%, 0.00%), (COST, 831, 0.79%, 0.00%), (HD, 1,840, 0.75%, 0.00%), (ABBV, 3,589, 0.75%, 0.00%), (RTX, 4,890, 0.75%, 0.00%), (CAT, 1,774, 0.74%, 0.00%), (MCD, 2,431, 0.74%, 0.00%), (ABT, 5,609, 0.72%, 0.00%), (BAC, 13,311, 0.66%, 0.00%), (KO, 9,303, 0.62%, 0.00%), (BA, 2,746, 0.62%, 0.00%), (BKNG, 112, 0.61%, 0.00%), (PM, 3,731, 0.61%, 0.00%), (SO, 6,538, 0.59%, 0.00%), (NKE, 7,948, 0.58%, 0.00%), (AMD, 3,727, 0.58%, 0.00%), (IBM, 2,301, 0.58%, 0.00%), (GS, 759, 0.57%, 0.00%), (CRM, 2,379, 0.57%, 0.00%), (DUK, 4,609, 0.55%, 0.00%), (UBER, 5,915, 0.55%, 0.00%), (WFC, 6,639, 0.52%, 0.00%), (MET, 6,616, 0.52%, 0.00%), (ETN, 1,452, 0.52%, 0.00%), (ISRG, 1,152, 0.51%, 0.00%), (HON, 2,389, 0.50%, 0.00%), (PEP, 3,292, 0.47%, 0.00%), (NOW, 513, 0.46%, 0.00%), (T, 15,842, 0.46%, 0.00%), (INTU, 698, 0.45%, 0.00%), (MS, 3,000, 0.45%, 0.00%), (DE, 935, 0.44%, 0.00%), (AXP, 1,346, 0.43%, 0.00%), (MRK, 5,138, 0.43%, 0.00%), (SPGI, 768, 0.41%, 0.00%), (QCOM, 2,552, 0.40%, 0.00%), (VZ, 9,294, 0.40%, 0.00%), (BLK, 352, 0.38%, 0.00%), (TXN, 2,095, 0.38%, 0.00%), (MDT, 4,148, 0.38%, 0.00%), (ADBE, 1,095, 0.37%, 0.00%), (ACN, 1,555, 0.37%, 0.00%), (COP, 3,999, 0.37%, 0.00%), (TMO, 777, 0.37%, 0.00%), (UNP, 1,703, 0.36%, 0.00%), (DIS, 3,166, 0.36%, 0.00%), (C, 3,771, 0.36%, 0.00%), (LMT, 775, 0.35%, 0.00%), (SCHW, 3,616, 0.33%, 0.00%), (SBUX, 3,845, 0.32%, 0.00%), (AMAT, 1,894, 0.31%, 0.00%), (MMM, 2,001, 0.30%, 0.00%), (AMGN, 1,092, 0.30%, 0.00%), (CVS, 4,070, 0.30%, 0.00%), (TJX, 2,089, 0.29%, 0.00%), (GILD, 2,531, 0.29%, 0.00%), (PFE, 11,510, 0.28%, 0.00%), (LOW, 1,051, 0.28%, 0.00%), (EMR, 2,095, 0.28%, 0.00%), (MO, 4,067, 0.27%, 0.00%), (DHR, 1,306, 0.25%, 0.00%), (INTC, 9,906, 0.24%, 0.00%), (ELV, 750, 0.23%, 0.00%), (CMCSA, 6,672, 0.22%, 0.00%), (MDLZ, 3,209, 0.20%,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</si>
  <si>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3.65%, 0.00%), (META, 1,444, 2.70%, 0.00%), (GOOGL, 3,870, 2.29%, 0.00%), (BRK/B, 1,680, 2.05%, 0.00%), (GOOG, 3,153, 1.87%, 0.00%), (CSCO, 10,201, 1.72%, 0.00%), (LIN, 1,443, 1.70%, 0.00%), (TSLA, 1,932, 1.67%, 0.00%), (JPM, 2,127, 1.58%, 0.00%), (XOM, 5,149, 1.43%, 0.00%), (AMT, 2,928, 1.41%, 0.00%), (V, 1,584, 1.33%, 0.00%), (ORCL, 1,516, 1.14%, 0.00%), (LLY, 606, 1.12%, 0.00%), (CB, 1,616, 1.12%, 0.00%), (MA, 751, 1.08%, 0.00%), (GE, 1,507, 1.06%, 0.00%), (WM, 1,810, 0.98%, 0.00%), (UNH, 1,128, 0.95%, 0.00%), (NFLX, 283, 0.88%, 0.00%), (NEE, 4,650, 0.82%, 0.00%), (JNJ, 1,853, 0.81%, 0.00%), (PLTR, 1,933, 0.79%, 0.00%), (WMT, 3,085, 0.77%, 0.00%), (CVX, 1,958, 0.77%, 0.00%), (PG, 1,950, 0.76%, 0.00%), (COST, 315, 0.75%, 0.00%), (HD, 697, 0.72%, 0.00%), (ABBV, 1,360, 0.72%, 0.00%), (RTX, 1,853, 0.71%, 0.00%), (CAT, 672, 0.71%, 0.00%), (MCD, 921, 0.70%, 0.00%), (ABT, 2,135, 0.69%, 0.00%), (BAC, 5,044, 0.63%, 0.00%), (KO, 3,525, 0.59%, 0.00%), (BA, 1,041, 0.59%, 0.00%), (BKNG, 43, 0.59%, 0.00%), (PM, 1,414, 0.58%, 0.00%), (SO, 2,477, 0.56%, 0.00%), (NKE, 3,012, 0.55%, 0.00%), (AMD, 1,412, 0.55%, 0.00%), (IBM, 872, 0.55%, 0.00%), (CRM, 902, 0.54%, 0.00%), (GS, 288, 0.54%, 0.00%), (DUK, 1,747, 0.53%, 0.00%), (UBER, 2,242, 0.52%, 0.00%), (WFC, 2,516, 0.50%, 0.00%), (MET, 2,507, 0.49%, 0.00%), (ETN, 550, 0.49%, 0.00%), (ISRG, 437, 0.49%, 0.00%), (HON, 905, 0.48%, 0.00%), (NOW, 194, 0.45%, 0.00%), (PEP, 1,248, 0.44%, 0.00%), (T, 6,003, 0.44%, 0.00%), (MS, 1,137, 0.43%, 0.00%), (INTU, 264, 0.43%, 0.00%), (DE, 354, 0.41%, 0.00%), (AXP, 510, 0.41%, 0.00%), (MRK, 1,947, 0.41%, 0.00%), (SPGI, 291, 0.39%, 0.00%), (QCOM, 971, 0.38%, 0.00%), (VZ, 3,522, 0.38%, 0.00%), (BLK, 133, 0.36%, 0.00%), (TXN, 794, 0.36%, 0.00%), (MDT, 1,572, 0.36%, 0.00%), (ADBE, 415, 0.36%, 0.00%), (ACN, 589, 0.36%, 0.00%), (COP, 1,516, 0.35%, 0.00%), (TMO, 294, 0.35%, 0.00%), (DIS, 1,205, 0.35%, 0.00%), (UNP, 645, 0.35%, 0.00%), (C, 1,429, 0.34%, 0.00%), (LMT, 294, 0.34%, 0.00%), (SCHW, 1,370, 0.31%, 0.00%), (SBUX, 1,457, 0.30%, 0.00%), (AMAT, 718, 0.29%, 0.00%), (MMM, 758, 0.29%, 0.00%), (AMGN, 414, 0.29%, 0.00%), (CVS, 1,542, 0.28%, 0.00%), (TJX, 792, 0.27%, 0.00%), (GILD, 959, 0.27%, 0.00%), (PFE, 4,362, 0.27%, 0.00%), (LOW, 398, 0.26%, 0.00%), (EMR, 794, 0.26%,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0.13%, 0.00%), (TGT, 327, 0.07%, 0.00%), (SC28181B, nan, nan%, 0.00%), (SC28183B, nan, nan%, 0.00%), (SP28182B, nan, nan%, 0.00%), (SP28185B, nan, nan%, 0.00%), (SP28184B, nan, nan%, 0.00%), (XP28185B, nan, nan%, 0.00%)</t>
  </si>
  <si>
    <t>(AVGO, 4,421, 3.69%, 0.00%), (META, 1,571, 2.72%, 0.00%), (GOOGL, 4,209, 2.31%, 0.00%), (BRK/B, 1,827, 2.07%, 0.00%), (GOOG, 3,429, 1.89%, 0.00%), (CSCO, 11,094, 1.74%, 0.00%), (LIN, 1,570, 1.71%, 0.00%), (TSLA, 2,102, 1.68%, 0.00%), (JPM, 2,314, 1.60%, 0.00%), (XOM, 5,600, 1.45%, 0.00%), (AMT, 3,184, 1.43%, 0.00%), (V, 1,723, 1.35%, 0.00%), (ORCL, 1,648, 1.16%, 0.00%), (LLY, 662, 1.14%, 0.00%), (CB, 1,757, 1.13%, 0.00%), (MA, 817, 1.09%, 0.00%), (GE, 1,639, 1.07%, 0.00%), (WM, 1,969, 0.99%, 0.00%), (UNH, 1,227, 0.96%, 0.00%), (NFLX, 308, 0.88%, 0.00%), (NEE, 5,057, 0.83%, 0.00%), (JNJ, 2,015, 0.82%, 0.00%), (PLTR, 2,102, 0.80%, 0.00%), (WMT, 3,355, 0.78%, 0.00%), (CVX, 2,130, 0.77%, 0.00%), (PG, 2,120, 0.77%, 0.00%), (COST, 342, 0.75%, 0.00%), (HD, 758, 0.72%, 0.00%), (ABBV, 1,479, 0.72%, 0.00%), (RTX, 2,015, 0.72%, 0.00%), (CAT, 731, 0.71%, 0.00%), (MCD, 1,002, 0.71%, 0.00%), (ABT, 2,322, 0.69%, 0.00%), (BAC, 5,486, 0.63%, 0.00%), (KO, 3,834, 0.60%, 0.00%), (BA, 1,132, 0.59%, 0.00%), (PM, 1,538, 0.58%, 0.00%), (BKNG, 46, 0.58%, 0.00%), (SO, 2,694, 0.57%, 0.00%), (NKE, 3,276, 0.56%, 0.00%), (AMD, 1,536, 0.56%, 0.00%), (IBM, 948, 0.56%, 0.00%), (GS, 313, 0.55%, 0.00%), (CRM, 981, 0.55%, 0.00%), (DUK, 1,900, 0.53%, 0.00%), (UBER, 2,438, 0.53%, 0.00%), (WFC, 2,736, 0.51%, 0.00%), (MET, 2,727, 0.50%, 0.00%), (ETN, 598, 0.50%, 0.00%), (ISRG, 475, 0.49%, 0.00%), (HON, 985, 0.48%, 0.00%), (PEP, 1,357, 0.45%, 0.00%), (NOW, 211, 0.44%, 0.00%), (T, 6,529, 0.44%, 0.00%), (MS, 1,237, 0.44%, 0.00%), (INTU, 287, 0.43%, 0.00%), (DE, 385, 0.42%, 0.00%), (AXP, 555, 0.41%, 0.00%), (MRK, 2,117, 0.41%, 0.00%), (SPGI, 316, 0.39%, 0.00%), (QCOM, 1,056, 0.39%, 0.00%), (VZ, 3,830, 0.38%, 0.00%), (BLK, 145, 0.37%, 0.00%), (TXN, 864, 0.37%, 0.00%), (MDT, 1,709, 0.36%, 0.00%), (ADBE, 451, 0.36%, 0.00%), (ACN, 641, 0.36%, 0.00%), (COP, 1,648, 0.36%, 0.00%), (TMO, 320, 0.35%, 0.00%), (DIS, 1,310, 0.35%, 0.00%), (UNP, 702, 0.35%, 0.00%), (C, 1,554, 0.35%, 0.00%), (LMT, 319, 0.34%, 0.00%), (SCHW, 1,490, 0.32%, 0.00%), (SBUX, 1,585, 0.30%, 0.00%), (AMAT, 780, 0.29%, 0.00%), (MMM, 828, 0.29%, 0.00%), (AMGN, 450, 0.29%, 0.00%), (CVS, 1,677, 0.29%, 0.00%), (TJX, 861, 0.28%, 0.00%), (GILD, 1,043, 0.28%, 0.00%), (PFE, 4,744, 0.27%, 0.00%), (LOW, 433, 0.27%, 0.00%), (EMR, 863, 0.27%, 0.00%), (MO, 1,676, 0.26%, 0.00%), (DHR, 538, 0.24%, 0.00%), (INTC, 4,083, 0.23%, 0.00%), (ELV, 309, 0.22%, 0.00%), (CMCSA, 2,750, 0.21%, 0.00%), (MDLZ, 1,322, 0.19%, 0.00%), (BMY, 1,698, 0.18%, 0.00%), (UPS, 847, 0.16%, 0.00%), (PYPL, 999, 0.15%,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</si>
  <si>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3.82%, 0.00%), (META, 2,952, 2.82%, 0.00%), (GOOGL, 7,913, 2.40%, 0.00%), (BRK/B, 3,435, 2.14%, 0.00%), (GOOG, 6,445, 1.96%, 0.00%), (CSCO, 20,854, 1.80%, 0.00%), (LIN, 2,950, 1.78%, 0.00%), (TSLA, 3,950, 1.74%, 0.00%), (JPM, 4,349, 1.66%, 0.00%), (XOM, 10,527, 1.50%, 0.00%), (AMT, 5,986, 1.48%, 0.00%), (V, 3,238, 1.39%, 0.00%), (ORCL, 3,099, 1.20%, 0.00%), (LLY, 1,240, 1.18%, 0.00%), (CB, 3,303, 1.17%, 0.00%), (MA, 1,536, 1.13%, 0.00%), (GE, 3,080, 1.11%, 0.00%), (WM, 3,700, 1.03%, 0.00%), (UNH, 2,306, 0.99%, 0.00%), (NFLX, 579, 0.92%, 0.00%), (NEE, 9,505, 0.86%, 0.00%), (JNJ, 3,788, 0.85%, 0.00%), (PLTR, 3,952, 0.82%, 0.00%), (WMT, 6,306, 0.80%, 0.00%), (CVX, 4,003, 0.80%, 0.00%), (PG, 3,986, 0.80%, 0.00%), (COST, 644, 0.78%, 0.00%), (HD, 1,425, 0.75%, 0.00%), (ABBV, 2,780, 0.75%, 0.00%), (RTX, 3,788, 0.75%, 0.00%), (CAT, 1,374, 0.74%, 0.00%), (MCD, 1,883, 0.73%, 0.00%), (ABT, 4,366, 0.72%, 0.00%), (BAC, 10,312, 0.66%, 0.00%), (KO, 7,207, 0.62%, 0.00%), (BA, 2,128, 0.62%, 0.00%), (BKNG, 87, 0.61%, 0.00%), (PM, 2,890, 0.61%, 0.00%), (SO, 5,065, 0.59%, 0.00%), (NKE, 6,157, 0.58%, 0.00%), (AMD, 2,888, 0.58%, 0.00%), (IBM, 1,783, 0.58%, 0.00%), (GS, 588, 0.57%, 0.00%), (CRM, 1,843, 0.57%, 0.00%), (DUK, 3,571, 0.55%, 0.00%), (UBER, 4,582, 0.55%, 0.00%), (WFC, 5,143, 0.52%, 0.00%), (MET, 5,125, 0.52%, 0.00%), (ETN, 1,125, 0.51%, 0.00%), (ISRG, 892, 0.51%, 0.00%), (HON, 1,851, 0.50%, 0.00%), (NOW, 397, 0.46%, 0.00%), (PEP, 2,550, 0.46%, 0.00%), (T, 12,272, 0.46%, 0.00%), (MS, 2,324, 0.45%, 0.00%), (INTU, 540, 0.45%, 0.00%), (DE, 724, 0.43%, 0.00%), (AXP, 1,043, 0.43%, 0.00%), (MRK, 3,980, 0.42%, 0.00%), (SPGI, 595, 0.41%, 0.00%), (QCOM, 1,986, 0.40%, 0.00%), (VZ, 7,200, 0.40%, 0.00%), (BLK, 273, 0.38%, 0.00%), (TXN, 1,623, 0.38%, 0.00%), (MDT, 3,213, 0.38%, 0.00%), (ADBE, 849, 0.37%, 0.00%), (ACN, 1,205, 0.37%, 0.00%), (COP, 3,098, 0.37%, 0.00%), (TMO, 602, 0.37%, 0.00%), (DIS, 2,464, 0.36%, 0.00%), (UNP, 1,319, 0.36%, 0.00%), (C, 2,922, 0.36%, 0.00%), (LMT, 600, 0.35%, 0.00%), (SCHW, 2,801, 0.33%, 0.00%), (SBUX, 2,979, 0.31%, 0.00%), (AMAT, 1,467, 0.30%, 0.00%), (MMM, 1,557, 0.30%, 0.00%), (AMGN, 846, 0.30%, 0.00%), (CVS, 3,153, 0.30%, 0.00%), (TJX, 1,618, 0.29%, 0.00%), (GILD, 1,961, 0.29%, 0.00%), (PFE, 8,916, 0.28%, 0.00%), (LOW, 814, 0.28%, 0.00%), (EMR, 1,623, 0.28%, 0.00%), (MO, 3,151, 0.27%, 0.00%), (DHR, 1,011, 0.25%, 0.00%), (INTC, 7,674, 0.24%, 0.00%), (ELV, 581, 0.23%, 0.00%), (CMCSA, 5,169, 0.22%, 0.00%), (MDLZ, 2,486, 0.20%,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</si>
  <si>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EBAY, GOOGL, BK, MLI, META, JPM, PHM, MSFT, RJF, BLK, EA</t>
  </si>
  <si>
    <t>(EWBC, 9,897, 1.97%, 0.01%), (AXP, 3,229, 1.94%, 0.00%), (BKNG, 193, 1.93%, 0.00%), (HIG, 7,666, 1.86%, 0.00%), (TRV, 3,642, 1.86%, 0.00%), (V, 2,863, 1.79%, 0.00%), (KLAC, 1,013, 1.77%, 0.00%), (UNM, 12,879, 1.77%, 0.01%), (ROST, 6,378, 1.76%, 0.00%), (SNA, 2,855, 1.73%, 0.01%), (NVDA, 5,349, 1.73%, 0.00%), (LEN, 6,758, 1.73%, 0.00%), (AMAT, 5,485, 1.70%, 0.00%), (PCAR, 9,054, 1.68%, 0.00%), (CB, 3,230, 1.67%, 0.00%), (ADP, 3,059, 1.66%, 0.00%), (SYF, 11,956, 1.66%, 0.00%), (WSM, 4,048, 1.50%, 0.00%), (CTSH, 11,571, 1.49%, 0.00%), (DHI, 4,491, 1.48%, 0.00%), (CRM, 3,280, 1.47%, 0.00%), (BKR, 17,028, 1.46%, 0.00%), (PAYC, 3,502, 1.45%, 0.01%), (QCOM, 4,618, 1.36%, 0.00%), (ELV, 2,193, 1.26%, 0.00%), (AFL, 6,324, 1.25%, 0.00%), (AAPL, 2,982, 1.25%, 0.00%), (LRCX, 5,898, 1.24%, 0.00%), (ACN, 2,728, 1.21%, 0.00%), (MPWR, 731, 1.12%, 0.00%), (ODFL, 3,923, 1.07%, 0.00%), (GE, 2,067, 1.06%, 0.00%), (CSCO, 8,566, 1.06%, 0.00%), (STT, 4,748, 0.98%, 0.00%), (PNC, 2,543, 0.94%, 0.00%), (MTB, 2,527, 0.91%, 0.00%), (CF, 5,426, 0.85%, 0.00%), (AMP, 925, 0.84%, 0.00%), (COST, 475, 0.84%, 0.00%), (ABT, 3,418, 0.83%, 0.00%), (XOM, 3,975, 0.81%, 0.00%), (EOG, 3,576, 0.78%, 0.00%), (EG, 1,203, 0.76%, 0.00%), (CSL, 1,065, 0.76%, 0.00%), (GEV, 484, 0.56%, 0.00%), (NTRS, 2,204, 0.52%, 0.00%), (MA, 460, 0.49%, 0.00%), (ACM, 2,085, 0.49%, 0.00%), (JNJ, 1,476, 0.48%, 0.00%), (CRBG, 7,572, 0.47%, 0.00%), (LNC, 6,027, 0.46%, 0.00%), (MTG, 8,660, 0.46%, 0.00%), (JXN, 2,488, 0.45%, 0.00%), (WTFC, 1,775, 0.44%, 0.00%), (CINF, 1,533, 0.44%, 0.00%), (EQH, 4,272, 0.42%, 0.00%), (DOV, 1,289, 0.42%, 0.00%), (MCK, 318, 0.42%, 0.00%), (ADM, 3,670, 0.41%, 0.00%), (ALL, 1,091, 0.40%, 0.00%), (NUE, 1,473, 0.39%, 0.00%), (SLM, 7,076, 0.37%, 0.00%), (PGR, 804, 0.36%, 0.00%), (NKE, 2,686,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</si>
  <si>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3.87%, 0.00%), (META, 1,355, 2.93%, 0.00%), (GOOGL, 3,633, 2.50%, 0.00%), (BRK/B, 1,577, 2.26%, 0.00%), (GOOG, 2,959, 2.04%, 0.00%), (TSLA, 1,814, 1.89%, 0.00%), (LIN, 1,355, 1.89%, 0.00%), (CSCO, 9,575, 1.86%, 0.00%), (JPM, 1,997, 1.74%, 0.00%), (AMT, 2,748, 1.56%, 0.00%), (XOM, 4,833, 1.55%, 0.00%), (V, 1,487, 1.47%, 0.00%), (CB, 1,517, 1.24%, 0.00%), (LLY, 569, 1.22%, 0.00%), (MA, 705, 1.19%, 0.00%), (ORCL, 1,423, 1.18%, 0.00%), (GE, 1,414, 1.15%, 0.00%), (WM, 1,699, 1.08%, 0.00%), (UNH, 1,059, 1.05%, 0.00%), (NFLX, 266, 0.92%, 0.00%), (NEE, 4,364, 0.90%, 0.00%), (JNJ, 1,739, 0.89%, 0.00%), (WMT, 2,895, 0.85%, 0.00%), (PLTR, 1,814, 0.84%, 0.00%), (PG, 1,830, 0.84%, 0.00%), (CVX, 1,838, 0.83%, 0.00%), (COST, 296, 0.82%, 0.00%), (ABBV, 1,277, 0.80%, 0.00%), (HD, 654, 0.79%, 0.00%), (RTX, 1,739, 0.79%, 0.00%), (CAT, 631, 0.78%, 0.00%), (MCD, 865, 0.77%, 0.00%), (ABT, 1,995, 0.76%, 0.00%), (BAC, 4,734, 0.69%, 0.00%), (KO, 3,309, 0.65%, 0.00%), (PM, 1,327, 0.63%, 0.00%), (BKNG, 40, 0.63%, 0.00%), (BA, 977, 0.62%, 0.00%), (SO, 2,325, 0.62%, 0.00%), (NKE, 2,827, 0.60%, 0.00%), (CRM, 846, 0.60%, 0.00%), (IBM, 818, 0.60%, 0.00%), (GS, 270, 0.60%, 0.00%), (AMD, 1,326, 0.59%, 0.00%), (DUK, 1,639, 0.58%, 0.00%), (UBER, 2,104, 0.57%, 0.00%), (WFC, 2,361, 0.55%, 0.00%), (MET, 2,353, 0.55%, 0.00%), (ISRG, 410, 0.54%, 0.00%), (ETN, 516, 0.53%, 0.00%), (HON, 850, 0.53%, 0.00%), (PEP, 1,171, 0.49%, 0.00%), (NOW, 182, 0.48%, 0.00%), (T, 5,635, 0.48%, 0.00%), (MS, 1,067, 0.47%, 0.00%), (INTU, 248, 0.47%, 0.00%), (DE, 332, 0.46%, 0.00%), (AXP, 479, 0.45%, 0.00%), (MRK, 1,827, 0.45%, 0.00%), (SPGI, 273, 0.43%, 0.00%), (QCOM, 908, 0.42%, 0.00%), (VZ, 3,306, 0.42%, 0.00%), (BLK, 125, 0.41%, 0.00%), (MDT, 1,475, 0.40%, 0.00%), (TXN, 745, 0.40%, 0.00%), (TMO, 276, 0.39%, 0.00%), (ACN, 553, 0.39%, 0.00%), (ADBE, 390, 0.39%, 0.00%), (COP, 1,423, 0.39%, 0.00%), (DIS, 1,126, 0.38%, 0.00%), (C, 1,341, 0.38%, 0.00%), (UNP, 606, 0.38%, 0.00%), (LMT, 276, 0.37%, 0.00%), (SCHW, 1,286, 0.35%, 0.00%), (AMAT, 673, 0.33%, 0.00%), (MMM, 712, 0.33%, 0.00%), (SBUX, 1,368, 0.33%, 0.00%), (AMGN, 388, 0.32%, 0.00%), (CVS, 1,448, 0.31%, 0.00%), (GILD, 900, 0.30%, 0.00%), (TJX, 743, 0.30%, 0.00%), (PFE, 4,094, 0.29%, 0.00%), (LOW, 374, 0.29%, 0.00%), (EMR, 745, 0.29%, 0.00%), (MO, 1,446, 0.28%, 0.00%), (DHR, 464, 0.26%, 0.00%), (INTC, 3,523, 0.25%, 0.00%), (ELV, 267, 0.24%, 0.00%), (CMCSA, 2,373, 0.23%, 0.00%), (MDLZ, 1,141, 0.20%, 0.00%), (BMY, 1,465, 0.20%, 0.00%), (UPS, 731, 0.18%, 0.00%), (PYPL, 862, 0.17%,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</si>
  <si>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3.77%, 0.00%), (META, 893, 2.86%, 0.00%), (GOOGL, 2,395, 2.44%, 0.00%), (BRK/B, 1,039, 2.20%, 0.00%), (GOOG, 1,950, 1.99%, 0.00%), (TSLA, 1,195, 1.84%, 0.00%), (LIN, 893, 1.84%, 0.00%), (CSCO, 6,311, 1.82%, 0.00%), (JPM, 1,316, 1.70%, 0.00%), (AMT, 1,811, 1.52%, 0.00%), (XOM, 3,186, 1.51%, 0.00%), (V, 980, 1.43%, 0.00%), (CB, 1,000, 1.21%, 0.00%), (LLY, 375, 1.20%, 0.00%), (MA, 465, 1.16%, 0.00%), (ORCL, 938, 1.14%, 0.00%), (GE, 932, 1.12%, 0.00%), (WM, 1,120, 1.05%, 0.00%), (UNH, 698, 1.02%, 0.00%), (NFLX, 175, 0.90%, 0.00%), (NEE, 2,877, 0.87%, 0.00%), (JNJ, 1,146, 0.87%, 0.00%), (WMT, 1,908, 0.83%, 0.00%), (PLTR, 1,196, 0.82%, 0.00%), (PG, 1,206, 0.82%, 0.00%), (CVX, 1,211, 0.81%, 0.00%), (COST, 195, 0.80%, 0.00%), (ABBV, 841, 0.78%, 0.00%), (HD, 431, 0.78%, 0.00%), (RTX, 1,146, 0.77%, 0.00%), (CAT, 416, 0.76%, 0.00%), (MCD, 570, 0.75%, 0.00%), (ABT, 1,315, 0.74%, 0.00%), (BAC, 3,121, 0.67%, 0.00%), (KO, 2,181, 0.63%, 0.00%), (PM, 875, 0.62%, 0.00%), (BKNG, 26, 0.61%, 0.00%), (BA, 644, 0.60%, 0.00%), (SO, 1,533, 0.60%, 0.00%), (NKE, 1,863, 0.59%, 0.00%), (CRM, 558, 0.59%, 0.00%), (IBM, 539, 0.58%, 0.00%), (GS, 178, 0.58%, 0.00%), (AMD, 874, 0.58%, 0.00%), (DUK, 1,081, 0.56%, 0.00%), (UBER, 1,387, 0.55%, 0.00%), (WFC, 1,556, 0.53%, 0.00%), (MET, 1,551, 0.53%, 0.00%), (ISRG, 270, 0.52%, 0.00%), (ETN, 340, 0.52%, 0.00%), (HON, 560, 0.51%, 0.00%), (NOW, 120, 0.48%, 0.00%), (PEP, 772, 0.47%, 0.00%), (T, 3,714, 0.47%, 0.00%), (MS, 703, 0.46%, 0.00%), (INTU, 164, 0.46%, 0.00%), (DE, 219, 0.44%, 0.00%), (AXP, 316, 0.44%, 0.00%), (MRK, 1,204, 0.44%, 0.00%), (SPGI, 180, 0.42%, 0.00%), (QCOM, 598, 0.41%, 0.00%), (VZ, 2,179, 0.41%, 0.00%), (BLK, 83, 0.40%, 0.00%), (MDT, 972, 0.39%, 0.00%), (TXN, 491, 0.39%, 0.00%), (ACN, 365, 0.38%, 0.00%), (TMO, 182, 0.38%, 0.00%), (ADBE, 257, 0.38%, 0.00%), (COP, 938, 0.37%, 0.00%), (DIS, 742, 0.37%, 0.00%), (C, 884, 0.37%, 0.00%), (UNP, 399, 0.37%, 0.00%), (LMT, 182, 0.36%, 0.00%), (SCHW, 848, 0.34%, 0.00%), (AMAT, 444, 0.32%, 0.00%), (MMM, 469, 0.32%, 0.00%), (SBUX, 902, 0.32%, 0.00%), (AMGN, 256, 0.31%, 0.00%), (CVS, 954, 0.30%, 0.00%), (GILD, 593, 0.30%, 0.00%), (TJX, 490, 0.29%, 0.00%), (EMR, 491, 0.29%, 0.00%), (PFE, 2,698, 0.29%, 0.00%), (LOW, 246, 0.28%, 0.00%), (MO, 953, 0.27%, 0.00%), (DHR, 306, 0.25%, 0.00%), (INTC, 2,322, 0.24%, 0.00%), (ELV, 176, 0.24%,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</si>
  <si>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2.60%, 0.00%), (GOOGL, 2,294, 2.22%, 0.00%), (BRK/B, 996, 2.00%, 0.00%), (GOOG, 1,869, 1.81%, 0.00%), (TSLA, 1,145, 1.68%, 0.00%), (LIN, 855, 1.67%, 0.00%), (CSCO, 6,046, 1.65%, 0.00%), (JPM, 1,261, 1.55%, 0.00%), (AMT, 1,735, 1.38%, 0.00%), (XOM, 3,052, 1.37%, 0.00%), (V, 939, 1.30%, 0.00%), (CB, 958, 1.10%, 0.00%), (LLY, 359, 1.09%, 0.00%), (ORCL, 898, 1.06%, 0.00%), (MA, 445, 1.06%, 0.00%), (GE, 893, 1.02%, 0.00%), (WM, 1,073, 0.96%, 0.00%), (UNH, 669, 0.92%, 0.00%), (NFLX, 168, 0.82%, 0.00%), (NEE, 2,756, 0.79%, 0.00%), (JNJ, 1,098, 0.79%, 0.00%), (WMT, 1,828, 0.75%, 0.00%), (PLTR, 1,146, 0.75%, 0.00%), (PG, 1,156, 0.74%, 0.00%), (CVX, 1,161, 0.74%, 0.00%), (COST, 187, 0.73%, 0.00%), (ABBV, 806, 0.71%, 0.00%), (HD, 413, 0.70%, 0.00%), (RTX, 1,098, 0.70%, 0.00%), (CAT, 398, 0.69%, 0.00%), (MCD, 546, 0.68%, 0.00%), (ABT, 1,267, 0.68%, 0.00%), (BAC, 2,990, 0.61%, 0.00%), (KO, 2,090, 0.57%, 0.00%), (PM, 838, 0.56%, 0.00%), (BKNG, 25, 0.56%, 0.00%), (BA, 617, 0.55%, 0.00%), (SO, 1,468, 0.55%, 0.00%), (GS, 171, 0.54%, 0.00%), (NKE, 1,785, 0.54%, 0.00%), (IBM, 517, 0.53%, 0.00%), (CRM, 534, 0.53%, 0.00%), (AMD, 837, 0.52%, 0.00%), (DUK, 1,035, 0.51%, 0.00%), (UBER, 1,329, 0.50%, 0.00%), (WFC, 1,491, 0.49%, 0.00%), (MET, 1,486, 0.48%, 0.00%), (ISRG, 259, 0.48%, 0.00%), (ETN, 326, 0.47%, 0.00%), (HON, 537, 0.47%, 0.00%), (NOW, 115, 0.44%, 0.00%), (PEP, 739, 0.43%, 0.00%), (T, 3,558, 0.42%, 0.00%), (MS, 674, 0.42%, 0.00%), (INTU, 157, 0.42%, 0.00%), (DE, 210, 0.40%, 0.00%), (AXP, 302, 0.40%, 0.00%), (MRK, 1,154, 0.40%, 0.00%), (SPGI, 172, 0.38%, 0.00%), (QCOM, 576, 0.37%, 0.00%), (VZ, 2,087, 0.37%, 0.00%), (BLK, 79, 0.36%, 0.00%), (MDT, 932, 0.35%, 0.00%), (TXN, 471, 0.35%, 0.00%), (TMO, 174, 0.35%, 0.00%), (ACN, 349, 0.34%, 0.00%), (COP, 898, 0.34%, 0.00%), (ADBE, 246, 0.34%, 0.00%), (DIS, 715, 0.34%, 0.00%), (C, 847, 0.34%, 0.00%), (UNP, 383, 0.33%, 0.00%), (LMT, 174, 0.33%, 0.00%), (SCHW, 812, 0.31%, 0.00%), (MMM, 452, 0.29%, 0.00%), (AMAT, 425, 0.29%, 0.00%), (SBUX, 864, 0.29%, 0.00%), (AMGN, 245, 0.28%, 0.00%), (CVS, 914, 0.28%, 0.00%), (GILD, 569, 0.27%, 0.00%), (TJX, 469, 0.27%, 0.00%), (PFE, 2,585, 0.26%, 0.00%), (EMR, 470, 0.26%, 0.00%), (LOW, 236, 0.26%, 0.00%), (MO, 913, 0.24%, 0.00%), (DHR, 293, 0.23%, 0.00%), (INTC, 2,225, 0.22%, 0.00%), (ELV, 168, 0.21%, 0.00%), (CMCSA, 1,499, 0.20%, 0.00%), (MDLZ, 721, 0.18%, 0.00%), (BMY, 925, 0.18%,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</si>
  <si>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3.67%, 0.00%), (META, 567, 2.77%, 0.00%), (GOOGL, 1,521, 2.36%, 0.00%), (BRK/B, 660, 2.13%, 0.00%), (GOOG, 1,239, 1.93%, 0.00%), (TSLA, 759, 1.79%, 0.00%), (LIN, 567, 1.78%, 0.00%), (CSCO, 4,008, 1.76%, 0.00%), (JPM, 836, 1.65%, 0.00%), (AMT, 1,150, 1.47%, 0.00%), (XOM, 2,023, 1.46%, 0.00%), (V, 622, 1.39%, 0.00%), (CB, 635, 1.17%, 0.00%), (LLY, 239, 1.16%, 0.00%), (MA, 295, 1.13%, 0.00%), (ORCL, 595, 1.09%, 0.00%), (GE, 592, 1.08%, 0.00%), (WM, 711, 1.02%, 0.00%), (UNH, 443, 0.99%, 0.00%), (NFLX, 111, 0.87%, 0.00%), (NEE, 1,827, 0.85%, 0.00%), (JNJ, 728, 0.84%, 0.00%), (WMT, 1,212, 0.80%, 0.00%), (PLTR, 759, 0.80%, 0.00%), (PG, 766, 0.79%, 0.00%), (CVX, 769, 0.79%, 0.00%), (COST, 124, 0.78%, 0.00%), (ABBV, 534, 0.76%, 0.00%), (HD, 274, 0.75%, 0.00%), (RTX, 728, 0.75%, 0.00%), (CAT, 264, 0.74%, 0.00%), (MCD, 362, 0.73%, 0.00%), (ABT, 839, 0.72%, 0.00%), (BAC, 1,982, 0.65%, 0.00%), (KO, 1,385, 0.61%, 0.00%), (BKNG, 17, 0.61%, 0.00%), (PM, 555, 0.60%, 0.00%), (BA, 409, 0.59%, 0.00%), (SO, 973, 0.58%, 0.00%), (GS, 113, 0.58%, 0.00%), (NKE, 1,183, 0.57%, 0.00%), (IBM, 343, 0.57%, 0.00%), (CRM, 354, 0.57%, 0.00%), (AMD, 555, 0.56%, 0.00%), (DUK, 686, 0.55%, 0.00%), (UBER, 881, 0.54%, 0.00%), (WFC, 988, 0.52%, 0.00%), (MET, 985, 0.52%, 0.00%), (ISRG, 171, 0.51%, 0.00%), (ETN, 216, 0.50%, 0.00%), (HON, 356, 0.50%, 0.00%), (NOW, 76, 0.46%, 0.00%), (PEP, 490, 0.46%, 0.00%), (T, 2,358, 0.45%, 0.00%), (MS, 447, 0.45%, 0.00%), (INTU, 104, 0.45%, 0.00%), (DE, 139, 0.43%, 0.00%), (AXP, 200, 0.43%, 0.00%), (MRK, 765, 0.42%, 0.00%), (SPGI, 114, 0.41%, 0.00%), (QCOM, 382, 0.40%, 0.00%), (VZ, 1,384, 0.40%, 0.00%), (BLK, 52, 0.38%, 0.00%), (MDT, 617, 0.38%, 0.00%), (TXN, 312, 0.37%, 0.00%), (ADBE, 163, 0.37%, 0.00%), (TMO, 116, 0.37%, 0.00%), (ACN, 232, 0.37%, 0.00%), (COP, 595, 0.36%, 0.00%), (DIS, 473, 0.36%, 0.00%), (C, 561, 0.36%, 0.00%), (UNP, 254, 0.36%, 0.00%), (LMT, 115, 0.35%, 0.00%), (SCHW, 538, 0.33%, 0.00%), (MMM, 299, 0.31%, 0.00%), (AMAT, 282, 0.31%, 0.00%), (SBUX, 572, 0.31%, 0.00%), (AMGN, 163, 0.30%, 0.00%), (CVS, 606, 0.29%, 0.00%), (GILD, 377, 0.29%, 0.00%), (TJX, 311, 0.28%, 0.00%), (PFE, 1,713, 0.28%, 0.00%), (LOW, 156, 0.28%, 0.00%), (EMR, 312, 0.28%, 0.00%), (MO, 605, 0.26%, 0.00%), (DHR, 194, 0.25%, 0.00%), (INTC, 1,475, 0.24%, 0.00%), (ELV, 112, 0.23%, 0.00%), (CMCSA, 993, 0.22%, 0.00%), (MDLZ, 478, 0.19%, 0.00%), (BMY, 613, 0.19%, 0.00%), (UPS, 306, 0.17%, 0.00%), (PYPL, 361, 0.16%, 0.00%), (USB, 463, 0.15%, 0.00%), (CL, 266, 0.15%, 0.00%), (FDX, 94, 0.14%, 0.00%), (TGT, 129, 0.08%, 0.00%), (SC8071B, nan, nan%, 0.00%), (SC8073B, nan, nan%, 0.00%), (SP8072B, nan, nan%, 0.00%), (SP8075B, nan, nan%, 0.00%), (SP8074B, nan, nan%, 0.00%), (XP8075B, nan, nan%, 0.00%)</t>
  </si>
  <si>
    <t>(META, 5,906, 2.65%, 0.00%), (GOOGL, 15,831, 2.26%, 0.00%), (BRK/B, 6,872, 2.04%, 0.00%), (GOOG, 12,895, 1.85%, 0.00%), (TSLA, 7,904, 1.72%, 0.00%), (LIN, 5,903, 1.71%, 0.00%), (CSCO, 41,724, 1.69%, 0.00%), (JPM, 8,701, 1.58%, 0.00%), (AMT, 11,976, 1.41%, 0.00%), (XOM, 21,062, 1.40%, 0.00%), (V, 6,479, 1.33%, 0.00%), (CB, 6,609, 1.12%, 0.00%), (LLY, 2,480, 1.11%, 0.00%), (MA, 3,073, 1.08%, 0.00%), (ORCL, 6,199, 1.06%, 0.00%), (GE, 6,163, 1.04%, 0.00%), (WM, 7,403, 0.98%, 0.00%), (UNH, 4,613, 0.94%, 0.00%), (NFLX, 1,158, 0.83%, 0.00%), (NEE, 19,018, 0.81%, 0.00%), (JNJ, 7,579, 0.81%, 0.00%), (WMT, 12,617, 0.77%, 0.00%), (PLTR, 7,907, 0.76%, 0.00%), (PG, 7,975, 0.76%, 0.00%), (CVX, 8,009, 0.75%, 0.00%), (COST, 1,288, 0.74%, 0.00%), (ABBV, 5,563, 0.73%, 0.00%), (HD, 2,851, 0.72%, 0.00%), (RTX, 7,579, 0.71%, 0.00%), (CAT, 2,749, 0.71%, 0.00%), (MCD, 3,768, 0.70%, 0.00%), (ABT, 8,695, 0.69%, 0.00%), (BAC, 20,631, 0.62%, 0.00%), (KO, 14,419, 0.58%, 0.00%), (PM, 5,783, 0.57%, 0.00%), (BKNG, 174, 0.57%, 0.00%), (BA, 4,257, 0.56%, 0.00%), (SO, 10,133, 0.56%, 0.00%), (NKE, 12,319, 0.55%, 0.00%), (CRM, 3,688, 0.54%, 0.00%), (IBM, 3,567, 0.54%, 0.00%), (GS, 1,177, 0.54%, 0.00%), (AMD, 5,777, 0.53%, 0.00%), (DUK, 7,144, 0.52%, 0.00%), (UBER, 9,168, 0.51%, 0.00%), (WFC, 10,290, 0.50%, 0.00%), (MET, 10,254, 0.49%, 0.00%), (ISRG, 1,785, 0.49%, 0.00%), (ETN, 2,250, 0.48%, 0.00%), (HON, 3,703, 0.48%, 0.00%), (NOW, 795, 0.44%, 0.00%), (PEP, 5,103, 0.44%, 0.00%), (T, 24,554, 0.43%, 0.00%), (MS, 4,651, 0.43%, 0.00%), (INTU, 1,081, 0.43%, 0.00%), (DE, 1,449, 0.41%, 0.00%), (AXP, 2,086, 0.41%, 0.00%), (MRK, 7,963, 0.40%, 0.00%), (SPGI, 1,190, 0.39%, 0.00%), (QCOM, 3,955, 0.38%, 0.00%), (VZ, 14,405, 0.38%, 0.00%), (BLK, 546, 0.37%, 0.00%), (MDT, 6,429, 0.36%, 0.00%), (TXN, 3,247, 0.36%, 0.00%), (TMO, 1,204, 0.35%, 0.00%), (ACN, 2,410, 0.35%, 0.00%), (ADBE, 1,698, 0.35%, 0.00%), (COP, 6,199, 0.35%, 0.00%), (DIS, 4,907, 0.34%, 0.00%), (C, 5,845, 0.34%, 0.00%), (UNP, 2,640, 0.34%, 0.00%), (LMT, 1,201, 0.34%, 0.00%), (SCHW, 5,604, 0.31%, 0.00%), (AMAT, 2,935, 0.29%, 0.00%), (SBUX, 5,960, 0.29%, 0.00%), (MMM, 3,101, 0.29%, 0.00%), (AMGN, 1,692, 0.29%, 0.00%), (CVS, 6,308, 0.28%, 0.00%), (GILD, 3,923, 0.27%, 0.00%), (TJX, 3,238, 0.27%, 0.00%), (PFE, 17,840, 0.27%, 0.00%), (LOW, 1,628, 0.26%, 0.00%), (EMR, 3,247, 0.26%, 0.00%), (MO, 6,303, 0.25%, 0.00%), (DHR, 2,024, 0.24%, 0.00%), (INTC, 15,354, 0.23%, 0.00%), (ELV, 1,163, 0.22%, 0.00%), (CMCSA, 10,342, 0.21%, 0.00%), (MDLZ, 4,973, 0.18%,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</si>
  <si>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3.73%, 0.00%), (META, 5,114, 2.82%, 0.00%), (GOOGL, 13,707, 2.41%, 0.00%), (BRK/B, 5,950, 2.18%, 0.00%), (GOOG, 11,165, 1.96%, 0.00%), (TSLA, 6,843, 1.82%, 0.00%), (LIN, 5,111, 1.82%, 0.00%), (CSCO, 36,126, 1.79%, 0.00%), (JPM, 7,534, 1.68%, 0.00%), (AMT, 10,369, 1.50%, 0.00%), (XOM, 18,236, 1.49%, 0.00%), (V, 5,609, 1.42%, 0.00%), (CB, 5,723, 1.19%, 0.00%), (LLY, 2,148, 1.18%, 0.00%), (MA, 2,661, 1.15%, 0.00%), (ORCL, 5,368, 1.12%, 0.00%), (GE, 5,336, 1.10%, 0.00%), (WM, 6,410, 1.04%, 0.00%), (UNH, 3,994, 1.00%, 0.00%), (NFLX, 1,003, 0.89%, 0.00%), (NEE, 16,466, 0.86%, 0.00%), (JNJ, 6,562, 0.86%, 0.00%), (WMT, 10,924, 0.82%, 0.00%), (PLTR, 6,846, 0.81%, 0.00%), (PG, 6,905, 0.81%, 0.00%), (CVX, 6,935, 0.80%, 0.00%), (COST, 1,115, 0.79%, 0.00%), (ABBV, 4,817, 0.77%, 0.00%), (HD, 2,469, 0.77%, 0.00%), (RTX, 6,562, 0.76%, 0.00%), (CAT, 2,380, 0.75%, 0.00%), (MCD, 3,263, 0.74%, 0.00%), (ABT, 7,528, 0.73%, 0.00%), (BAC, 17,864, 0.66%, 0.00%), (KO, 12,485, 0.62%, 0.00%), (BKNG, 151, 0.61%, 0.00%), (PM, 5,007, 0.61%, 0.00%), (BA, 3,686, 0.60%, 0.00%), (SO, 8,774, 0.59%, 0.00%), (NKE, 10,666, 0.58%, 0.00%), (GS, 1,019, 0.58%, 0.00%), (CRM, 3,193, 0.58%, 0.00%), (IBM, 3,088, 0.58%, 0.00%), (AMD, 5,002, 0.57%, 0.00%), (DUK, 6,186, 0.56%, 0.00%), (UBER, 7,938, 0.55%, 0.00%), (WFC, 8,910, 0.53%, 0.00%), (MET, 8,879, 0.53%, 0.00%), (ISRG, 1,546, 0.52%, 0.00%), (ETN, 1,948, 0.51%, 0.00%), (HON, 3,206, 0.51%, 0.00%), (NOW, 688, 0.47%, 0.00%), (PEP, 4,418, 0.47%, 0.00%), (T, 21,260, 0.46%, 0.00%), (MS, 4,027, 0.46%, 0.00%), (INTU, 936, 0.45%, 0.00%), (DE, 1,254, 0.44%, 0.00%), (AXP, 1,806, 0.44%, 0.00%), (MRK, 6,895, 0.43%, 0.00%), (SPGI, 1,031, 0.41%, 0.00%), (QCOM, 3,425, 0.41%, 0.00%), (VZ, 12,473, 0.41%, 0.00%), (BLK, 473, 0.39%, 0.00%), (MDT, 5,566, 0.38%, 0.00%), (TXN, 2,812, 0.38%, 0.00%), (TMO, 1,043, 0.38%, 0.00%), (ACN, 2,087, 0.38%, 0.00%), (ADBE, 1,470, 0.37%, 0.00%), (COP, 5,367, 0.37%, 0.00%), (DIS, 4,248, 0.37%, 0.00%), (C, 5,061, 0.37%, 0.00%), (UNP, 2,286, 0.36%, 0.00%), (LMT, 1,040, 0.36%, 0.00%), (SCHW, 4,852, 0.33%, 0.00%), (AMAT, 2,541, 0.31%, 0.00%), (SBUX, 5,161, 0.31%, 0.00%), (MMM, 2,685, 0.31%, 0.00%), (AMGN, 1,465, 0.30%, 0.00%), (CVS, 5,462, 0.30%, 0.00%), (GILD, 3,397, 0.29%, 0.00%), (TJX, 2,803, 0.29%, 0.00%), (PFE, 15,446, 0.28%, 0.00%), (LOW, 1,410, 0.28%, 0.00%), (EMR, 2,811, 0.28%,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</si>
  <si>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3.73%, 0.00%), (META, 3,811, 2.82%, 0.00%), (GOOGL, 10,214, 2.40%, 0.00%), (BRK/B, 4,433, 2.17%, 0.00%), (GOOG, 8,319, 1.96%, 0.00%), (TSLA, 5,099, 1.82%, 0.00%), (LIN, 3,809, 1.82%, 0.00%), (CSCO, 26,919, 1.79%, 0.00%), (JPM, 5,614, 1.68%, 0.00%), (AMT, 7,727, 1.50%, 0.00%), (XOM, 13,589, 1.49%, 0.00%), (V, 4,180, 1.41%, 0.00%), (CB, 4,264, 1.19%, 0.00%), (LLY, 1,600, 1.18%, 0.00%), (MA, 1,983, 1.15%, 0.00%), (ORCL, 4,000, 1.13%, 0.00%), (GE, 3,976, 1.10%, 0.00%), (WM, 4,776, 1.04%, 0.00%), (UNH, 2,976, 1.00%, 0.00%), (NFLX, 747, 0.89%, 0.00%), (NEE, 12,270, 0.86%, 0.00%), (JNJ, 4,890, 0.86%, 0.00%), (WMT, 8,140, 0.82%, 0.00%), (PLTR, 5,101, 0.81%, 0.00%), (PG, 5,145, 0.81%, 0.00%), (CVX, 5,167, 0.80%, 0.00%), (COST, 831, 0.79%, 0.00%), (ABBV, 3,589, 0.77%, 0.00%), (HD, 1,840, 0.76%, 0.00%), (RTX, 4,890, 0.76%, 0.00%), (CAT, 1,774, 0.75%, 0.00%), (MCD, 2,431, 0.74%, 0.00%), (ABT, 5,609, 0.73%, 0.00%), (BAC, 13,311, 0.66%, 0.00%), (KO, 9,303, 0.62%, 0.00%), (PM, 3,731, 0.61%, 0.00%), (BKNG, 112, 0.61%, 0.00%), (BA, 2,746, 0.60%, 0.00%), (SO, 6,538, 0.59%, 0.00%), (NKE, 7,948, 0.58%, 0.00%), (GS, 759, 0.58%, 0.00%), (CRM, 2,379, 0.58%, 0.00%), (IBM, 2,301, 0.58%, 0.00%), (AMD, 3,727, 0.57%, 0.00%), (DUK, 4,609, 0.56%, 0.00%), (UBER, 5,915, 0.55%, 0.00%), (WFC, 6,639, 0.53%, 0.00%), (MET, 6,616, 0.52%, 0.00%), (ISRG, 1,152, 0.52%, 0.00%), (ETN, 1,452, 0.51%, 0.00%), (HON, 2,389, 0.51%, 0.00%), (NOW, 513, 0.47%, 0.00%), (PEP, 3,292, 0.47%, 0.00%), (T, 15,842, 0.46%, 0.00%), (MS, 3,000, 0.46%, 0.00%), (INTU, 698, 0.45%, 0.00%), (DE, 935, 0.44%, 0.00%), (AXP, 1,346, 0.44%, 0.00%), (MRK, 5,138, 0.43%, 0.00%), (SPGI, 768, 0.41%, 0.00%), (QCOM, 2,552, 0.41%, 0.00%), (VZ, 9,294, 0.40%, 0.00%), (BLK, 352, 0.39%, 0.00%), (MDT, 4,148, 0.38%, 0.00%), (TXN, 2,095, 0.38%, 0.00%), (TMO, 777, 0.38%, 0.00%), (ACN, 1,555, 0.37%, 0.00%), (ADBE, 1,095, 0.37%, 0.00%), (COP, 3,999, 0.37%, 0.00%), (DIS, 3,166, 0.37%, 0.00%), (C, 3,771, 0.36%, 0.00%), (UNP, 1,703, 0.36%, 0.00%), (LMT, 775, 0.36%, 0.00%), (SCHW, 3,616, 0.33%, 0.00%), (AMAT, 1,894, 0.31%, 0.00%), (SBUX, 3,845, 0.31%, 0.00%), (MMM, 2,001, 0.31%, 0.00%), (AMGN, 1,092, 0.30%, 0.00%), (CVS, 4,070, 0.30%, 0.00%), (GILD, 2,531, 0.29%, 0.00%), (TJX, 2,089, 0.29%, 0.00%), (PFE, 11,510, 0.28%, 0.00%), (LOW, 1,051, 0.28%, 0.00%), (EMR, 2,095, 0.28%, 0.00%), (MO, 4,067, 0.27%, 0.00%), (DHR, 1,306, 0.25%, 0.00%), (INTC, 9,906, 0.24%, 0.00%), (ELV, 750, 0.23%, 0.00%), (CMCSA, 6,672, 0.22%, 0.00%), (MDLZ, 3,209, 0.19%,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</si>
  <si>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3.56%, 0.00%), (META, 1,444, 2.68%, 0.00%), (GOOGL, 3,870, 2.29%, 0.00%), (BRK/B, 1,680, 2.07%, 0.00%), (GOOG, 3,153, 1.87%, 0.00%), (TSLA, 1,932, 1.74%, 0.00%), (LIN, 1,443, 1.73%, 0.00%), (CSCO, 10,201, 1.71%, 0.00%), (JPM, 2,127, 1.60%, 0.00%), (AMT, 2,928, 1.43%, 0.00%), (XOM, 5,149, 1.42%, 0.00%), (V, 1,584, 1.35%, 0.00%), (CB, 1,616, 1.13%, 0.00%), (LLY, 606, 1.12%, 0.00%), (MA, 751, 1.09%, 0.00%), (ORCL, 1,516, 1.08%, 0.00%), (GE, 1,507, 1.05%, 0.00%), (WM, 1,810, 0.99%, 0.00%), (UNH, 1,128, 0.96%, 0.00%), (NFLX, 283, 0.84%, 0.00%), (NEE, 4,650, 0.82%, 0.00%), (JNJ, 1,853, 0.82%, 0.00%), (WMT, 3,085, 0.78%, 0.00%), (PLTR, 1,933, 0.78%, 0.00%), (PG, 1,950, 0.77%, 0.00%), (CVX, 1,958, 0.76%, 0.00%), (COST, 315, 0.75%, 0.00%), (ABBV, 1,360, 0.74%, 0.00%), (HD, 697, 0.73%, 0.00%), (RTX, 1,853, 0.72%, 0.00%), (CAT, 672, 0.71%, 0.00%), (MCD, 921, 0.70%, 0.00%), (ABT, 2,135, 0.70%, 0.00%), (BAC, 5,044, 0.63%, 0.00%), (KO, 3,525, 0.59%, 0.00%), (BKNG, 43, 0.59%, 0.00%), (PM, 1,414, 0.58%, 0.00%), (BA, 1,041, 0.57%, 0.00%), (SO, 2,477, 0.57%, 0.00%), (NKE, 3,012, 0.55%, 0.00%), (IBM, 872, 0.55%, 0.00%), (CRM, 902, 0.55%, 0.00%), (GS, 288, 0.55%, 0.00%), (AMD, 1,412, 0.54%, 0.00%), (DUK, 1,747, 0.53%, 0.00%), (UBER, 2,242, 0.52%, 0.00%), (WFC, 2,516, 0.50%, 0.00%), (MET, 2,507, 0.50%, 0.00%), (ISRG, 437, 0.49%, 0.00%), (ETN, 550, 0.49%, 0.00%), (HON, 905, 0.48%, 0.00%), (NOW, 194, 0.45%, 0.00%), (PEP, 1,248, 0.45%, 0.00%), (T, 6,003, 0.44%, 0.00%), (MS, 1,137, 0.43%, 0.00%), (INTU, 264, 0.43%, 0.00%), (DE, 354, 0.42%, 0.00%), (AXP, 510, 0.42%, 0.00%), (MRK, 1,947, 0.41%, 0.00%), (SPGI, 291, 0.39%, 0.00%), (QCOM, 971, 0.39%, 0.00%), (VZ, 3,522, 0.39%, 0.00%), (BLK, 133, 0.37%, 0.00%), (MDT, 1,572, 0.37%, 0.00%), (TXN, 794, 0.36%, 0.00%), (TMO, 294, 0.36%, 0.00%), (ACN, 589, 0.36%, 0.00%), (ADBE, 415, 0.36%, 0.00%), (COP, 1,516, 0.35%, 0.00%), (DIS, 1,205, 0.35%, 0.00%), (C, 1,429, 0.35%, 0.00%), (UNP, 645, 0.35%, 0.00%), (LMT, 294, 0.34%, 0.00%), (SCHW, 1,370, 0.32%, 0.00%), (AMAT, 718, 0.30%, 0.00%), (MMM, 758, 0.30%, 0.00%), (SBUX, 1,457, 0.30%, 0.00%), (AMGN, 414, 0.29%, 0.00%), (CVS, 1,542, 0.28%, 0.00%), (GILD, 959, 0.28%, 0.00%), (TJX, 792, 0.28%, 0.00%), (PFE, 4,362, 0.27%, 0.00%), (EMR, 794, 0.27%, 0.00%), (LOW, 398, 0.27%, 0.00%), (MO, 1,541, 0.25%, 0.00%), (DHR, 495, 0.24%, 0.00%), (INTC, 3,754, 0.23%, 0.00%), (ELV, 284, 0.22%, 0.00%), (CMCSA, 2,528, 0.21%, 0.00%), (MDLZ, 1,216, 0.19%, 0.00%), (BMY, 1,561, 0.18%, 0.00%), (UPS, 779, 0.16%, 0.00%), (PYPL, 919, 0.15%, 0.00%), (USB, 1,179, 0.14%, 0.00%), (CL, 676, 0.14%, 0.00%), (FDX, 239, 0.14%, 0.00%), (TGT, 327, 0.07%, 0.00%), (SC28181B, nan, nan%, 0.00%), (SC28183B, nan, nan%, 0.00%), (SP28182B, nan, nan%, 0.00%), (SP28185B, nan, nan%, 0.00%), (SP28184B, nan, nan%, 0.00%), (XP28185B, nan, nan%, 0.00%)</t>
  </si>
  <si>
    <t>(AVGO, 4,421, 3.60%, 0.00%), (META, 1,571, 2.71%, 0.00%), (GOOGL, 4,209, 2.31%, 0.00%), (BRK/B, 1,827, 2.09%, 0.00%), (GOOG, 3,429, 1.89%, 0.00%), (TSLA, 2,102, 1.76%, 0.00%), (LIN, 1,570, 1.75%, 0.00%), (CSCO, 11,094, 1.72%, 0.00%), (JPM, 2,314, 1.61%, 0.00%), (AMT, 3,184, 1.44%, 0.00%), (XOM, 5,600, 1.43%, 0.00%), (V, 1,723, 1.36%, 0.00%), (CB, 1,757, 1.14%, 0.00%), (LLY, 662, 1.14%, 0.00%), (MA, 817, 1.10%, 0.00%), (ORCL, 1,648, 1.10%, 0.00%), (GE, 1,639, 1.06%, 0.00%), (WM, 1,969, 1.00%, 0.00%), (UNH, 1,227, 0.97%, 0.00%), (NFLX, 308, 0.85%, 0.00%), (NEE, 5,057, 0.83%, 0.00%), (JNJ, 2,015, 0.83%, 0.00%), (WMT, 3,355, 0.79%, 0.00%), (PLTR, 2,102, 0.78%, 0.00%), (PG, 2,120, 0.77%, 0.00%), (CVX, 2,130, 0.77%, 0.00%), (COST, 342, 0.76%, 0.00%), (ABBV, 1,479, 0.74%, 0.00%), (HD, 758, 0.74%, 0.00%), (RTX, 2,015, 0.73%, 0.00%), (CAT, 731, 0.72%, 0.00%), (MCD, 1,002, 0.71%, 0.00%), (ABT, 2,322, 0.71%, 0.00%), (BAC, 5,486, 0.64%, 0.00%), (KO, 3,834, 0.60%, 0.00%), (PM, 1,538, 0.59%, 0.00%), (BKNG, 46, 0.58%, 0.00%), (BA, 1,132, 0.57%, 0.00%), (SO, 2,694, 0.57%, 0.00%), (NKE, 3,276, 0.56%, 0.00%), (IBM, 948, 0.56%, 0.00%), (CRM, 981, 0.56%, 0.00%), (GS, 313, 0.55%, 0.00%), (AMD, 1,536, 0.55%, 0.00%), (DUK, 1,900, 0.53%, 0.00%), (UBER, 2,438, 0.53%, 0.00%), (WFC, 2,736, 0.51%, 0.00%), (MET, 2,727, 0.50%, 0.00%), (ISRG, 475, 0.50%, 0.00%), (ETN, 598, 0.49%, 0.00%), (HON, 985, 0.49%, 0.00%), (PEP, 1,357, 0.45%, 0.00%), (NOW, 211, 0.45%, 0.00%), (T, 6,529, 0.44%, 0.00%), (MS, 1,237, 0.44%, 0.00%), (INTU, 287, 0.44%, 0.00%), (DE, 385, 0.42%, 0.00%), (AXP, 555, 0.42%, 0.00%), (MRK, 2,117, 0.41%, 0.00%), (SPGI, 316, 0.40%, 0.00%), (QCOM, 1,056, 0.39%, 0.00%), (VZ, 3,830, 0.39%, 0.00%), (BLK, 145, 0.38%, 0.00%), (MDT, 1,709, 0.37%, 0.00%), (TXN, 864, 0.37%, 0.00%), (TMO, 320, 0.36%, 0.00%), (ACN, 641, 0.36%, 0.00%), (ADBE, 451, 0.36%, 0.00%), (COP, 1,648, 0.36%, 0.00%), (DIS, 1,310, 0.35%, 0.00%), (C, 1,554, 0.35%, 0.00%), (UNP, 702, 0.35%, 0.00%), (LMT, 319, 0.34%, 0.00%), (SCHW, 1,490, 0.32%, 0.00%), (MMM, 828, 0.30%, 0.00%), (AMAT, 780, 0.30%, 0.00%), (SBUX, 1,585, 0.30%, 0.00%), (AMGN, 450, 0.29%, 0.00%), (CVS, 1,677, 0.29%, 0.00%), (GILD, 1,043, 0.28%, 0.00%), (TJX, 861, 0.28%, 0.00%), (PFE, 4,744, 0.27%, 0.00%), (EMR, 863, 0.27%, 0.00%), (LOW, 433, 0.27%, 0.00%), (MO, 1,676, 0.26%, 0.00%), (DHR, 538, 0.24%, 0.00%), (INTC, 4,083, 0.23%, 0.00%), (ELV, 309, 0.22%, 0.00%), (CMCSA, 2,750, 0.21%, 0.00%), (MDLZ, 1,322, 0.19%, 0.00%), (BMY, 1,698, 0.18%, 0.00%), (UPS, 847, 0.16%, 0.00%), (PYPL, 999, 0.15%, 0.00%), (USB, 1,282, 0.15%,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</si>
  <si>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3.72%, 0.00%), (META, 2,952, 2.81%, 0.00%), (GOOGL, 7,913, 2.40%, 0.00%), (BRK/B, 3,435, 2.16%, 0.00%), (GOOG, 6,445, 1.96%, 0.00%), (TSLA, 3,950, 1.82%, 0.00%), (LIN, 2,950, 1.81%, 0.00%), (CSCO, 20,854, 1.78%, 0.00%), (JPM, 4,349, 1.67%, 0.00%), (AMT, 5,986, 1.49%, 0.00%), (XOM, 10,527, 1.49%, 0.00%), (V, 3,238, 1.41%, 0.00%), (CB, 3,303, 1.19%, 0.00%), (LLY, 1,240, 1.18%, 0.00%), (MA, 1,536, 1.14%, 0.00%), (ORCL, 3,099, 1.13%, 0.00%), (GE, 3,080, 1.10%, 0.00%), (WM, 3,700, 1.03%, 0.00%), (UNH, 2,306, 1.00%, 0.00%), (NFLX, 579, 0.88%, 0.00%), (NEE, 9,505, 0.86%, 0.00%), (JNJ, 3,788, 0.86%, 0.00%), (WMT, 6,306, 0.82%, 0.00%), (PLTR, 3,952, 0.81%, 0.00%), (PG, 3,986, 0.80%, 0.00%), (CVX, 4,003, 0.80%, 0.00%), (COST, 644, 0.79%, 0.00%), (ABBV, 2,780, 0.77%, 0.00%), (HD, 1,425, 0.76%, 0.00%), (RTX, 3,788, 0.76%, 0.00%), (CAT, 1,374, 0.75%, 0.00%), (MCD, 1,883, 0.74%, 0.00%), (ABT, 4,366, 0.73%, 0.00%), (BAC, 10,312, 0.66%, 0.00%), (KO, 7,207, 0.62%, 0.00%), (PM, 2,890, 0.61%, 0.00%), (BKNG, 87, 0.61%, 0.00%), (BA, 2,128, 0.59%, 0.00%), (SO, 5,065, 0.59%, 0.00%), (GS, 588, 0.58%, 0.00%), (NKE, 6,157, 0.58%, 0.00%), (IBM, 1,783, 0.58%, 0.00%), (CRM, 1,843, 0.58%, 0.00%), (AMD, 2,888, 0.57%, 0.00%), (DUK, 3,571, 0.55%, 0.00%), (UBER, 4,582, 0.55%, 0.00%), (WFC, 5,143, 0.53%, 0.00%), (MET, 5,125, 0.52%, 0.00%), (ISRG, 892, 0.52%, 0.00%), (ETN, 1,125, 0.51%, 0.00%), (HON, 1,851, 0.50%, 0.00%), (NOW, 397, 0.47%, 0.00%), (PEP, 2,550, 0.47%, 0.00%), (T, 12,272, 0.46%, 0.00%), (MS, 2,324, 0.45%, 0.00%), (INTU, 540, 0.45%, 0.00%), (DE, 724, 0.44%, 0.00%), (AXP, 1,043, 0.43%, 0.00%), (MRK, 3,980, 0.43%, 0.00%), (SPGI, 595, 0.41%, 0.00%), (QCOM, 1,986, 0.41%, 0.00%), (VZ, 7,200, 0.40%, 0.00%), (BLK, 273, 0.39%, 0.00%), (MDT, 3,213, 0.38%, 0.00%), (TXN, 1,623, 0.38%, 0.00%), (TMO, 602, 0.37%, 0.00%), (ACN, 1,205, 0.37%, 0.00%), (ADBE, 849, 0.37%, 0.00%), (COP, 3,098, 0.37%, 0.00%), (DIS, 2,464, 0.37%, 0.00%), (C, 2,922, 0.36%, 0.00%), (UNP, 1,319, 0.36%, 0.00%), (LMT, 600, 0.36%, 0.00%), (SCHW, 2,801, 0.33%, 0.00%), (MMM, 1,557, 0.31%, 0.00%), (AMAT, 1,467, 0.31%, 0.00%), (SBUX, 2,979, 0.31%, 0.00%), (AMGN, 846, 0.30%, 0.00%), (CVS, 3,153, 0.30%, 0.00%), (GILD, 1,961, 0.29%, 0.00%), (TJX, 1,618, 0.29%, 0.00%), (PFE, 8,916, 0.28%, 0.00%), (EMR, 1,623, 0.28%, 0.00%), (LOW, 814, 0.28%, 0.00%), (MO, 3,151, 0.26%, 0.00%), (DHR, 1,011, 0.25%, 0.00%), (INTC, 7,674, 0.24%, 0.00%), (ELV, 581, 0.23%, 0.00%), (CMCSA, 5,169, 0.22%, 0.00%), (MDLZ, 2,486, 0.19%,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</si>
  <si>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MLI, META, JPM, MSFT, PHM, EA, RJF, EWBC</t>
  </si>
  <si>
    <t>(BLK, 962, 1.98%, 0.00%), (BKNG, 193, 1.93%, 0.00%), (AXP, 3,229, 1.92%, 0.00%), (HIG, 7,666, 1.86%, 0.00%), (TRV, 3,642, 1.86%, 0.00%), (KLAC, 1,013, 1.79%, 0.00%), (V, 2,863, 1.78%, 0.00%), (UNM, 12,879, 1.77%, 0.01%), (SNA, 2,855, 1.74%, 0.01%), (NVDA, 5,349, 1.74%, 0.00%), (ROST, 6,378, 1.73%, 0.00%), (PCAR, 9,054, 1.70%, 0.00%), (LEN, 6,758, 1.70%, 0.00%), (AMAT, 5,485, 1.69%, 0.00%), (SYF, 11,956, 1.65%, 0.00%), (CB, 3,230, 1.65%, 0.00%), (ADP, 3,059, 1.64%, 0.00%), (CTSH, 11,571, 1.47%, 0.00%), (DHI, 4,491, 1.46%, 0.00%), (WSM, 4,048, 1.46%, 0.00%), (CRM, 3,280, 1.46%, 0.00%), (BKR, 17,028, 1.45%, 0.00%), (PAYC, 3,502, 1.43%, 0.01%), (QCOM, 4,618, 1.37%, 0.00%), (AAPL, 2,982, 1.28%, 0.00%), (AFL, 6,324, 1.26%, 0.00%), (LRCX, 5,898, 1.26%, 0.00%), (ELV, 2,193, 1.25%, 0.00%), (ACN, 2,728, 1.19%, 0.00%), (MPWR, 731, 1.12%, 0.00%), (GE, 2,067, 1.07%, 0.00%), (CSCO, 8,566, 1.04%, 0.00%), (ODFL, 3,923, 1.04%, 0.00%), (STT, 4,748, 0.98%, 0.00%), (PNC, 2,543, 0.94%, 0.00%), (MTB, 2,527, 0.92%, 0.00%), (CF, 5,426, 0.85%, 0.00%), (AMP, 925, 0.84%, 0.00%), (COST, 475, 0.84%, 0.00%), (ABT, 3,418, 0.84%, 0.00%), (XOM, 3,975, 0.82%, 0.00%), (EOG, 3,576, 0.77%, 0.00%), (EG, 1,203, 0.77%, 0.00%), (CSL, 1,065, 0.71%, 0.00%), (GEV, 484, 0.55%, 0.00%), (NTRS, 2,204, 0.52%, 0.00%), (MA, 460, 0.49%, 0.00%), (ACM, 2,085, 0.48%, 0.00%), (JNJ, 1,476, 0.48%, 0.00%), (LNC, 6,027, 0.47%, 0.00%), (CRBG, 7,572, 0.46%, 0.00%), (MTG, 8,660, 0.45%, 0.00%), (JXN, 2,488, 0.45%, 0.00%), (WTFC, 1,775, 0.44%, 0.00%), (CINF, 1,533, 0.44%, 0.00%), (EQH, 4,272, 0.42%, 0.00%), (MCK, 318, 0.41%, 0.00%), (ADM, 3,670, 0.41%, 0.00%), (DOV, 1,289, 0.41%, 0.00%), (ALL, 1,091, 0.40%, 0.00%), (NUE, 1,473, 0.38%, 0.00%), (PGR, 804, 0.37%, 0.00%), (SLM, 7,076, 0.36%, 0.00%), (NKE, 2,686, 0.36%, 0.00%), (FANG, 1,147, 0.29%, 0.00%), (SC13N61B, nan, nan%, 0.00%), (SC13N63B, nan, nan%, 0.00%), (SP13N62B, nan, nan%, 0.00%), (SP13N65B, nan, nan%, 0.00%), (SP13N64B, nan, nan%, 0.00%), (SPX Index, nan, nan%, 0.00%), (XP13N65B, nan, nan%, 0.00%)</t>
  </si>
  <si>
    <t>(AVGO, 3,816, 3.87%, 0.00%), (META, 1,355, 2.95%, 0.00%), (GOOGL, 3,633, 2.51%, 0.00%), (BRK/B, 1,577, 2.25%, 0.00%), (GOOG, 2,959, 2.04%, 0.00%), (TSLA, 1,814, 1.99%, 0.00%), (LIN, 1,355, 1.88%, 0.00%), (CSCO, 9,575, 1.84%, 0.00%), (JPM, 1,997, 1.75%, 0.00%), (XOM, 4,833, 1.55%, 0.00%), (AMT, 2,748, 1.55%, 0.00%), (V, 1,487, 1.46%, 0.00%), (LLY, 569, 1.22%, 0.00%), (CB, 1,517, 1.22%, 0.00%), (MA, 705, 1.18%, 0.00%), (GE, 1,414, 1.15%, 0.00%), (ORCL, 1,423, 1.13%, 0.00%), (WM, 1,699, 1.07%, 0.00%), (UNH, 1,059, 1.04%, 0.00%), (NFLX, 266, 0.91%, 0.00%), (NEE, 4,364, 0.90%, 0.00%), (JNJ, 1,739, 0.89%, 0.00%), (PLTR, 1,814, 0.87%, 0.00%), (WMT, 2,895, 0.86%, 0.00%), (PG, 1,830, 0.83%, 0.00%), (CVX, 1,838, 0.83%, 0.00%), (COST, 296, 0.83%, 0.00%), (ABBV, 1,277, 0.80%, 0.00%), (HD, 654, 0.79%, 0.00%), (RTX, 1,739, 0.78%, 0.00%), (CAT, 631, 0.78%, 0.00%), (ABT, 1,995, 0.77%, 0.00%), (MCD, 865, 0.76%, 0.00%), (BAC, 4,734, 0.69%, 0.00%), (KO, 3,309, 0.64%, 0.00%), (PM, 1,327, 0.63%, 0.00%), (BKNG, 40, 0.63%, 0.00%), (SO, 2,325, 0.62%, 0.00%), (BA, 977, 0.61%, 0.00%), (AMD, 1,326, 0.60%, 0.00%), (GS, 270, 0.60%, 0.00%), (NKE, 2,827, 0.60%, 0.00%), (IBM, 818, 0.59%, 0.00%), (CRM, 846, 0.59%, 0.00%), (DUK, 1,639, 0.58%, 0.00%), (UBER, 2,104, 0.57%, 0.00%), (WFC, 2,361, 0.55%, 0.00%), (MET, 2,353, 0.55%, 0.00%), (ETN, 516, 0.54%, 0.00%), (ISRG, 410, 0.53%, 0.00%), (HON, 850, 0.52%, 0.00%), (PEP, 1,171, 0.48%, 0.00%), (NOW, 182, 0.48%, 0.00%), (T, 5,635, 0.48%, 0.00%), (MS, 1,067, 0.47%, 0.00%), (INTU, 248, 0.46%, 0.00%), (DE, 332, 0.45%, 0.00%), (AXP, 479, 0.45%, 0.00%), (MRK, 1,827, 0.44%, 0.00%), (SPGI, 273, 0.43%, 0.00%), (QCOM, 908, 0.42%, 0.00%), (VZ, 3,306, 0.42%, 0.00%), (BLK, 125, 0.41%, 0.00%), (MDT, 1,475, 0.40%, 0.00%), (ADBE, 390, 0.39%, 0.00%), (TXN, 745, 0.39%, 0.00%), (TMO, 276, 0.38%, 0.00%), (C, 1,341, 0.38%, 0.00%), (ACN, 553, 0.38%, 0.00%), (COP, 1,423, 0.38%, 0.00%), (DIS, 1,126, 0.38%, 0.00%), (UNP, 606, 0.38%, 0.00%), (LMT, 276, 0.37%, 0.00%), (SCHW, 1,286, 0.35%, 0.00%), (SBUX, 1,368, 0.32%, 0.00%), (AMAT, 673, 0.32%, 0.00%), (MMM, 712, 0.32%, 0.00%), (CVS, 1,448, 0.31%, 0.00%), (AMGN, 388, 0.31%, 0.00%), (TJX, 743, 0.30%, 0.00%), (GILD, 900, 0.30%, 0.00%), (LOW, 374, 0.29%, 0.00%), (EMR, 745, 0.29%, 0.00%), (PFE, 4,094, 0.28%, 0.00%), (MO, 1,446, 0.28%, 0.00%), (DHR, 464, 0.25%, 0.00%), (INTC, 3,523, 0.24%, 0.00%), (ELV, 267, 0.24%, 0.00%), (CMCSA, 2,373, 0.23%, 0.00%), (MDLZ, 1,141, 0.20%, 0.00%), (BMY, 1,465, 0.20%, 0.00%), (UPS, 731, 0.18%, 0.00%), (PYPL, 862, 0.17%, 0.00%), (USB, 1,106, 0.16%, 0.00%), (CL, 635, 0.15%, 0.00%), (FDX, 225, 0.15%, 0.00%), (TGT, 307, 0.08%, 0.00%), (SC31761B, nan, nan%, 0.00%), (SC31763B, nan, nan%, 0.00%), (SP31762B, nan, nan%, 0.00%), (SP31765B, nan, nan%, 0.00%), (SP31764B, nan, nan%, 0.00%), (XP31765B, nan, nan%, 0.00%)</t>
  </si>
  <si>
    <t>(AVGO, 2,515, 3.77%, 0.00%), (META, 893, 2.87%, 0.00%), (GOOGL, 2,395, 2.44%, 0.00%), (BRK/B, 1,039, 2.19%, 0.00%), (GOOG, 1,950, 1.99%, 0.00%), (TSLA, 1,195, 1.94%, 0.00%), (LIN, 893, 1.84%, 0.00%), (CSCO, 6,311, 1.79%, 0.00%), (JPM, 1,316, 1.70%, 0.00%), (XOM, 3,186, 1.51%, 0.00%), (AMT, 1,811, 1.51%, 0.00%), (V, 980, 1.42%, 0.00%), (LLY, 375, 1.20%, 0.00%), (CB, 1,000, 1.19%, 0.00%), (MA, 465, 1.15%, 0.00%), (GE, 932, 1.12%, 0.00%), (ORCL, 938, 1.10%, 0.00%), (WM, 1,120, 1.04%, 0.00%), (UNH, 698, 1.02%, 0.00%), (NFLX, 175, 0.89%, 0.00%), (NEE, 2,877, 0.88%, 0.00%), (JNJ, 1,146, 0.87%, 0.00%), (PLTR, 1,196, 0.85%, 0.00%), (WMT, 1,908, 0.83%, 0.00%), (PG, 1,206, 0.81%, 0.00%), (CVX, 1,211, 0.81%, 0.00%), (COST, 195, 0.80%, 0.00%), (HD, 431, 0.77%, 0.00%), (ABBV, 841, 0.77%, 0.00%), (CAT, 416, 0.76%, 0.00%), (RTX, 1,146, 0.76%, 0.00%), (ABT, 1,315, 0.75%, 0.00%), (MCD, 570, 0.74%, 0.00%), (BAC, 3,121, 0.67%, 0.00%), (KO, 2,181, 0.62%, 0.00%), (PM, 875, 0.62%, 0.00%), (BKNG, 26, 0.61%, 0.00%), (SO, 1,533, 0.60%, 0.00%), (BA, 644, 0.59%, 0.00%), (AMD, 874, 0.58%, 0.00%), (NKE, 1,863, 0.58%, 0.00%), (IBM, 539, 0.58%, 0.00%), (CRM, 558, 0.58%, 0.00%), (GS, 178, 0.57%, 0.00%), (DUK, 1,081, 0.56%, 0.00%), (UBER, 1,387, 0.56%, 0.00%), (WFC, 1,556, 0.54%, 0.00%), (MET, 1,551, 0.53%, 0.00%), (ETN, 340, 0.52%, 0.00%), (ISRG, 270, 0.52%, 0.00%), (HON, 560, 0.50%, 0.00%), (NOW, 120, 0.48%, 0.00%), (PEP, 772, 0.47%, 0.00%), (T, 3,714, 0.47%, 0.00%), (MS, 703, 0.46%, 0.00%), (INTU, 164, 0.45%, 0.00%), (DE, 219, 0.44%, 0.00%), (AXP, 316, 0.44%, 0.00%), (MRK, 1,204, 0.43%, 0.00%), (SPGI, 180, 0.41%, 0.00%), (QCOM, 598, 0.41%, 0.00%), (VZ, 2,179, 0.41%, 0.00%), (BLK, 83, 0.40%, 0.00%), (MDT, 972, 0.39%, 0.00%), (TXN, 491, 0.38%, 0.00%), (ADBE, 257, 0.38%, 0.00%), (TMO, 182, 0.37%, 0.00%), (ACN, 365, 0.37%, 0.00%), (C, 884, 0.37%, 0.00%), (COP, 938, 0.37%, 0.00%), (DIS, 742, 0.37%, 0.00%), (UNP, 399, 0.37%, 0.00%), (LMT, 182, 0.36%, 0.00%), (SCHW, 848, 0.34%, 0.00%), (AMAT, 444, 0.32%, 0.00%), (SBUX, 902, 0.32%, 0.00%), (MMM, 469, 0.31%, 0.00%), (CVS, 954, 0.30%, 0.00%), (AMGN, 256, 0.30%, 0.00%), (TJX, 490, 0.29%, 0.00%), (GILD, 593, 0.29%, 0.00%), (LOW, 246, 0.28%, 0.00%), (EMR, 491, 0.28%, 0.00%), (PFE, 2,698, 0.27%, 0.00%), (MO, 953, 0.27%, 0.00%), (DHR, 306, 0.25%, 0.00%), (INTC, 2,322, 0.24%, 0.00%), (ELV, 176, 0.23%, 0.00%), (CMCSA, 1,564, 0.22%, 0.00%), (MDLZ, 752, 0.20%, 0.00%), (BMY, 966, 0.19%, 0.00%), (UPS, 482, 0.17%, 0.00%), (PYPL, 568, 0.16%, 0.00%), (USB, 729, 0.15%, 0.00%), (CL, 418, 0.15%, 0.00%), (FDX, 148, 0.14%, 0.00%), (TGT, 203, 0.08%, 0.00%), (SC9061B, nan, nan%, 0.00%), (SC9063B, nan, nan%, 0.00%), (SP9062B, nan, nan%, 0.00%), (SP9065B, nan, nan%, 0.00%), (SP9064B, nan, nan%, 0.00%), (XP9065B, nan, nan%, 0.00%)</t>
  </si>
  <si>
    <t>(META, 856, 2.61%, 0.00%), (GOOGL, 2,294, 2.22%, 0.00%), (BRK/B, 996, 1.99%, 0.00%), (GOOG, 1,869, 1.81%, 0.00%), (TSLA, 1,145, 1.78%, 0.00%), (LIN, 855, 1.67%, 0.00%), (CSCO, 6,046, 1.63%, 0.00%), (JPM, 1,261, 1.55%, 0.00%), (XOM, 3,052, 1.37%, 0.00%), (AMT, 1,735, 1.37%, 0.00%), (V, 939, 1.29%, 0.00%), (LLY, 359, 1.09%, 0.00%), (CB, 958, 1.08%, 0.00%), (MA, 445, 1.04%, 0.00%), (GE, 893, 1.02%, 0.00%), (ORCL, 898, 1.02%, 0.00%), (WM, 1,073, 0.95%, 0.00%), (UNH, 669, 0.92%, 0.00%), (NFLX, 168, 0.81%, 0.00%), (NEE, 2,756, 0.80%, 0.00%), (JNJ, 1,098, 0.79%, 0.00%), (PLTR, 1,146, 0.78%, 0.00%), (WMT, 1,828, 0.76%, 0.00%), (PG, 1,156, 0.74%, 0.00%), (CVX, 1,161, 0.74%, 0.00%), (COST, 187, 0.73%, 0.00%), (ABBV, 806, 0.71%, 0.00%), (HD, 413, 0.70%, 0.00%), (RTX, 1,098, 0.69%, 0.00%), (CAT, 398, 0.69%, 0.00%), (ABT, 1,267, 0.68%, 0.00%), (MCD, 546, 0.67%, 0.00%), (BAC, 2,990, 0.61%, 0.00%), (KO, 2,090, 0.57%, 0.00%), (PM, 838, 0.56%, 0.00%), (BKNG, 25, 0.55%, 0.00%), (SO, 1,468, 0.55%, 0.00%), (GS, 171, 0.54%, 0.00%), (BA, 617, 0.54%, 0.00%), (AMD, 837, 0.53%, 0.00%), (IBM, 517, 0.53%, 0.00%), (NKE, 1,785, 0.53%, 0.00%), (CRM, 534, 0.52%, 0.00%), (DUK, 1,035, 0.51%, 0.00%), (UBER, 1,329, 0.51%, 0.00%), (WFC, 1,491, 0.49%, 0.00%), (MET, 1,486, 0.49%, 0.00%), (ETN, 326, 0.48%, 0.00%), (ISRG, 259, 0.47%, 0.00%), (HON, 537, 0.46%, 0.00%), (NOW, 115, 0.43%, 0.00%), (PEP, 739, 0.43%, 0.00%), (T, 3,558, 0.43%, 0.00%), (MS, 674, 0.42%, 0.00%), (INTU, 157, 0.41%, 0.00%), (DE, 210, 0.40%, 0.00%), (AXP, 302, 0.40%, 0.00%), (MRK, 1,154, 0.39%, 0.00%), (SPGI, 172, 0.38%, 0.00%), (QCOM, 576, 0.38%, 0.00%), (VZ, 2,087, 0.37%, 0.00%), (BLK, 79, 0.36%, 0.00%), (MDT, 932, 0.35%, 0.00%), (TXN, 471, 0.35%, 0.00%), (ADBE, 246, 0.35%, 0.00%), (C, 847, 0.34%, 0.00%), (TMO, 174, 0.34%, 0.00%), (ACN, 349, 0.34%, 0.00%), (COP, 898, 0.34%, 0.00%), (DIS, 715, 0.34%, 0.00%), (UNP, 383, 0.33%, 0.00%), (LMT, 174, 0.33%, 0.00%), (SCHW, 812, 0.31%, 0.00%), (MMM, 452, 0.29%, 0.00%), (AMAT, 425, 0.29%, 0.00%), (SBUX, 864, 0.29%, 0.00%), (CVS, 914, 0.28%, 0.00%), (AMGN, 245, 0.27%, 0.00%), (TJX, 469, 0.26%, 0.00%), (GILD, 569, 0.26%, 0.00%), (LOW, 236, 0.26%, 0.00%), (EMR, 470, 0.26%, 0.00%), (PFE, 2,585, 0.25%, 0.00%), (MO, 913, 0.25%, 0.00%), (DHR, 293, 0.23%, 0.00%), (INTC, 2,225, 0.22%, 0.00%), (ELV, 168, 0.21%, 0.00%), (CMCSA, 1,499, 0.20%, 0.00%), (MDLZ, 721, 0.18%, 0.00%), (BMY, 925, 0.17%, 0.00%), (UPS, 461, 0.16%, 0.00%), (PYPL, 545, 0.15%, 0.00%), (USB, 699, 0.14%, 0.00%), (CL, 401, 0.14%, 0.00%), (FDX, 142, 0.13%, 0.00%), (TGT, 194, 0.07%, 0.00%), (SC28781H, nan, nan%, 0.00%), (SC28783H, nan, nan%, 0.00%), (SP28782H, nan, nan%, 0.00%), (SP28785B, nan, nan%, 0.00%), (SP28784H, nan, nan%, 0.00%), (XP28785B, nan, nan%, 0.00%)</t>
  </si>
  <si>
    <t>(AVGO, 1,597, 3.67%, 0.00%), (META, 567, 2.78%, 0.00%), (GOOGL, 1,521, 2.37%, 0.00%), (BRK/B, 660, 2.12%, 0.00%), (GOOG, 1,239, 1.93%, 0.00%), (TSLA, 759, 1.89%, 0.00%), (LIN, 567, 1.78%, 0.00%), (CSCO, 4,008, 1.74%, 0.00%), (JPM, 836, 1.65%, 0.00%), (XOM, 2,023, 1.47%, 0.00%), (AMT, 1,150, 1.46%, 0.00%), (V, 622, 1.37%, 0.00%), (LLY, 239, 1.16%, 0.00%), (CB, 635, 1.15%, 0.00%), (MA, 295, 1.11%, 0.00%), (GE, 592, 1.08%, 0.00%), (ORCL, 595, 1.06%, 0.00%), (WM, 711, 1.01%, 0.00%), (UNH, 443, 0.99%, 0.00%), (NFLX, 111, 0.86%, 0.00%), (NEE, 1,827, 0.85%, 0.00%), (JNJ, 728, 0.84%, 0.00%), (PLTR, 759, 0.83%, 0.00%), (WMT, 1,212, 0.81%, 0.00%), (PG, 766, 0.79%, 0.00%), (CVX, 769, 0.78%, 0.00%), (COST, 124, 0.78%, 0.00%), (ABBV, 534, 0.75%, 0.00%), (HD, 274, 0.75%, 0.00%), (RTX, 728, 0.74%, 0.00%), (CAT, 264, 0.74%, 0.00%), (ABT, 839, 0.73%, 0.00%), (MCD, 362, 0.72%, 0.00%), (BAC, 1,982, 0.65%, 0.00%), (KO, 1,385, 0.60%, 0.00%), (BKNG, 17, 0.60%, 0.00%), (PM, 555, 0.60%, 0.00%), (SO, 973, 0.58%, 0.00%), (BA, 409, 0.57%, 0.00%), (GS, 113, 0.57%, 0.00%), (AMD, 555, 0.57%, 0.00%), (IBM, 343, 0.56%, 0.00%), (NKE, 1,183, 0.56%, 0.00%), (CRM, 354, 0.56%, 0.00%), (DUK, 686, 0.54%, 0.00%), (UBER, 881, 0.54%, 0.00%), (WFC, 988, 0.52%, 0.00%), (MET, 985, 0.52%, 0.00%), (ETN, 216, 0.50%, 0.00%), (ISRG, 171, 0.50%, 0.00%), (HON, 356, 0.49%, 0.00%), (NOW, 76, 0.46%, 0.00%), (PEP, 490, 0.46%, 0.00%), (T, 2,358, 0.45%, 0.00%), (MS, 447, 0.45%, 0.00%), (INTU, 104, 0.44%, 0.00%), (DE, 139, 0.43%, 0.00%), (AXP, 200, 0.42%, 0.00%), (MRK, 765, 0.41%, 0.00%), (SPGI, 114, 0.40%, 0.00%), (QCOM, 382, 0.40%, 0.00%), (VZ, 1,384, 0.40%, 0.00%), (BLK, 52, 0.38%, 0.00%), (MDT, 617, 0.38%, 0.00%), (TXN, 312, 0.37%, 0.00%), (ADBE, 163, 0.37%, 0.00%), (TMO, 116, 0.36%, 0.00%), (C, 561, 0.36%, 0.00%), (ACN, 232, 0.36%, 0.00%), (COP, 595, 0.36%, 0.00%), (DIS, 473, 0.36%, 0.00%), (UNP, 254, 0.36%, 0.00%), (LMT, 115, 0.35%, 0.00%), (SCHW, 538, 0.33%, 0.00%), (MMM, 299, 0.31%, 0.00%), (SBUX, 572, 0.30%, 0.00%), (AMAT, 282, 0.30%, 0.00%), (CVS, 606, 0.29%, 0.00%), (AMGN, 163, 0.29%, 0.00%), (TJX, 311, 0.28%, 0.00%), (GILD, 377, 0.28%, 0.00%), (LOW, 156, 0.28%, 0.00%), (EMR, 312, 0.27%, 0.00%), (PFE, 1,713, 0.27%, 0.00%), (MO, 605, 0.26%, 0.00%), (DHR, 194, 0.24%, 0.00%), (INTC, 1,475, 0.23%, 0.00%), (ELV, 112, 0.23%, 0.00%), (CMCSA, 993, 0.21%, 0.00%), (MDLZ, 478, 0.19%, 0.00%), (BMY, 613, 0.18%, 0.00%), (UPS, 306, 0.17%, 0.00%), (PYPL, 361, 0.16%, 0.00%), (USB, 463, 0.15%, 0.00%), (CL, 266, 0.14%, 0.00%), (FDX, 94, 0.14%, 0.00%), (TGT, 129, 0.08%, 0.00%), (SC8071B, nan, nan%, 0.00%), (SC8073B, nan, nan%, 0.00%), (SP8072B, nan, nan%, 0.00%), (SP8075B, nan, nan%, 0.00%), (SP8074B, nan, nan%, 0.00%), (XP8075B, nan, nan%, 0.00%)</t>
  </si>
  <si>
    <t>(META, 5,906, 2.67%, 0.00%), (GOOGL, 15,831, 2.27%, 0.00%), (BRK/B, 6,872, 2.03%, 0.00%), (GOOG, 12,895, 1.85%, 0.00%), (TSLA, 7,904, 1.80%, 0.00%), (LIN, 5,903, 1.70%, 0.00%), (CSCO, 41,724, 1.66%, 0.00%), (JPM, 8,701, 1.58%, 0.00%), (XOM, 21,062, 1.40%, 0.00%), (AMT, 11,976, 1.40%, 0.00%), (V, 6,479, 1.32%, 0.00%), (LLY, 2,480, 1.11%, 0.00%), (CB, 6,609, 1.10%, 0.00%), (MA, 3,073, 1.07%, 0.00%), (GE, 6,163, 1.04%, 0.00%), (ORCL, 6,199, 1.02%, 0.00%), (WM, 7,403, 0.97%, 0.00%), (UNH, 4,613, 0.94%, 0.00%), (NFLX, 1,158, 0.82%, 0.00%), (NEE, 19,018, 0.81%, 0.00%), (JNJ, 7,579, 0.81%, 0.00%), (PLTR, 7,907, 0.79%, 0.00%), (WMT, 12,617, 0.77%, 0.00%), (PG, 7,975, 0.75%, 0.00%), (CVX, 8,009, 0.75%, 0.00%), (COST, 1,288, 0.75%, 0.00%), (ABBV, 5,563, 0.72%, 0.00%), (HD, 2,851, 0.72%, 0.00%), (RTX, 7,579, 0.71%, 0.00%), (CAT, 2,749, 0.71%, 0.00%), (ABT, 8,695, 0.69%, 0.00%), (MCD, 3,768, 0.69%, 0.00%), (BAC, 20,631, 0.62%, 0.00%), (KO, 14,419, 0.58%, 0.00%), (PM, 5,783, 0.57%, 0.00%), (BKNG, 174, 0.57%, 0.00%), (SO, 10,133, 0.56%, 0.00%), (BA, 4,257, 0.55%, 0.00%), (AMD, 5,777, 0.54%, 0.00%), (GS, 1,177, 0.54%, 0.00%), (NKE, 12,319, 0.54%, 0.00%), (IBM, 3,567, 0.54%, 0.00%), (CRM, 3,688, 0.54%, 0.00%), (DUK, 7,144, 0.52%, 0.00%), (UBER, 9,168, 0.52%, 0.00%), (WFC, 10,290, 0.50%, 0.00%), (MET, 10,254, 0.50%, 0.00%), (ETN, 2,250, 0.49%, 0.00%), (ISRG, 1,785, 0.48%, 0.00%), (HON, 3,703, 0.47%, 0.00%), (NOW, 795, 0.44%, 0.00%), (PEP, 5,103, 0.44%, 0.00%), (T, 24,554, 0.43%, 0.00%), (MS, 4,651, 0.43%, 0.00%), (INTU, 1,081, 0.42%, 0.00%), (DE, 1,449, 0.41%, 0.00%), (AXP, 2,086, 0.41%, 0.00%), (MRK, 7,963, 0.39%, 0.00%), (SPGI, 1,190, 0.39%, 0.00%), (QCOM, 3,955, 0.38%, 0.00%), (VZ, 14,405, 0.38%, 0.00%), (BLK, 546, 0.36%, 0.00%), (MDT, 6,429, 0.36%, 0.00%), (TXN, 3,247, 0.36%, 0.00%), (ADBE, 1,698, 0.35%, 0.00%), (TMO, 1,204, 0.35%, 0.00%), (C, 5,845, 0.34%, 0.00%), (ACN, 2,410, 0.34%, 0.00%), (COP, 6,199, 0.34%, 0.00%), (DIS, 4,907, 0.34%, 0.00%), (UNP, 2,640, 0.34%, 0.00%), (LMT, 1,201, 0.34%, 0.00%), (SCHW, 5,604, 0.31%, 0.00%), (SBUX, 5,960, 0.29%, 0.00%), (AMAT, 2,935, 0.29%, 0.00%), (MMM, 3,101, 0.29%, 0.00%), (CVS, 6,308, 0.28%, 0.00%), (AMGN, 1,692, 0.28%, 0.00%), (TJX, 3,238, 0.27%, 0.00%), (GILD, 3,923, 0.27%, 0.00%), (LOW, 1,628, 0.26%, 0.00%), (EMR, 3,247, 0.26%, 0.00%), (PFE, 17,840, 0.26%, 0.00%), (MO, 6,303, 0.25%, 0.00%), (DHR, 2,024, 0.23%, 0.00%), (INTC, 15,354, 0.22%, 0.00%), (ELV, 1,163, 0.22%, 0.00%), (CMCSA, 10,342, 0.20%, 0.00%), (MDLZ, 4,973, 0.18%, 0.00%), (BMY, 6,385, 0.18%, 0.00%), (UPS, 3,184, 0.16%, 0.00%), (PYPL, 3,758, 0.15%, 0.00%), (USB, 4,822, 0.14%, 0.00%), (CL, 2,767, 0.14%, 0.00%), (FDX, 979, 0.13%, 0.00%), (TGT, 1,339, 0.07%, 0.00%), (SC26771B, nan, nan%, 0.00%), (SC26773B, nan, nan%, 0.00%), (SP26772B, nan, nan%, 0.00%), (SP26774B, nan, nan%, 0.00%), (SP26775T, nan, nan%, 0.00%), (XP26775T, nan, nan%, 0.00%)</t>
  </si>
  <si>
    <t>(AVGO, 14,396, 3.73%, 0.00%), (META, 5,114, 2.84%, 0.00%), (GOOGL, 13,707, 2.41%, 0.00%), (BRK/B, 5,950, 2.16%, 0.00%), (GOOG, 11,165, 1.97%, 0.00%), (TSLA, 6,843, 1.92%, 0.00%), (LIN, 5,111, 1.81%, 0.00%), (CSCO, 36,126, 1.77%, 0.00%), (JPM, 7,534, 1.68%, 0.00%), (XOM, 18,236, 1.49%, 0.00%), (AMT, 10,369, 1.49%, 0.00%), (V, 5,609, 1.40%, 0.00%), (LLY, 2,148, 1.18%, 0.00%), (CB, 5,723, 1.17%, 0.00%), (MA, 2,661, 1.14%, 0.00%), (GE, 5,336, 1.10%, 0.00%), (ORCL, 5,368, 1.08%, 0.00%), (WM, 6,410, 1.03%, 0.00%), (UNH, 3,994, 1.00%, 0.00%), (NFLX, 1,003, 0.88%, 0.00%), (NEE, 16,466, 0.87%, 0.00%), (JNJ, 6,562, 0.86%, 0.00%), (PLTR, 6,846, 0.84%, 0.00%), (WMT, 10,924, 0.82%, 0.00%), (PG, 6,905, 0.80%, 0.00%), (CVX, 6,935, 0.80%, 0.00%), (COST, 1,115, 0.79%, 0.00%), (ABBV, 4,817, 0.77%, 0.00%), (HD, 2,469, 0.77%, 0.00%), (RTX, 6,562, 0.75%, 0.00%), (CAT, 2,380, 0.75%, 0.00%), (ABT, 7,528, 0.74%, 0.00%), (MCD, 3,263, 0.73%, 0.00%), (BAC, 17,864, 0.66%, 0.00%), (KO, 12,485, 0.62%, 0.00%), (PM, 5,007, 0.61%, 0.00%), (BKNG, 151, 0.61%, 0.00%), (SO, 8,774, 0.60%, 0.00%), (BA, 3,686, 0.59%, 0.00%), (AMD, 5,002, 0.58%, 0.00%), (GS, 1,019, 0.58%, 0.00%), (NKE, 10,666, 0.57%, 0.00%), (IBM, 3,088, 0.57%, 0.00%), (CRM, 3,193, 0.57%, 0.00%), (DUK, 6,186, 0.56%, 0.00%), (UBER, 7,938, 0.55%, 0.00%), (WFC, 8,910, 0.53%, 0.00%), (MET, 8,879, 0.53%, 0.00%), (ETN, 1,948, 0.52%, 0.00%), (ISRG, 1,546, 0.51%, 0.00%), (HON, 3,206, 0.50%, 0.00%), (NOW, 688, 0.47%, 0.00%), (PEP, 4,418, 0.47%, 0.00%), (T, 21,260, 0.46%, 0.00%), (MS, 4,027, 0.46%, 0.00%), (INTU, 936, 0.45%, 0.00%), (DE, 1,254, 0.43%, 0.00%), (AXP, 1,806, 0.43%, 0.00%), (MRK, 6,895, 0.42%, 0.00%), (SPGI, 1,031, 0.41%, 0.00%), (QCOM, 3,425, 0.41%, 0.00%), (VZ, 12,473, 0.40%, 0.00%), (BLK, 473, 0.39%, 0.00%), (MDT, 5,566, 0.38%, 0.00%), (TXN, 2,812, 0.38%, 0.00%), (ADBE, 1,470, 0.38%, 0.00%), (TMO, 1,043, 0.37%, 0.00%), (ACN, 2,087, 0.37%, 0.00%), (C, 5,061, 0.37%, 0.00%), (COP, 5,367, 0.37%, 0.00%), (DIS, 4,248, 0.36%, 0.00%), (UNP, 2,286, 0.36%, 0.00%), (LMT, 1,040, 0.36%, 0.00%), (SCHW, 4,852, 0.33%, 0.00%), (SBUX, 5,161, 0.31%, 0.00%), (AMAT, 2,541, 0.31%, 0.00%), (MMM, 2,685, 0.31%, 0.00%), (CVS, 5,462, 0.30%, 0.00%), (AMGN, 1,465, 0.30%, 0.00%), (TJX, 2,803, 0.29%, 0.00%), (GILD, 3,397, 0.29%, 0.00%), (LOW, 1,410, 0.28%, 0.00%), (EMR, 2,811, 0.28%, 0.00%), (PFE, 15,446, 0.27%, 0.00%), (MO, 5,458, 0.27%, 0.00%), (DHR, 1,752, 0.25%, 0.00%), (INTC, 13,294, 0.24%, 0.00%), (ELV, 1,007, 0.23%, 0.00%), (CMCSA, 8,954, 0.22%, 0.00%), (MDLZ, 4,306, 0.20%, 0.00%), (BMY, 5,528, 0.19%, 0.00%), (UPS, 2,757, 0.17%, 0.00%), (PYPL, 3,254, 0.16%, 0.00%), (USB, 4,175, 0.15%, 0.00%), (CL, 2,395, 0.15%, 0.00%), (FDX, 847, 0.14%, 0.00%), (TGT, 1,159, 0.08%, 0.00%), (SC23471B, nan, nan%, 0.00%), (SC23473B, nan, nan%, 0.00%), (SP23472B, nan, nan%, 0.00%), (SP23475B, nan, nan%, 0.00%), (SP23474B, nan, nan%, 0.00%), (XP23475B, nan, nan%, 0.00%)</t>
  </si>
  <si>
    <t>(AVGO, 10,727, 3.72%, 0.00%), (META, 3,811, 2.84%, 0.00%), (GOOGL, 10,214, 2.41%, 0.00%), (BRK/B, 4,433, 2.16%, 0.00%), (GOOG, 8,319, 1.96%, 0.00%), (TSLA, 5,099, 1.92%, 0.00%), (LIN, 3,809, 1.81%, 0.00%), (CSCO, 26,919, 1.77%, 0.00%), (JPM, 5,614, 1.68%, 0.00%), (XOM, 13,589, 1.49%, 0.00%), (AMT, 7,727, 1.49%, 0.00%), (V, 4,180, 1.40%, 0.00%), (LLY, 1,600, 1.18%, 0.00%), (CB, 4,264, 1.17%, 0.00%), (MA, 1,983, 1.14%, 0.00%), (GE, 3,976, 1.10%, 0.00%), (ORCL, 4,000, 1.08%, 0.00%), (WM, 4,776, 1.03%, 0.00%), (UNH, 2,976, 1.00%, 0.00%), (NFLX, 747, 0.88%, 0.00%), (NEE, 12,270, 0.86%, 0.00%), (JNJ, 4,890, 0.86%, 0.00%), (PLTR, 5,101, 0.84%, 0.00%), (WMT, 8,140, 0.82%, 0.00%), (PG, 5,145, 0.80%, 0.00%), (CVX, 5,167, 0.80%, 0.00%), (COST, 831, 0.79%, 0.00%), (ABBV, 3,589, 0.77%, 0.00%), (HD, 1,840, 0.76%, 0.00%), (CAT, 1,774, 0.75%, 0.00%), (RTX, 4,890, 0.75%, 0.00%), (ABT, 5,609, 0.74%, 0.00%), (MCD, 2,431, 0.73%, 0.00%), (BAC, 13,311, 0.66%, 0.00%), (KO, 9,303, 0.62%, 0.00%), (PM, 3,731, 0.61%, 0.00%), (BKNG, 112, 0.60%, 0.00%), (SO, 6,538, 0.59%, 0.00%), (BA, 2,746, 0.59%, 0.00%), (GS, 759, 0.58%, 0.00%), (AMD, 3,727, 0.58%, 0.00%), (NKE, 7,948, 0.57%, 0.00%), (IBM, 2,301, 0.57%, 0.00%), (CRM, 2,379, 0.57%, 0.00%), (DUK, 4,609, 0.55%, 0.00%), (UBER, 5,915, 0.55%, 0.00%), (WFC, 6,639, 0.53%, 0.00%), (MET, 6,616, 0.53%, 0.00%), (ETN, 1,452, 0.52%, 0.00%), (ISRG, 1,152, 0.51%, 0.00%), (HON, 2,389, 0.50%, 0.00%), (NOW, 513, 0.47%, 0.00%), (PEP, 3,292, 0.47%, 0.00%), (T, 15,842, 0.46%, 0.00%), (MS, 3,000, 0.46%, 0.00%), (INTU, 698, 0.44%, 0.00%), (DE, 935, 0.43%, 0.00%), (AXP, 1,346, 0.43%, 0.00%), (MRK, 5,138, 0.42%, 0.00%), (SPGI, 768, 0.41%, 0.00%), (QCOM, 2,552, 0.41%, 0.00%), (VZ, 9,294, 0.40%, 0.00%), (BLK, 352, 0.39%, 0.00%), (MDT, 4,148, 0.38%, 0.00%), (TXN, 2,095, 0.38%, 0.00%), (ADBE, 1,095, 0.38%, 0.00%), (TMO, 777, 0.37%, 0.00%), (ACN, 1,555, 0.37%, 0.00%), (C, 3,771, 0.37%, 0.00%), (COP, 3,999, 0.36%, 0.00%), (DIS, 3,166, 0.36%, 0.00%), (UNP, 1,703, 0.36%, 0.00%), (LMT, 775, 0.36%, 0.00%), (SCHW, 3,616, 0.33%, 0.00%), (SBUX, 3,845, 0.31%, 0.00%), (AMAT, 1,894, 0.31%, 0.00%), (MMM, 2,001, 0.31%, 0.00%), (CVS, 4,070, 0.30%, 0.00%), (AMGN, 1,092, 0.30%, 0.00%), (TJX, 2,089, 0.29%, 0.00%), (GILD, 2,531, 0.29%, 0.00%), (LOW, 1,051, 0.28%, 0.00%), (EMR, 2,095, 0.28%, 0.00%), (PFE, 11,510, 0.27%, 0.00%), (MO, 4,067, 0.27%, 0.00%), (DHR, 1,306, 0.24%, 0.00%), (INTC, 9,906, 0.24%, 0.00%), (ELV, 750, 0.23%, 0.00%), (CMCSA, 6,672, 0.22%, 0.00%), (MDLZ, 3,209, 0.20%, 0.00%), (BMY, 4,119, 0.19%, 0.00%), (UPS, 2,054, 0.17%, 0.00%), (PYPL, 2,425, 0.16%, 0.00%), (USB, 3,111, 0.15%, 0.00%), (CL, 1,785, 0.15%, 0.00%), (FDX, 631, 0.14%, 0.00%), (TGT, 864, 0.08%, 0.00%), (SC22171B, nan, nan%, 0.00%), (SC22173B, nan, nan%, 0.00%), (SP22172B, nan, nan%, 0.00%), (SP22175B, nan, nan%, 0.00%), (SP22174B, nan, nan%, 0.00%), (XP22175B, nan, nan%, 0.00%)</t>
  </si>
  <si>
    <t>(AVGO, 4,065, 3.56%, 0.00%), (META, 1,444, 2.70%, 0.00%), (GOOGL, 3,870, 2.30%, 0.00%), (BRK/B, 1,680, 2.06%, 0.00%), (GOOG, 3,153, 1.87%, 0.00%), (TSLA, 1,932, 1.84%, 0.00%), (LIN, 1,443, 1.72%, 0.00%), (CSCO, 10,201, 1.68%, 0.00%), (JPM, 2,127, 1.60%, 0.00%), (XOM, 5,149, 1.42%, 0.00%), (AMT, 2,928, 1.42%, 0.00%), (V, 1,584, 1.33%, 0.00%), (LLY, 606, 1.12%, 0.00%), (CB, 1,616, 1.11%, 0.00%), (MA, 751, 1.08%, 0.00%), (GE, 1,507, 1.05%, 0.00%), (ORCL, 1,516, 1.04%, 0.00%), (WM, 1,810, 0.98%, 0.00%), (UNH, 1,128, 0.96%, 0.00%), (NFLX, 283, 0.83%, 0.00%), (NEE, 4,650, 0.82%, 0.00%), (JNJ, 1,853, 0.82%, 0.00%), (PLTR, 1,933, 0.80%, 0.00%), (WMT, 3,085, 0.78%, 0.00%), (PG, 1,950, 0.76%, 0.00%), (CVX, 1,958, 0.76%, 0.00%), (COST, 315, 0.75%, 0.00%), (ABBV, 1,360, 0.73%, 0.00%), (HD, 697, 0.73%, 0.00%), (RTX, 1,853, 0.72%, 0.00%), (CAT, 672, 0.72%, 0.00%), (ABT, 2,135, 0.71%, 0.00%), (MCD, 921, 0.70%, 0.00%), (BAC, 5,044, 0.63%, 0.00%), (KO, 3,525, 0.59%, 0.00%), (BKNG, 43, 0.58%, 0.00%), (PM, 1,414, 0.58%, 0.00%), (SO, 2,477, 0.57%, 0.00%), (BA, 1,041, 0.56%, 0.00%), (AMD, 1,412, 0.55%, 0.00%), (GS, 288, 0.55%, 0.00%), (IBM, 872, 0.55%, 0.00%), (NKE, 3,012, 0.54%, 0.00%), (CRM, 902, 0.54%, 0.00%), (DUK, 1,747, 0.53%, 0.00%), (UBER, 2,242, 0.53%, 0.00%), (WFC, 2,516, 0.50%, 0.00%), (MET, 2,507, 0.50%, 0.00%), (ETN, 550, 0.49%, 0.00%), (ISRG, 437, 0.49%, 0.00%), (HON, 905, 0.47%, 0.00%), (NOW, 194, 0.45%, 0.00%), (PEP, 1,248, 0.44%, 0.00%), (T, 6,003, 0.44%, 0.00%), (MS, 1,137, 0.43%, 0.00%), (INTU, 264, 0.42%, 0.00%), (DE, 354, 0.41%, 0.00%), (AXP, 510, 0.41%, 0.00%), (MRK, 1,947, 0.40%, 0.00%), (SPGI, 291, 0.39%, 0.00%), (QCOM, 971, 0.39%, 0.00%), (VZ, 3,522, 0.38%, 0.00%), (BLK, 133, 0.37%, 0.00%), (MDT, 1,572, 0.37%, 0.00%), (TXN, 794, 0.36%, 0.00%), (ADBE, 415, 0.36%, 0.00%), (TMO, 294, 0.35%, 0.00%), (C, 1,429, 0.35%, 0.00%), (ACN, 589, 0.35%, 0.00%), (COP, 1,516, 0.35%, 0.00%), (DIS, 1,205, 0.35%, 0.00%), (UNP, 645, 0.34%, 0.00%), (LMT, 294, 0.34%, 0.00%), (SCHW, 1,370, 0.32%, 0.00%), (AMAT, 718, 0.30%, 0.00%), (SBUX, 1,457, 0.30%, 0.00%), (MMM, 758, 0.29%, 0.00%), (CVS, 1,542, 0.29%, 0.00%), (AMGN, 414, 0.28%, 0.00%), (TJX, 792, 0.27%, 0.00%), (GILD, 959, 0.27%, 0.00%), (LOW, 398, 0.27%, 0.00%), (EMR, 794, 0.26%, 0.00%), (PFE, 4,362, 0.26%, 0.00%), (MO, 1,541, 0.25%, 0.00%), (DHR, 495, 0.23%, 0.00%), (INTC, 3,754, 0.22%, 0.00%), (ELV, 284, 0.22%, 0.00%), (CMCSA, 2,528, 0.21%, 0.00%), (MDLZ, 1,216, 0.19%, 0.00%), (BMY, 1,561, 0.18%, 0.00%), (UPS, 779, 0.16%, 0.00%), (PYPL, 919, 0.15%, 0.00%), (USB, 1,179, 0.14%, 0.00%), (CL, 676, 0.14%, 0.00%), (FDX, 239, 0.14%, 0.00%), (TGT, 327, 0.07%, 0.00%), (SC28181B, nan, nan%, 0.00%), (SC28183B, nan, nan%, 0.00%), (SP28182B, nan, nan%, 0.00%), (SP28185B, nan, nan%, 0.00%), (SP28184B, nan, nan%, 0.00%), (XP28185B, nan, nan%, 0.00%)</t>
  </si>
  <si>
    <t>(AVGO, 4,421, 3.60%, 0.00%), (META, 1,571, 2.73%, 0.00%), (GOOGL, 4,209, 2.32%, 0.00%), (BRK/B, 1,827, 2.08%, 0.00%), (GOOG, 3,429, 1.89%, 0.00%), (TSLA, 2,102, 1.86%, 0.00%), (LIN, 1,570, 1.74%, 0.00%), (CSCO, 11,094, 1.70%, 0.00%), (JPM, 2,314, 1.62%, 0.00%), (XOM, 5,600, 1.43%, 0.00%), (AMT, 3,184, 1.43%, 0.00%), (V, 1,723, 1.35%, 0.00%), (LLY, 662, 1.14%, 0.00%), (CB, 1,757, 1.12%, 0.00%), (MA, 817, 1.09%, 0.00%), (GE, 1,639, 1.06%, 0.00%), (ORCL, 1,648, 1.05%, 0.00%), (WM, 1,969, 0.99%, 0.00%), (UNH, 1,227, 0.97%, 0.00%), (NFLX, 308, 0.84%, 0.00%), (NEE, 5,057, 0.83%, 0.00%), (JNJ, 2,015, 0.82%, 0.00%), (PLTR, 2,102, 0.81%, 0.00%), (WMT, 3,355, 0.79%, 0.00%), (PG, 2,120, 0.77%, 0.00%), (CVX, 2,130, 0.77%, 0.00%), (COST, 342, 0.76%, 0.00%), (ABBV, 1,479, 0.74%, 0.00%), (HD, 758, 0.73%, 0.00%), (CAT, 731, 0.72%, 0.00%), (RTX, 2,015, 0.72%, 0.00%), (ABT, 2,322, 0.71%, 0.00%), (MCD, 1,002, 0.70%, 0.00%), (BAC, 5,486, 0.63%, 0.00%), (KO, 3,834, 0.59%, 0.00%), (PM, 1,538, 0.58%, 0.00%), (BKNG, 46, 0.58%, 0.00%), (SO, 2,694, 0.57%, 0.00%), (BA, 1,132, 0.56%, 0.00%), (AMD, 1,536, 0.55%, 0.00%), (GS, 313, 0.55%, 0.00%), (IBM, 948, 0.55%, 0.00%), (NKE, 3,276, 0.55%, 0.00%), (CRM, 981, 0.55%, 0.00%), (DUK, 1,900, 0.53%, 0.00%), (UBER, 2,438, 0.53%, 0.00%), (WFC, 2,736, 0.51%, 0.00%), (MET, 2,727, 0.51%, 0.00%), (ETN, 598, 0.50%, 0.00%), (ISRG, 475, 0.49%, 0.00%), (HON, 985, 0.48%, 0.00%), (PEP, 1,357, 0.45%, 0.00%), (NOW, 211, 0.45%, 0.00%), (T, 6,529, 0.44%, 0.00%), (MS, 1,237, 0.44%, 0.00%), (INTU, 287, 0.43%, 0.00%), (DE, 385, 0.42%, 0.00%), (AXP, 555, 0.42%, 0.00%), (MRK, 2,117, 0.40%, 0.00%), (SPGI, 316, 0.39%, 0.00%), (QCOM, 1,056, 0.39%, 0.00%), (VZ, 3,830, 0.39%, 0.00%), (BLK, 145, 0.37%, 0.00%), (MDT, 1,709, 0.37%, 0.00%), (TXN, 864, 0.36%, 0.00%), (ADBE, 451, 0.36%, 0.00%), (TMO, 320, 0.35%, 0.00%), (C, 1,554, 0.35%, 0.00%), (ACN, 641, 0.35%, 0.00%), (COP, 1,648, 0.35%, 0.00%), (DIS, 1,310, 0.35%, 0.00%), (UNP, 702, 0.35%, 0.00%), (LMT, 319, 0.34%, 0.00%), (SCHW, 1,490, 0.32%, 0.00%), (MMM, 828, 0.30%, 0.00%), (SBUX, 1,585, 0.30%, 0.00%), (AMAT, 780, 0.30%, 0.00%), (CVS, 1,677, 0.29%, 0.00%), (AMGN, 450, 0.29%, 0.00%), (TJX, 861, 0.28%, 0.00%), (GILD, 1,043, 0.27%, 0.00%), (LOW, 433, 0.27%, 0.00%), (EMR, 863, 0.27%, 0.00%), (PFE, 4,744, 0.26%, 0.00%), (MO, 1,676, 0.26%, 0.00%), (DHR, 538, 0.24%, 0.00%), (INTC, 4,083, 0.23%, 0.00%), (ELV, 309, 0.22%, 0.00%), (CMCSA, 2,750, 0.21%, 0.00%), (MDLZ, 1,322, 0.19%, 0.00%), (BMY, 1,698, 0.18%, 0.00%), (UPS, 847, 0.16%, 0.00%), (PYPL, 999, 0.15%, 0.00%), (USB, 1,282, 0.14%, 0.00%), (CL, 736, 0.14%, 0.00%), (FDX, 260, 0.14%, 0.00%), (TGT, 356, 0.07%, 0.00%), (SC13481B, nan, nan%, 0.00%), (SC13483B, nan, nan%, 0.00%), (SP13482B, nan, nan%, 0.00%), (SP13485B, nan, nan%, 0.00%), (SP13484B, nan, nan%, 0.00%), (XP13485B, nan, nan%, 0.00%)</t>
  </si>
  <si>
    <t>(AVGO, 8,311, 3.72%, 0.00%), (META, 2,952, 2.83%, 0.00%), (GOOGL, 7,913, 2.40%, 0.00%), (BRK/B, 3,435, 2.15%, 0.00%), (GOOG, 6,445, 1.96%, 0.00%), (TSLA, 3,950, 1.92%, 0.00%), (LIN, 2,950, 1.80%, 0.00%), (CSCO, 20,854, 1.76%, 0.00%), (JPM, 4,349, 1.68%, 0.00%), (XOM, 10,527, 1.49%, 0.00%), (AMT, 5,986, 1.48%, 0.00%), (V, 3,238, 1.39%, 0.00%), (LLY, 1,240, 1.18%, 0.00%), (CB, 3,303, 1.16%, 0.00%), (MA, 1,536, 1.13%, 0.00%), (GE, 3,080, 1.10%, 0.00%), (ORCL, 3,099, 1.09%, 0.00%), (WM, 3,700, 1.02%, 0.00%), (UNH, 2,306, 1.00%, 0.00%), (NFLX, 579, 0.87%, 0.00%), (NEE, 9,505, 0.86%, 0.00%), (JNJ, 3,788, 0.85%, 0.00%), (PLTR, 3,952, 0.84%, 0.00%), (WMT, 6,306, 0.82%, 0.00%), (PG, 3,986, 0.80%, 0.00%), (CVX, 4,003, 0.79%, 0.00%), (COST, 644, 0.79%, 0.00%), (ABBV, 2,780, 0.76%, 0.00%), (HD, 1,425, 0.76%, 0.00%), (CAT, 1,374, 0.75%, 0.00%), (RTX, 3,788, 0.75%, 0.00%), (ABT, 4,366, 0.74%, 0.00%), (MCD, 1,883, 0.73%, 0.00%), (BAC, 10,312, 0.66%, 0.00%), (KO, 7,207, 0.61%, 0.00%), (PM, 2,890, 0.61%, 0.00%), (BKNG, 87, 0.60%, 0.00%), (SO, 5,065, 0.59%, 0.00%), (BA, 2,128, 0.58%, 0.00%), (GS, 588, 0.58%, 0.00%), (AMD, 2,888, 0.58%, 0.00%), (IBM, 1,783, 0.57%, 0.00%), (NKE, 6,157, 0.57%, 0.00%), (CRM, 1,843, 0.57%, 0.00%), (DUK, 3,571, 0.55%, 0.00%), (UBER, 4,582, 0.55%, 0.00%), (WFC, 5,143, 0.53%, 0.00%), (MET, 5,125, 0.53%, 0.00%), (ETN, 1,125, 0.52%, 0.00%), (ISRG, 892, 0.51%, 0.00%), (HON, 1,851, 0.50%, 0.00%), (NOW, 397, 0.47%, 0.00%), (PEP, 2,550, 0.46%, 0.00%), (T, 12,272, 0.46%, 0.00%), (MS, 2,324, 0.45%, 0.00%), (INTU, 540, 0.44%, 0.00%), (DE, 724, 0.43%, 0.00%), (AXP, 1,043, 0.43%, 0.00%), (MRK, 3,980, 0.42%, 0.00%), (SPGI, 595, 0.41%, 0.00%), (QCOM, 1,986, 0.41%, 0.00%), (VZ, 7,200, 0.40%, 0.00%), (BLK, 273, 0.39%, 0.00%), (MDT, 3,213, 0.38%, 0.00%), (TXN, 1,623, 0.38%, 0.00%), (ADBE, 849, 0.38%, 0.00%), (TMO, 602, 0.37%, 0.00%), (C, 2,922, 0.37%, 0.00%), (ACN, 1,205, 0.36%, 0.00%), (COP, 3,098, 0.36%, 0.00%), (DIS, 2,464, 0.36%, 0.00%), (UNP, 1,319, 0.36%, 0.00%), (LMT, 600, 0.36%, 0.00%), (SCHW, 2,801, 0.33%, 0.00%), (MMM, 1,557, 0.31%, 0.00%), (SBUX, 2,979, 0.31%, 0.00%), (AMAT, 1,467, 0.31%, 0.00%), (CVS, 3,153, 0.30%, 0.00%), (AMGN, 846, 0.30%, 0.00%), (TJX, 1,618, 0.29%, 0.00%), (GILD, 1,961, 0.28%, 0.00%), (LOW, 814, 0.28%, 0.00%), (EMR, 1,623, 0.28%, 0.00%), (PFE, 8,916, 0.27%, 0.00%), (MO, 3,151, 0.27%, 0.00%), (DHR, 1,011, 0.24%, 0.00%), (INTC, 7,674, 0.23%, 0.00%), (ELV, 581, 0.23%, 0.00%), (CMCSA, 5,169, 0.22%, 0.00%), (MDLZ, 2,486, 0.19%, 0.00%), (BMY, 3,191, 0.19%, 0.00%), (UPS, 1,592, 0.17%, 0.00%), (PYPL, 1,879, 0.16%, 0.00%), (USB, 2,410, 0.15%, 0.00%), (CL, 1,383, 0.15%, 0.00%), (FDX, 489, 0.14%, 0.00%), (TGT, 669, 0.08%, 0.00%), (SC26771B, nan, nan%, 0.00%), (SC26773B, nan, nan%, 0.00%), (SP26772B, nan, nan%, 0.00%), (SP26775B, nan, nan%, 0.00%), (SP26774B, nan, nan%, 0.00%), (XP26775B, nan, nan%, 0.00%)</t>
  </si>
  <si>
    <t>GOOGL, EBAY, BK, META, MLI, JPM, MSFT, EA, PHM, RJF, BLK</t>
  </si>
  <si>
    <t>(BKNG, 191, 1.95%, 0.00%), (EWBC, 9,826, 1.95%, 0.01%), (AXP, 3,206, 1.93%, 0.00%), (HIG, 7,612, 1.84%, 0.00%), (TRV, 3,617, 1.84%, 0.00%), (KLAC, 1,006, 1.83%, 0.00%), (V, 2,842, 1.77%, 0.00%), (SNA, 2,834, 1.77%, 0.01%), (UNM, 12,788, 1.76%, 0.01%), (NVDA, 5,311, 1.73%, 0.00%), (ROST, 6,333, 1.71%, 0.00%), (AMAT, 5,446, 1.71%, 0.00%), (PCAR, 8,989, 1.69%, 0.00%), (SYF, 11,871, 1.66%, 0.00%), (LEN, 6,710, 1.65%, 0.00%), (ADP, 3,037, 1.62%, 0.00%), (CB, 3,207, 1.62%, 0.00%), (WSM, 4,019, 1.49%, 0.00%), (CRM, 3,256, 1.45%, 0.00%), (CTSH, 11,488, 1.45%, 0.00%), (BKR, 16,907, 1.44%, 0.00%), (DHI, 4,459, 1.41%, 0.00%), (PAYC, 3,478, 1.39%, 0.01%), (QCOM, 4,586, 1.36%, 0.00%), (AAPL, 2,960, 1.29%, 0.00%), (LRCX, 5,856, 1.28%, 0.00%), (AFL, 6,280, 1.25%, 0.00%), (ELV, 2,177, 1.23%, 0.00%), (ACN, 2,709, 1.18%, 0.00%), (MPWR, 726, 1.13%, 0.00%), (GE, 2,052, 1.08%, 0.00%), (CSCO, 8,505, 1.05%, 0.00%), (ODFL, 3,895, 1.04%, 0.00%), (STT, 4,714, 0.97%, 0.00%), (PNC, 2,525, 0.94%, 0.00%), (MTB, 2,509, 0.91%, 0.00%), (CF, 5,388, 0.85%, 0.00%), (COST, 472, 0.83%, 0.00%), (AMP, 918, 0.82%, 0.00%), (ABT, 3,394, 0.82%, 0.00%), (XOM, 3,946, 0.81%, 0.00%), (EOG, 3,551, 0.77%, 0.00%), (EG, 1,194, 0.75%, 0.00%), (CSL, 1,057, 0.69%, 0.00%), (GEV, 481, 0.56%, 0.00%), (NTRS, 2,188, 0.52%, 0.00%), (MA, 456, 0.49%, 0.00%), (ACM, 2,070, 0.49%, 0.00%), (JNJ, 1,465, 0.48%, 0.00%), (LNC, 5,984, 0.45%, 0.00%), (CRBG, 7,518, 0.45%, 0.00%), (MTG, 8,598, 0.44%, 0.00%), (JXN, 2,470, 0.44%, 0.00%), (CINF, 1,522, 0.43%, 0.00%), (WTFC, 1,763, 0.43%, 0.00%), (EQH, 4,242, 0.42%, 0.00%), (MCK, 316, 0.41%, 0.00%), (ADM, 3,644, 0.41%, 0.00%), (DOV, 1,279, 0.40%, 0.00%), (ALL, 1,084, 0.39%, 0.00%), (NUE, 1,463, 0.38%, 0.00%), (PGR, 798, 0.36%, 0.00%), (SLM, 7,026, 0.36%, 0.00%), (NKE, 2,667, 0.36%, 0.00%), (FANG, 1,139, 0.28%, 0.00%), (SC13N61B, nan, nan%, 0.00%), (SC13N63B, nan, nan%, 0.00%), (SP13N62B, nan, nan%, 0.00%), (SP13N65B, nan, nan%, 0.00%), (SP13N64B, nan, nan%, 0.00%), (SPX Index, nan, nan%, 0.00%), (XP13N65B, nan, nan%, 0.00%)</t>
  </si>
  <si>
    <t>(AVGO, 3,788, 3.94%, 0.00%), (META, 1,346, 2.94%, 0.00%), (GOOGL, 3,606, 2.57%, 0.00%), (BRK/B, 1,565, 2.21%, 0.00%), (GOOG, 2,937, 2.10%, 0.00%), (TSLA, 1,801, 2.09%, 0.00%), (LIN, 1,345, 1.84%, 0.00%), (CSCO, 9,505, 1.82%, 0.00%), (JPM, 1,982, 1.75%, 0.00%), (XOM, 4,798, 1.54%, 0.00%), (AMT, 2,728, 1.51%, 0.00%), (MA, 900, 1.50%, 0.00%), (V, 1,476, 1.44%, 0.00%), (LLY, 565, 1.21%, 0.00%), (ORCL, 1,412, 1.21%, 0.00%), (CB, 1,506, 1.19%, 0.00%), (GE, 1,404, 1.15%, 0.00%), (UNH, 1,051, 1.05%, 0.00%), (WM, 1,687, 1.05%, 0.00%), (NFLX, 264, 0.91%, 0.00%), (NEE, 4,332, 0.89%, 0.00%), (PLTR, 1,801, 0.88%, 0.00%), (JNJ, 1,727, 0.88%, 0.00%), (WMT, 2,874, 0.85%, 0.00%), (CVX, 1,825, 0.82%, 0.00%), (PG, 1,817, 0.82%, 0.00%), (COST, 293, 0.81%, 0.00%), (ABBV, 1,267, 0.79%, 0.00%), (HD, 650, 0.79%, 0.00%), (RTX, 1,727, 0.78%, 0.00%), (CAT, 626, 0.78%, 0.00%), (ABT, 1,981, 0.75%, 0.00%), (MCD, 858, 0.74%, 0.00%), (BAC, 4,700, 0.68%, 0.00%), (BKNG, 40, 0.64%, 0.00%), (KO, 3,285, 0.62%, 0.00%), (PM, 1,317, 0.61%, 0.00%), (SO, 2,308, 0.61%, 0.00%), (AMD, 1,316, 0.60%, 0.00%), (GS, 268, 0.60%, 0.00%), (BA, 970, 0.60%, 0.00%), (IBM, 813, 0.60%, 0.00%), (UBER, 2,089, 0.59%, 0.00%), (NKE, 2,806, 0.59%, 0.00%), (CRM, 840, 0.58%, 0.00%), (DUK, 1,627, 0.57%, 0.00%), (ETN, 513, 0.55%, 0.00%), (WFC, 2,344, 0.55%, 0.00%), (MET, 2,336, 0.54%, 0.00%), (HON, 843, 0.51%, 0.00%), (ISRG, 407, 0.51%, 0.00%), (NOW, 181, 0.49%, 0.00%), (COP, 1,812, 0.48%, 0.00%), (T, 5,594, 0.47%, 0.00%), (MS, 1,059, 0.47%, 0.00%), (PEP, 1,162, 0.47%, 0.00%), (INTU, 246, 0.46%, 0.00%), (AXP, 475, 0.45%, 0.00%), (DE, 330, 0.44%, 0.00%), (SPGI, 271, 0.42%, 0.00%), (MRK, 1,814, 0.42%, 0.00%), (QCOM, 901, 0.42%, 0.00%), (VZ, 3,282, 0.41%, 0.00%), (BLK, 124, 0.40%, 0.00%), (MDT, 1,465, 0.39%, 0.00%), (ADBE, 387, 0.38%, 0.00%), (C, 1,332, 0.38%, 0.00%), (TXN, 740, 0.38%, 0.00%), (ACN, 549, 0.37%, 0.00%), (TMO, 274, 0.37%, 0.00%), (UNP, 601, 0.37%, 0.00%), (LMT, 274, 0.37%, 0.00%), (DIS, 1,118, 0.37%, 0.00%), (SCHW, 1,277, 0.34%, 0.00%), (AMAT, 669, 0.33%, 0.00%), (SBUX, 1,358, 0.32%, 0.00%), (MMM, 706, 0.32%, 0.00%), (AMGN, 385, 0.30%, 0.00%), (CVS, 1,437, 0.30%, 0.00%), (TJX, 738, 0.30%, 0.00%), (LOW, 371, 0.29%, 0.00%), (GILD, 894, 0.29%, 0.00%), (EMR, 740, 0.29%, 0.00%), (PFE, 4,064, 0.28%, 0.00%), (MO, 1,436, 0.27%, 0.00%), (DHR, 461, 0.25%, 0.00%), (INTC, 3,498, 0.25%, 0.00%), (ELV, 265, 0.23%, 0.00%), (CMCSA, 2,356, 0.22%, 0.00%), (MDLZ, 1,133, 0.20%, 0.00%), (BMY, 1,454, 0.19%, 0.00%), (UPS, 725, 0.17%, 0.00%), (PYPL, 856, 0.16%, 0.00%), (USB, 1,098, 0.15%, 0.00%), (CL, 630, 0.15%, 0.00%), (FDX, 223, 0.14%, 0.00%), (TGT, 305, 0.08%, 0.00%), (SC31761B, nan, nan%, 0.00%), (SC31763B, nan, nan%, 0.00%), (SP31762B, nan, nan%, 0.00%), (SP31765B, nan, nan%, 0.00%), (SP31764B, nan, nan%, 0.00%), (XP31765B, nan, nan%, 0.00%)</t>
  </si>
  <si>
    <t>(AVGO, 2,497, 3.84%, 0.00%), (META, 887, 2.87%, 0.00%), (GOOGL, 2,377, 2.50%, 0.00%), (BRK/B, 1,032, 2.15%, 0.00%), (GOOG, 1,936, 2.05%, 0.00%), (TSLA, 1,187, 2.04%, 0.00%), (LIN, 886, 1.79%, 0.00%), (CSCO, 6,265, 1.77%, 0.00%), (JPM, 1,307, 1.71%, 0.00%), (XOM, 3,163, 1.50%, 0.00%), (AMT, 1,798, 1.47%, 0.00%), (V, 973, 1.40%, 0.00%), (MA, 561, 1.39%, 0.00%), (LLY, 372, 1.18%, 0.00%), (ORCL, 931, 1.18%, 0.00%), (CB, 992, 1.16%, 0.00%), (GE, 925, 1.12%, 0.00%), (UNH, 693, 1.02%, 0.00%), (WM, 1,112, 1.02%, 0.00%), (NFLX, 174, 0.89%, 0.00%), (NEE, 2,856, 0.87%, 0.00%), (PLTR, 1,187, 0.86%, 0.00%), (JNJ, 1,138, 0.86%, 0.00%), (WMT, 1,894, 0.83%, 0.00%), (CVX, 1,203, 0.80%, 0.00%), (PG, 1,197, 0.80%, 0.00%), (COST, 193, 0.78%, 0.00%), (ABBV, 835, 0.77%, 0.00%), (HD, 428, 0.77%, 0.00%), (RTX, 1,138, 0.76%, 0.00%), (CAT, 413, 0.76%, 0.00%), (ABT, 1,306, 0.73%, 0.00%), (MCD, 566, 0.73%, 0.00%), (BAC, 3,098, 0.66%, 0.00%), (BKNG, 26, 0.61%, 0.00%), (KO, 2,165, 0.61%, 0.00%), (PM, 868, 0.60%, 0.00%), (SO, 1,522, 0.60%, 0.00%), (GS, 177, 0.59%, 0.00%), (AMD, 867, 0.59%, 0.00%), (BA, 639, 0.58%, 0.00%), (IBM, 536, 0.58%, 0.00%), (UBER, 1,377, 0.57%, 0.00%), (NKE, 1,850, 0.57%, 0.00%), (CRM, 554, 0.57%, 0.00%), (DUK, 1,073, 0.55%, 0.00%), (ETN, 338, 0.54%, 0.00%), (WFC, 1,545, 0.53%, 0.00%), (MET, 1,540, 0.52%, 0.00%), (HON, 556, 0.50%, 0.00%), (ISRG, 268, 0.49%, 0.00%), (COP, 1,231, 0.48%, 0.00%), (NOW, 119, 0.48%, 0.00%), (T, 3,687, 0.46%, 0.00%), (MS, 698, 0.46%, 0.00%), (PEP, 766, 0.46%, 0.00%), (INTU, 162, 0.45%, 0.00%), (AXP, 313, 0.43%, 0.00%), (DE, 218, 0.43%, 0.00%), (SPGI, 179, 0.41%, 0.00%), (MRK, 1,196, 0.41%, 0.00%), (QCOM, 594, 0.41%, 0.00%), (VZ, 2,163, 0.40%, 0.00%), (BLK, 82, 0.39%, 0.00%), (MDT, 965, 0.38%, 0.00%), (ADBE, 255, 0.37%, 0.00%), (C, 878, 0.37%, 0.00%), (TXN, 488, 0.37%, 0.00%), (ACN, 362, 0.36%, 0.00%), (TMO, 181, 0.36%, 0.00%), (UNP, 396, 0.36%, 0.00%), (DIS, 737, 0.36%, 0.00%), (LMT, 180, 0.36%, 0.00%), (GILD, 689, 0.33%, 0.00%), (SCHW, 842, 0.33%, 0.00%), (AMAT, 441, 0.32%, 0.00%), (SBUX, 895, 0.31%, 0.00%), (MMM, 466, 0.31%, 0.00%), (AMGN, 254, 0.30%, 0.00%), (CVS, 947, 0.30%, 0.00%), (TJX, 486, 0.29%, 0.00%), (LOW, 245, 0.28%, 0.00%), (EMR, 488, 0.28%, 0.00%), (PFE, 2,679, 0.27%, 0.00%), (MO, 946, 0.26%, 0.00%), (DHR, 304, 0.24%, 0.00%), (INTC, 2,306, 0.24%, 0.00%), (ELV, 175, 0.23%, 0.00%), (CMCSA, 1,553, 0.21%, 0.00%), (MDLZ, 747, 0.20%, 0.00%), (BMY, 959, 0.19%, 0.00%), (UPS, 478, 0.17%, 0.00%), (PYPL, 564, 0.16%, 0.00%), (USB, 724, 0.15%, 0.00%), (CL, 415, 0.14%, 0.00%), (FDX, 147, 0.14%, 0.00%), (TGT, 201, 0.08%, 0.00%), (SC9061B, nan, nan%, 0.00%), (SC9063B, nan, nan%, 0.00%), (SP9062B, nan, nan%, 0.00%), (SP9065B, nan, nan%, 0.00%), (SP9064B, nan, nan%, 0.00%), (XP9065B, nan, nan%, 0.00%)</t>
  </si>
  <si>
    <t>(META, 851, 2.61%, 0.00%), (GOOGL, 2,281, 2.29%, 0.00%), (BRK/B, 990, 1.96%, 0.00%), (GOOG, 1,858, 1.87%, 0.00%), (TSLA, 1,139, 1.86%, 0.00%), (LIN, 851, 1.63%, 0.00%), (CSCO, 6,012, 1.62%, 0.00%), (JPM, 1,254, 1.56%, 0.00%), (XOM, 3,035, 1.37%, 0.00%), (AMT, 1,726, 1.34%, 0.00%), (V, 934, 1.28%, 0.00%), (MA, 543, 1.27%, 0.00%), (ORCL, 893, 1.08%, 0.00%), (LLY, 357, 1.07%, 0.00%), (CB, 952, 1.05%, 0.00%), (GE, 888, 1.02%, 0.00%), (UNH, 665, 0.93%, 0.00%), (WM, 1,067, 0.93%, 0.00%), (NFLX, 167, 0.81%, 0.00%), (NEE, 2,740, 0.79%, 0.00%), (PLTR, 1,139, 0.78%, 0.00%), (JNJ, 1,092, 0.78%, 0.00%), (WMT, 1,818, 0.76%, 0.00%), (CVX, 1,154, 0.73%, 0.00%), (PG, 1,149, 0.73%, 0.00%), (COST, 186, 0.72%, 0.00%), (ABBV, 802, 0.70%, 0.00%), (HD, 411, 0.70%, 0.00%), (RTX, 1,092, 0.70%, 0.00%), (CAT, 396, 0.69%, 0.00%), (ABT, 1,253, 0.66%, 0.00%), (MCD, 543, 0.66%, 0.00%), (BAC, 2,973, 0.60%, 0.00%), (BKNG, 25, 0.56%, 0.00%), (KO, 2,078, 0.55%, 0.00%), (PM, 833, 0.54%, 0.00%), (SO, 1,460, 0.54%, 0.00%), (GS, 170, 0.54%, 0.00%), (AMD, 832, 0.54%, 0.00%), (BA, 613, 0.53%, 0.00%), (IBM, 514, 0.53%, 0.00%), (UBER, 1,321, 0.52%, 0.00%), (NKE, 1,775, 0.52%, 0.00%), (CRM, 531, 0.52%, 0.00%), (DUK, 1,029, 0.51%, 0.00%), (ETN, 324, 0.49%, 0.00%), (WFC, 1,483, 0.49%, 0.00%), (MET, 1,478, 0.48%, 0.00%), (HON, 534, 0.46%, 0.00%), (ISRG, 257, 0.45%, 0.00%), (NOW, 115, 0.44%, 0.00%), (T, 3,538, 0.42%, 0.00%), (MS, 670, 0.42%, 0.00%), (PEP, 735, 0.42%, 0.00%), (INTU, 156, 0.41%, 0.00%), (COP, 1,093, 0.41%, 0.00%), (DE, 209, 0.40%, 0.00%), (AXP, 301, 0.40%, 0.00%), (SPGI, 172, 0.38%, 0.00%), (MRK, 1,147, 0.37%, 0.00%), (QCOM, 570, 0.37%, 0.00%), (VZ, 2,076, 0.37%, 0.00%), (BLK, 79, 0.36%, 0.00%), (MDT, 926, 0.35%, 0.00%), (ADBE, 245, 0.34%, 0.00%), (C, 842, 0.34%, 0.00%), (TXN, 468, 0.34%, 0.00%), (TMO, 174, 0.33%, 0.00%), (ACN, 347, 0.33%, 0.00%), (UNP, 380, 0.33%, 0.00%), (LMT, 173, 0.33%, 0.00%), (DIS, 707, 0.33%, 0.00%), (SCHW, 808, 0.30%, 0.00%), (AMAT, 423, 0.29%, 0.00%), (SBUX, 859, 0.29%, 0.00%), (MMM, 447, 0.28%, 0.00%), (AMGN, 244, 0.27%, 0.00%), (CVS, 909, 0.27%, 0.00%), (TJX, 467, 0.27%, 0.00%), (LOW, 235, 0.26%, 0.00%), (GILD, 565, 0.26%, 0.00%), (EMR, 468, 0.26%, 0.00%), (PFE, 2,571, 0.25%, 0.00%), (MO, 908, 0.24%, 0.00%), (DHR, 292, 0.22%, 0.00%), (INTC, 2,213, 0.22%, 0.00%), (ELV, 168, 0.21%, 0.00%), (CMCSA, 1,490, 0.20%, 0.00%), (MDLZ, 717, 0.18%, 0.00%), (BMY, 920, 0.17%, 0.00%), (UPS, 459, 0.16%, 0.00%), (PYPL, 542, 0.15%, 0.00%), (USB, 695, 0.14%, 0.00%), (CL, 399,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</si>
  <si>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1,588, 3.73%, 0.00%), (META, 564, 2.78%, 0.00%), (GOOGL, 1,512, 2.44%, 0.00%), (BRK/B, 656, 2.09%, 0.00%), (GOOG, 1,232, 1.99%, 0.00%), (TSLA, 755, 1.98%, 0.00%), (LIN, 564, 1.74%, 0.00%), (CSCO, 3,985, 1.72%, 0.00%), (JPM, 831, 1.66%, 0.00%), (MA, 393, 1.48%, 0.00%), (XOM, 2,012, 1.46%, 0.00%), (AMT, 1,144, 1.43%, 0.00%), (V, 619, 1.36%, 0.00%), (ORCL, 592, 1.15%, 0.00%), (LLY, 237, 1.14%, 0.00%), (CB, 631, 1.12%, 0.00%), (GE, 589, 1.09%, 0.00%), (UNH, 441, 0.99%, 0.00%), (WM, 707, 0.99%, 0.00%), (NFLX, 111, 0.87%, 0.00%), (NEE, 1,816, 0.84%, 0.00%), (PLTR, 755, 0.83%, 0.00%), (JNJ, 724, 0.83%, 0.00%), (WMT, 1,205, 0.81%, 0.00%), (CVX, 765, 0.78%, 0.00%), (PG, 762, 0.77%, 0.00%), (COST, 123, 0.77%, 0.00%), (ABBV, 531, 0.75%, 0.00%), (HD, 272, 0.74%, 0.00%), (RTX, 724, 0.74%, 0.00%), (CAT, 263, 0.74%, 0.00%), (ABT, 830, 0.71%, 0.00%), (MCD, 360, 0.70%, 0.00%), (BAC, 1,971, 0.64%, 0.00%), (BKNG, 17, 0.61%, 0.00%), (KO, 1,377, 0.59%, 0.00%), (SO, 968, 0.58%, 0.00%), (PM, 552, 0.58%, 0.00%), (AMD, 552, 0.57%, 0.00%), (GS, 112, 0.57%, 0.00%), (BA, 407, 0.57%, 0.00%), (IBM, 341, 0.56%, 0.00%), (UBER, 876, 0.56%, 0.00%), (NKE, 1,177, 0.56%, 0.00%), (CRM, 352, 0.55%, 0.00%), (DUK, 682, 0.54%, 0.00%), (ETN, 215, 0.52%, 0.00%), (WFC, 983, 0.52%, 0.00%), (MET, 979, 0.51%, 0.00%), (HON, 354, 0.49%, 0.00%), (ISRG, 171, 0.48%, 0.00%), (COP, 792, 0.47%, 0.00%), (NOW, 76, 0.47%, 0.00%), (T, 2,345, 0.45%, 0.00%), (MS, 444, 0.45%, 0.00%), (PEP, 487, 0.44%, 0.00%), (INTU, 103, 0.44%, 0.00%), (AXP, 199, 0.42%, 0.00%), (DE, 138, 0.42%, 0.00%), (SPGI, 114, 0.40%, 0.00%), (MRK, 761, 0.40%, 0.00%), (QCOM, 378, 0.39%, 0.00%), (VZ, 1,376, 0.39%, 0.00%), (BLK, 52, 0.38%, 0.00%), (MDT, 614, 0.37%, 0.00%), (ADBE, 162, 0.36%, 0.00%), (C, 558, 0.36%, 0.00%), (TXN, 310, 0.36%, 0.00%), (TMO, 115, 0.35%, 0.00%), (ACN, 230, 0.35%, 0.00%), (LMT, 115, 0.35%, 0.00%), (UNP, 252, 0.35%, 0.00%), (DIS, 469, 0.35%, 0.00%), (SCHW, 535, 0.32%, 0.00%), (AMAT, 280, 0.31%, 0.00%), (SBUX, 569, 0.30%, 0.00%), (MMM, 296, 0.30%, 0.00%), (AMGN, 162, 0.29%, 0.00%), (CVS, 602, 0.29%, 0.00%), (TJX, 309, 0.28%, 0.00%), (LOW, 156, 0.28%, 0.00%), (GILD, 375, 0.27%, 0.00%), (EMR, 310, 0.27%, 0.00%), (PFE, 1,704, 0.26%, 0.00%), (MO, 602, 0.25%, 0.00%), (DHR, 193, 0.24%, 0.00%), (INTC, 1,466, 0.23%, 0.00%), (ELV, 111, 0.22%, 0.00%), (CMCSA, 988, 0.21%, 0.00%), (MDLZ, 475, 0.19%, 0.00%), (BMY, 610, 0.18%, 0.00%), (UPS, 304, 0.16%, 0.00%), (PYPL, 359, 0.16%, 0.00%), (USB, 461, 0.15%, 0.00%), (CL, 264, 0.14%, 0.00%), (FDX, 93, 0.14%, 0.00%), (TGT, 128, 0.07%, 0.00%), (SC8071B, nan, nan%, 0.00%), (SC8073B, nan, nan%, 0.00%), (SP8072B, nan, nan%, 0.00%), (SP8075B, nan, nan%, 0.00%), (SP8074B, nan, nan%, 0.00%), (XP8075B, nan, nan%, 0.00%)</t>
  </si>
  <si>
    <t>(AVGO, 16,509, 3.57%, 0.00%), (META, 5,864, 2.66%, 0.00%), (GOOGL, 15,718, 2.33%, 0.00%), (BRK/B, 6,823, 2.00%, 0.00%), (GOOG, 12,803, 1.90%, 0.00%), (TSLA, 7,847, 1.89%, 0.00%), (LIN, 5,861, 1.67%, 0.00%), (CSCO, 41,426, 1.65%, 0.00%), (JPM, 8,639, 1.59%, 0.00%), (XOM, 20,912, 1.40%, 0.00%), (MA, 3,951, 1.37%, 0.00%), (AMT, 11,891, 1.37%, 0.00%), (V, 6,432, 1.30%, 0.00%), (ORCL, 6,155, 1.10%, 0.00%), (LLY, 2,463, 1.10%, 0.00%), (CB, 6,562, 1.07%, 0.00%), (GE, 6,119, 1.04%, 0.00%), (UNH, 4,580, 0.95%, 0.00%), (WM, 7,350, 0.95%, 0.00%), (NFLX, 1,150, 0.82%, 0.00%), (NEE, 18,882, 0.80%, 0.00%), (PLTR, 7,850, 0.80%, 0.00%), (JNJ, 7,525, 0.80%, 0.00%), (WMT, 12,527, 0.77%, 0.00%), (CVX, 7,952, 0.75%, 0.00%), (PG, 7,918, 0.74%, 0.00%), (COST, 1,279, 0.73%, 0.00%), (ABBV, 5,523, 0.72%, 0.00%), (HD, 2,831, 0.71%, 0.00%), (RTX, 7,525, 0.71%, 0.00%), (CAT, 2,729, 0.71%, 0.00%), (ABT, 8,632, 0.68%, 0.00%), (MCD, 3,741, 0.67%, 0.00%), (BAC, 20,484, 0.62%, 0.00%), (BKNG, 173, 0.57%, 0.00%), (KO, 14,317, 0.57%, 0.00%), (PM, 5,741, 0.55%, 0.00%), (SO, 10,061, 0.55%, 0.00%), (AMD, 5,736, 0.55%, 0.00%), (GS, 1,168, 0.55%, 0.00%), (BA, 4,226, 0.54%, 0.00%), (IBM, 3,541, 0.54%, 0.00%), (UBER, 9,103, 0.53%, 0.00%), (NKE, 12,231, 0.53%, 0.00%), (CRM, 3,661, 0.53%, 0.00%), (DUK, 7,093, 0.52%, 0.00%), (ETN, 2,234, 0.50%, 0.00%), (WFC, 10,217, 0.49%, 0.00%), (MET, 10,181, 0.49%, 0.00%), (HON, 3,676, 0.46%, 0.00%), (ISRG, 1,773, 0.46%, 0.00%), (COP, 8,055, 0.44%, 0.00%), (NOW, 789, 0.44%, 0.00%), (MS, 4,617, 0.43%, 0.00%), (T, 24,379, 0.43%, 0.00%), (PEP, 5,066, 0.43%, 0.00%), (INTU, 1,073, 0.42%, 0.00%), (AXP, 2,071, 0.40%, 0.00%), (DE, 1,439, 0.40%, 0.00%), (SPGI, 1,182, 0.38%, 0.00%), (MRK, 7,906, 0.38%, 0.00%), (QCOM, 3,927, 0.38%, 0.00%), (VZ, 14,303, 0.37%, 0.00%), (BLK, 542, 0.36%, 0.00%), (MDT, 6,383, 0.36%, 0.00%), (ADBE, 1,686, 0.35%, 0.00%), (C, 5,804, 0.34%, 0.00%), (TXN, 3,224, 0.34%, 0.00%), (ACN, 2,393, 0.34%, 0.00%), (TMO, 1,196, 0.34%, 0.00%), (UNP, 2,621, 0.34%, 0.00%), (LMT, 1,193, 0.34%, 0.00%), (DIS, 4,872, 0.34%, 0.00%), (SCHW, 5,564, 0.31%, 0.00%), (AMAT, 2,914, 0.30%, 0.00%), (SBUX, 5,918, 0.29%, 0.00%), (MMM, 3,079, 0.29%, 0.00%), (AMGN, 1,680, 0.27%, 0.00%), (CVS, 6,263, 0.27%, 0.00%), (TJX, 3,214, 0.27%, 0.00%), (LOW, 1,617, 0.26%, 0.00%), (GILD, 3,895, 0.26%, 0.00%), (EMR, 3,224, 0.26%, 0.00%), (PFE, 17,712, 0.25%, 0.00%), (MO, 6,258, 0.24%, 0.00%), (DHR, 2,009, 0.23%, 0.00%), (INTC, 15,245, 0.22%, 0.00%), (ELV, 1,154, 0.21%, 0.00%), (CMCSA, 10,268, 0.20%, 0.00%), (MDLZ, 4,938, 0.18%, 0.00%), (BMY, 6,339, 0.17%, 0.00%), (UPS, 3,162, 0.16%, 0.00%), (PYPL, 3,732, 0.15%, 0.00%), (USB, 4,787, 0.14%, 0.00%), (CL, 2,747, 0.13%, 0.00%), (FDX, 972, 0.13%, 0.00%), (TGT, 1,329, 0.07%, 0.00%), (SC26771B, nan, nan%, 0.00%), (SC26773B, nan, nan%, 0.00%), (SP26772B, nan, nan%, 0.00%), (SP26774B, nan, nan%, 0.00%), (SP26775T, nan, nan%, 0.00%), (XP26775T, nan, nan%, 0.00%)</t>
  </si>
  <si>
    <t>(AVGO, 14,292, 3.80%, 0.00%), (META, 5,077, 2.83%, 0.00%), (GOOGL, 13,607, 2.48%, 0.00%), (BRK/B, 5,906, 2.13%, 0.00%), (GOOG, 11,084, 2.02%, 0.00%), (TSLA, 6,794, 2.01%, 0.00%), (LIN, 5,074, 1.77%, 0.00%), (CSCO, 35,864, 1.75%, 0.00%), (JPM, 7,479, 1.69%, 0.00%), (XOM, 18,104, 1.49%, 0.00%), (MA, 3,441, 1.47%, 0.00%), (AMT, 10,294, 1.45%, 0.00%), (V, 5,569, 1.38%, 0.00%), (ORCL, 5,329, 1.17%, 0.00%), (LLY, 2,132, 1.17%, 0.00%), (CB, 5,681, 1.14%, 0.00%), (GE, 5,297, 1.11%, 0.00%), (UNH, 3,965, 1.01%, 0.00%), (WM, 6,363, 1.01%, 0.00%), (NFLX, 995, 0.87%, 0.00%), (NEE, 16,347, 0.85%, 0.00%), (PLTR, 6,796, 0.85%, 0.00%), (JNJ, 6,515, 0.85%, 0.00%), (WMT, 10,845, 0.82%, 0.00%), (CVX, 6,884, 0.79%, 0.00%), (PG, 6,855, 0.79%, 0.00%), (COST, 1,107, 0.78%, 0.00%), (ABBV, 4,782, 0.76%, 0.00%), (HD, 2,451, 0.76%, 0.00%), (RTX, 6,514, 0.75%, 0.00%), (CAT, 2,363, 0.75%, 0.00%), (ABT, 7,473, 0.72%, 0.00%), (MCD, 3,239, 0.72%, 0.00%), (BAC, 17,734, 0.66%, 0.00%), (BKNG, 150, 0.61%, 0.00%), (KO, 12,394, 0.60%, 0.00%), (PM, 4,971, 0.59%, 0.00%), (SO, 8,710, 0.59%, 0.00%), (AMD, 4,966, 0.58%, 0.00%), (GS, 1,012, 0.58%, 0.00%), (BA, 3,659, 0.58%, 0.00%), (IBM, 3,066, 0.57%, 0.00%), (UBER, 7,881, 0.57%, 0.00%), (NKE, 10,588, 0.56%, 0.00%), (CRM, 3,170, 0.56%, 0.00%), (DUK, 6,141, 0.55%, 0.00%), (ETN, 1,934, 0.53%, 0.00%), (WFC, 8,845, 0.53%, 0.00%), (MET, 8,814, 0.52%, 0.00%), (HON, 3,183, 0.49%, 0.00%), (ISRG, 1,535, 0.49%, 0.00%), (COP, 7,028, 0.47%, 0.00%), (NOW, 683, 0.47%, 0.00%), (T, 21,105, 0.46%, 0.00%), (MS, 3,997, 0.46%, 0.00%), (PEP, 4,386, 0.45%, 0.00%), (INTU, 929, 0.44%, 0.00%), (AXP, 1,793, 0.43%, 0.00%), (DE, 1,245, 0.43%, 0.00%), (SPGI, 1,023, 0.41%, 0.00%), (MRK, 6,845, 0.41%, 0.00%), (QCOM, 3,400, 0.40%, 0.00%), (VZ, 12,382, 0.40%, 0.00%), (BLK, 469, 0.38%, 0.00%), (MDT, 5,526, 0.38%, 0.00%), (ADBE, 1,459, 0.37%, 0.00%), (GILD, 4,472, 0.37%, 0.00%), (C, 5,024, 0.37%, 0.00%), (TXN, 2,791, 0.36%, 0.00%), (ACN, 2,072, 0.36%, 0.00%), (TMO, 1,035, 0.36%, 0.00%), (UNP, 2,269, 0.36%, 0.00%), (LMT, 1,033, 0.36%, 0.00%), (DIS, 4,217, 0.36%, 0.00%), (SCHW, 4,817, 0.32%, 0.00%), (AMAT, 2,523, 0.31%, 0.00%), (SBUX, 5,123, 0.31%, 0.00%), (MMM, 2,665, 0.31%, 0.00%), (AMGN, 1,454, 0.29%, 0.00%), (CVS, 5,422, 0.29%, 0.00%), (TJX, 2,783, 0.29%, 0.00%), (LOW, 1,400, 0.28%, 0.00%), (EMR, 2,791, 0.28%, 0.00%), (PFE, 15,334, 0.27%, 0.00%), (MO, 5,418, 0.26%, 0.00%), (DHR, 1,739, 0.24%, 0.00%), (INTC, 13,198, 0.24%, 0.00%), (ELV, 999, 0.22%, 0.00%), (CMCSA, 8,889, 0.21%, 0.00%), (MDLZ, 4,275, 0.19%, 0.00%), (BMY, 5,488, 0.19%, 0.00%), (UPS, 2,737, 0.17%, 0.00%), (PYPL, 3,231, 0.16%, 0.00%), (USB, 4,144, 0.15%, 0.00%), (CL, 2,378, 0.14%, 0.00%), (FDX, 841, 0.14%, 0.00%), (TGT, 1,151, 0.07%, 0.00%), (SC23471B, nan, nan%, 0.00%), (SC23473B, nan, nan%, 0.00%), (SP23472B, nan, nan%, 0.00%), (SP23475B, nan, nan%, 0.00%), (SP23474B, nan, nan%, 0.00%), (XP23475B, nan, nan%, 0.00%)</t>
  </si>
  <si>
    <t>(AVGO, 10,651, 3.79%, 0.00%), (META, 3,783, 2.83%, 0.00%), (GOOGL, 10,141, 2.48%, 0.00%), (BRK/B, 4,402, 2.13%, 0.00%), (GOOG, 8,260, 2.02%, 0.00%), (TSLA, 5,063, 2.01%, 0.00%), (LIN, 3,781, 1.77%, 0.00%), (CSCO, 26,726, 1.75%, 0.00%), (JPM, 5,574, 1.69%, 0.00%), (XOM, 13,491, 1.49%, 0.00%), (MA, 2,568, 1.47%, 0.00%), (AMT, 7,671, 1.45%, 0.00%), (V, 4,150, 1.38%, 0.00%), (LLY, 1,589, 1.17%, 0.00%), (ORCL, 3,971, 1.17%, 0.00%), (CB, 4,234, 1.14%, 0.00%), (GE, 3,947, 1.11%, 0.00%), (UNH, 2,955, 1.01%, 0.00%), (WM, 4,742, 1.01%, 0.00%), (NFLX, 742, 0.87%, 0.00%), (NEE, 12,182, 0.85%, 0.00%), (PLTR, 5,065, 0.85%, 0.00%), (JNJ, 4,855, 0.85%, 0.00%), (WMT, 8,082, 0.82%, 0.00%), (CVX, 5,130, 0.79%, 0.00%), (PG, 5,108, 0.79%, 0.00%), (COST, 825, 0.78%, 0.00%), (ABBV, 3,563, 0.76%, 0.00%), (HD, 1,826, 0.76%, 0.00%), (RTX, 4,855, 0.75%, 0.00%), (CAT, 1,761, 0.75%, 0.00%), (ABT, 5,569, 0.72%, 0.00%), (MCD, 2,414, 0.72%, 0.00%), (BAC, 13,216, 0.66%, 0.00%), (BKNG, 111, 0.61%, 0.00%), (KO, 9,236, 0.60%, 0.00%), (PM, 3,704, 0.59%, 0.00%), (SO, 6,491, 0.59%, 0.00%), (AMD, 3,701, 0.58%, 0.00%), (GS, 754, 0.58%, 0.00%), (BA, 2,727, 0.58%, 0.00%), (IBM, 2,285, 0.57%, 0.00%), (UBER, 5,873, 0.57%, 0.00%), (NKE, 7,891, 0.56%, 0.00%), (CRM, 2,362, 0.56%, 0.00%), (DUK, 4,576, 0.55%, 0.00%), (ETN, 1,441, 0.53%, 0.00%), (WFC, 6,592, 0.53%, 0.00%), (MET, 6,569, 0.52%, 0.00%), (HON, 2,372, 0.49%, 0.00%), (ISRG, 1,144, 0.49%, 0.00%), (NOW, 509, 0.47%, 0.00%), (COP, 5,171, 0.47%, 0.00%), (MS, 2,979, 0.46%, 0.00%), (T, 15,728, 0.46%, 0.00%), (PEP, 3,269, 0.45%, 0.00%), (INTU, 693, 0.44%, 0.00%), (AXP, 1,336, 0.43%, 0.00%), (DE, 928, 0.43%, 0.00%), (SPGI, 762, 0.41%, 0.00%), (MRK, 5,101, 0.41%, 0.00%), (QCOM, 2,533, 0.40%, 0.00%), (VZ, 9,227, 0.40%, 0.00%), (BLK, 350, 0.38%, 0.00%), (MDT, 4,118, 0.38%, 0.00%), (ADBE, 1,088, 0.37%, 0.00%), (GILD, 3,313, 0.37%, 0.00%), (C, 3,744, 0.37%, 0.00%), (TXN, 2,080, 0.36%, 0.00%), (ACN, 1,544, 0.36%, 0.00%), (TMO, 771, 0.36%, 0.00%), (UNP, 1,691, 0.36%, 0.00%), (LMT, 769, 0.36%, 0.00%), (DIS, 3,143, 0.36%, 0.00%), (SCHW, 3,590, 0.32%, 0.00%), (AMAT, 1,880, 0.31%, 0.00%), (SBUX, 3,818, 0.31%, 0.00%), (MMM, 1,986, 0.31%, 0.00%), (AMGN, 1,084, 0.29%, 0.00%), (CVS, 4,041, 0.29%, 0.00%), (TJX, 2,074, 0.29%, 0.00%), (LOW, 1,043, 0.28%, 0.00%), (EMR, 2,080, 0.28%, 0.00%), (PFE, 11,427, 0.27%, 0.00%), (MO, 4,038, 0.26%, 0.00%), (DHR, 1,296, 0.24%, 0.00%), (INTC, 9,835, 0.24%, 0.00%), (ELV, 745, 0.22%, 0.00%), (CMCSA, 6,625, 0.21%, 0.00%), (MDLZ, 3,186, 0.19%, 0.00%), (BMY, 4,090, 0.19%, 0.00%), (UPS, 2,040, 0.17%, 0.00%), (PYPL, 2,407, 0.16%, 0.00%), (USB, 3,088, 0.15%, 0.00%), (CL, 1,772, 0.14%, 0.00%), (FDX, 627, 0.14%, 0.00%), (TGT, 858, 0.07%, 0.00%), (SC22171B, nan, nan%, 0.00%), (SC22173B, nan, nan%, 0.00%), (SP22172B, nan, nan%, 0.00%), (SP22175B, nan, nan%, 0.00%), (SP22174B, nan, nan%, 0.00%), (XP22175B, nan, nan%, 0.00%)</t>
  </si>
  <si>
    <t>(AVGO, 4,043, 3.62%, 0.00%), (META, 1,436, 2.70%, 0.00%), (GOOGL, 3,849, 2.37%, 0.00%), (BRK/B, 1,671, 2.03%, 0.00%), (GOOG, 3,135, 1.93%, 0.00%), (TSLA, 1,922, 1.93%, 0.00%), (LIN, 1,435, 1.69%, 0.00%), (CSCO, 10,144, 1.67%, 0.00%), (JPM, 2,116, 1.61%, 0.00%), (XOM, 5,121, 1.42%, 0.00%), (AMT, 2,912, 1.38%, 0.00%), (MA, 947, 1.36%, 0.00%), (V, 1,575, 1.32%, 0.00%), (ORCL, 1,507, 1.12%, 0.00%), (LLY, 603, 1.11%, 0.00%), (CB, 1,607, 1.09%, 0.00%), (GE, 1,498, 1.06%, 0.00%), (UNH, 1,122, 0.96%, 0.00%), (WM, 1,800, 0.96%, 0.00%), (NFLX, 282, 0.83%, 0.00%), (NEE, 4,624, 0.81%, 0.00%), (PLTR, 1,922, 0.81%, 0.00%), (JNJ, 1,843, 0.81%, 0.00%), (WMT, 3,068, 0.78%, 0.00%), (CVX, 1,947, 0.76%, 0.00%), (PG, 1,939, 0.75%, 0.00%), (COST, 313, 0.74%, 0.00%), (ABBV, 1,353, 0.73%, 0.00%), (HD, 693, 0.72%, 0.00%), (RTX, 1,843, 0.72%, 0.00%), (CAT, 668, 0.72%, 0.00%), (ABT, 2,114, 0.69%, 0.00%), (MCD, 916, 0.68%, 0.00%), (BAC, 5,016, 0.63%, 0.00%), (BKNG, 42, 0.58%, 0.00%), (KO, 3,506, 0.57%, 0.00%), (PM, 1,406, 0.56%, 0.00%), (SO, 2,464, 0.56%, 0.00%), (AMD, 1,405, 0.56%, 0.00%), (GS, 286, 0.55%, 0.00%), (BA, 1,035, 0.55%, 0.00%), (IBM, 867, 0.55%, 0.00%), (UBER, 2,229, 0.54%, 0.00%), (NKE, 2,995, 0.54%, 0.00%), (CRM, 897, 0.54%, 0.00%), (DUK, 1,737, 0.52%, 0.00%), (ETN, 547, 0.51%, 0.00%), (WFC, 2,502, 0.50%, 0.00%), (MET, 2,493, 0.49%, 0.00%), (HON, 900, 0.47%, 0.00%), (ISRG, 434, 0.46%, 0.00%), (NOW, 193, 0.45%, 0.00%), (MS, 1,131, 0.44%, 0.00%), (T, 5,970, 0.44%, 0.00%), (COP, 1,907, 0.43%, 0.00%), (PEP, 1,241, 0.43%, 0.00%), (INTU, 263, 0.42%, 0.00%), (AXP, 507, 0.41%, 0.00%), (DE, 352, 0.41%, 0.00%), (SPGI, 289, 0.39%, 0.00%), (MRK, 1,936, 0.39%, 0.00%), (QCOM, 962, 0.38%, 0.00%), (VZ, 3,502, 0.38%, 0.00%), (BLK, 133, 0.37%, 0.00%), (MDT, 1,563, 0.36%, 0.00%), (ADBE, 413, 0.35%, 0.00%), (C, 1,421, 0.35%, 0.00%), (TXN, 790, 0.35%, 0.00%), (ACN, 586, 0.34%, 0.00%), (TMO, 293, 0.34%, 0.00%), (UNP, 642, 0.34%, 0.00%), (LMT, 292, 0.34%, 0.00%), (DIS, 1,193, 0.34%, 0.00%), (GILD, 1,154, 0.32%, 0.00%), (SCHW, 1,363, 0.31%, 0.00%), (AMAT, 714, 0.30%, 0.00%), (SBUX, 1,449, 0.29%, 0.00%), (MMM, 754, 0.29%, 0.00%), (AMGN, 411, 0.28%, 0.00%), (CVS, 1,534, 0.28%, 0.00%), (TJX, 787, 0.27%, 0.00%), (LOW, 396, 0.27%, 0.00%), (EMR, 789, 0.26%, 0.00%), (PFE, 4,337, 0.26%, 0.00%), (MO, 1,533, 0.25%, 0.00%), (DHR, 492, 0.23%, 0.00%), (INTC, 3,733, 0.23%, 0.00%), (ELV, 283, 0.21%, 0.00%), (CMCSA, 2,514, 0.20%, 0.00%), (MDLZ, 1,209, 0.18%, 0.00%), (BMY, 1,552, 0.18%, 0.00%), (UPS, 774, 0.16%, 0.00%), (PYPL, 914, 0.15%, 0.00%), (USB, 1,172, 0.14%, 0.00%), (CL, 673, 0.14%, 0.00%), (FDX, 238, 0.13%, 0.00%), (TGT, 326, 0.07%, 0.00%), (SC28181B, nan, nan%, 0.00%), (SC28183B, nan, nan%, 0.00%), (SP28182B, nan, nan%, 0.00%), (SP28185B, nan, nan%, 0.00%), (SP28184B, nan, nan%, 0.00%), (XP28185B, nan, nan%, 0.00%)</t>
  </si>
  <si>
    <t>(AVGO, 4,397, 3.65%, 0.00%), (META, 1,562, 2.73%, 0.00%), (GOOGL, 4,187, 2.39%, 0.00%), (BRK/B, 1,817, 2.05%, 0.00%), (GOOG, 3,410, 1.95%, 0.00%), (TSLA, 2,090, 1.94%, 0.00%), (LIN, 1,561, 1.70%, 0.00%), (CSCO, 11,035, 1.69%, 0.00%), (JPM, 2,301, 1.62%, 0.00%), (XOM, 5,570, 1.43%, 0.00%), (AMT, 3,167, 1.40%, 0.00%), (MA, 1,013, 1.35%, 0.00%), (V, 1,713, 1.33%, 0.00%), (ORCL, 1,640, 1.12%, 0.00%), (LLY, 656, 1.12%, 0.00%), (CB, 1,748, 1.10%, 0.00%), (GE, 1,630, 1.07%, 0.00%), (UNH, 1,220, 0.97%, 0.00%), (WM, 1,958, 0.97%, 0.00%), (NFLX, 306, 0.84%, 0.00%), (NEE, 5,030, 0.82%, 0.00%), (PLTR, 2,091, 0.82%, 0.00%), (JNJ, 2,004, 0.81%, 0.00%), (WMT, 3,337, 0.79%, 0.00%), (CVX, 2,118, 0.76%, 0.00%), (PG, 2,109, 0.76%, 0.00%), (COST, 341, 0.75%, 0.00%), (ABBV, 1,471, 0.73%, 0.00%), (HD, 754, 0.73%, 0.00%), (RTX, 2,004, 0.73%, 0.00%), (CAT, 727, 0.72%, 0.00%), (ABT, 2,299, 0.69%, 0.00%), (MCD, 997, 0.69%, 0.00%), (BAC, 5,456, 0.63%, 0.00%), (BKNG, 46, 0.59%, 0.00%), (KO, 3,813, 0.58%, 0.00%), (PM, 1,529, 0.57%, 0.00%), (SO, 2,680, 0.57%, 0.00%), (AMD, 1,528, 0.56%, 0.00%), (GS, 311, 0.56%, 0.00%), (BA, 1,126, 0.56%, 0.00%), (IBM, 943, 0.55%, 0.00%), (UBER, 2,425, 0.55%, 0.00%), (NKE, 3,258, 0.54%, 0.00%), (CRM, 975, 0.54%, 0.00%), (DUK, 1,889, 0.53%, 0.00%), (ETN, 595, 0.51%, 0.00%), (WFC, 2,721, 0.51%, 0.00%), (MET, 2,712, 0.50%, 0.00%), (HON, 979, 0.47%, 0.00%), (ISRG, 472, 0.47%, 0.00%), (NOW, 210, 0.46%, 0.00%), (T, 6,494, 0.44%, 0.00%), (MS, 1,230, 0.44%, 0.00%), (PEP, 1,350, 0.43%, 0.00%), (COP, 2,039, 0.43%, 0.00%), (INTU, 286, 0.42%, 0.00%), (AXP, 552, 0.41%, 0.00%), (DE, 383, 0.41%, 0.00%), (SPGI, 315, 0.39%, 0.00%), (MRK, 2,106, 0.39%, 0.00%), (QCOM, 1,046, 0.39%, 0.00%), (VZ, 3,810, 0.38%, 0.00%), (BLK, 144, 0.37%, 0.00%), (MDT, 1,700, 0.36%, 0.00%), (ADBE, 449, 0.36%, 0.00%), (C, 1,546, 0.35%, 0.00%), (TXN, 859, 0.35%, 0.00%), (ACN, 637, 0.35%, 0.00%), (UNP, 698, 0.35%, 0.00%), (TMO, 318, 0.35%, 0.00%), (GILD, 1,338, 0.35%, 0.00%), (LMT, 318, 0.34%, 0.00%), (DIS, 1,298, 0.34%, 0.00%), (SCHW, 1,482, 0.31%, 0.00%), (AMAT, 776, 0.30%, 0.00%), (SBUX, 1,576, 0.30%, 0.00%), (MMM, 820, 0.29%, 0.00%), (AMGN, 448, 0.28%, 0.00%), (CVS, 1,668, 0.28%, 0.00%), (TJX, 856, 0.28%, 0.00%), (LOW, 431, 0.27%, 0.00%), (EMR, 859, 0.27%, 0.00%), (PFE, 4,718, 0.26%, 0.00%), (MO, 1,667, 0.25%, 0.00%), (DHR, 535, 0.23%, 0.00%), (INTC, 4,061, 0.23%, 0.00%), (ELV, 307, 0.22%, 0.00%), (CMCSA, 2,735, 0.20%, 0.00%), (MDLZ, 1,315, 0.19%, 0.00%), (BMY, 1,689, 0.18%, 0.00%), (UPS, 842, 0.16%, 0.00%), (PYPL, 994, 0.15%, 0.00%), (USB, 1,275, 0.14%, 0.00%), (CL, 732, 0.14%, 0.00%), (FDX, 259, 0.13%, 0.00%), (TGT, 354, 0.07%, 0.00%), (SC13481B, nan, nan%, 0.00%), (SC13483B, nan, nan%, 0.00%), (SP13482B, nan, nan%, 0.00%), (SP13485B, nan, nan%, 0.00%), (SP13484B, nan, nan%, 0.00%), (XP13485B, nan, nan%, 0.00%)</t>
  </si>
  <si>
    <t>(AVGO, 8,265, 3.78%, 0.00%), (META, 2,936, 2.82%, 0.00%), (GOOGL, 7,869, 2.47%, 0.00%), (BRK/B, 3,416, 2.12%, 0.00%), (GOOG, 6,410, 2.02%, 0.00%), (TSLA, 3,929, 2.01%, 0.00%), (LIN, 2,934, 1.76%, 0.00%), (CSCO, 20,741, 1.75%, 0.00%), (JPM, 4,325, 1.68%, 0.00%), (XOM, 10,470, 1.48%, 0.00%), (AMT, 5,953, 1.45%, 0.00%), (MA, 1,928, 1.42%, 0.00%), (V, 3,220, 1.38%, 0.00%), (ORCL, 3,082, 1.16%, 0.00%), (LLY, 1,233, 1.16%, 0.00%), (CB, 3,285, 1.14%, 0.00%), (GE, 3,063, 1.10%, 0.00%), (UNH, 2,293, 1.01%, 0.00%), (WM, 3,680, 1.00%, 0.00%), (NFLX, 576, 0.87%, 0.00%), (NEE, 9,454, 0.85%, 0.00%), (PLTR, 3,930, 0.85%, 0.00%), (JNJ, 3,768, 0.84%, 0.00%), (WMT, 6,272, 0.82%, 0.00%), (CVX, 3,981, 0.79%, 0.00%), (PG, 3,964, 0.78%, 0.00%), (COST, 640, 0.78%, 0.00%), (ABBV, 2,765, 0.76%, 0.00%), (HD, 1,417, 0.75%, 0.00%), (RTX, 3,767, 0.75%, 0.00%), (CAT, 1,367, 0.75%, 0.00%), (ABT, 4,322, 0.72%, 0.00%), (MCD, 1,873, 0.71%, 0.00%), (BAC, 10,256, 0.65%, 0.00%), (BKNG, 87, 0.61%, 0.00%), (KO, 7,168, 0.60%, 0.00%), (PM, 2,875, 0.59%, 0.00%), (SO, 5,037, 0.59%, 0.00%), (AMD, 2,872, 0.58%, 0.00%), (GS, 585, 0.58%, 0.00%), (BA, 2,116, 0.58%, 0.00%), (IBM, 1,773, 0.57%, 0.00%), (UBER, 4,557, 0.56%, 0.00%), (NKE, 6,123, 0.56%, 0.00%), (CRM, 1,833, 0.56%, 0.00%), (DUK, 3,551, 0.55%, 0.00%), (ETN, 1,119, 0.53%, 0.00%), (WFC, 5,115, 0.52%, 0.00%), (MET, 5,097, 0.52%, 0.00%), (HON, 1,841, 0.49%, 0.00%), (ISRG, 888, 0.49%, 0.00%), (NOW, 395, 0.47%, 0.00%), (MS, 2,312, 0.46%, 0.00%), (T, 12,206, 0.46%, 0.00%), (COP, 3,881, 0.45%, 0.00%), (PEP, 2,537, 0.45%, 0.00%), (INTU, 537, 0.44%, 0.00%), (AXP, 1,037, 0.43%, 0.00%), (DE, 720, 0.43%, 0.00%), (SPGI, 592, 0.41%, 0.00%), (MRK, 3,958, 0.40%, 0.00%), (QCOM, 1,966, 0.40%, 0.00%), (VZ, 7,161, 0.40%, 0.00%), (BLK, 271, 0.38%, 0.00%), (MDT, 3,196, 0.38%, 0.00%), (ADBE, 844, 0.37%, 0.00%), (C, 2,906, 0.36%, 0.00%), (TXN, 1,614, 0.36%, 0.00%), (ACN, 1,198, 0.36%, 0.00%), (TMO, 599, 0.36%, 0.00%), (UNP, 1,312, 0.36%, 0.00%), (LMT, 597, 0.36%, 0.00%), (DIS, 2,439, 0.36%, 0.00%), (SCHW, 2,786, 0.32%, 0.00%), (AMAT, 1,459, 0.31%, 0.00%), (SBUX, 2,963, 0.31%, 0.00%), (MMM, 1,541, 0.30%, 0.00%), (AMGN, 841, 0.29%, 0.00%), (CVS, 3,136, 0.29%, 0.00%), (TJX, 1,609, 0.29%, 0.00%), (LOW, 809, 0.28%, 0.00%), (GILD, 1,950, 0.28%, 0.00%), (EMR, 1,614, 0.28%, 0.00%), (PFE, 8,868, 0.27%, 0.00%), (MO, 3,133, 0.26%, 0.00%), (DHR, 1,006, 0.24%, 0.00%), (INTC, 7,632, 0.24%, 0.00%), (ELV, 578, 0.22%, 0.00%), (CMCSA, 5,141, 0.21%, 0.00%), (MDLZ, 2,472, 0.19%, 0.00%), (BMY, 3,174, 0.19%, 0.00%), (UPS, 1,583, 0.17%, 0.00%), (PYPL, 1,868, 0.16%, 0.00%), (USB, 2,397, 0.15%, 0.00%), (CL, 1,375, 0.14%, 0.00%), (FDX, 486, 0.14%, 0.00%), (TGT, 666, 0.07%, 0.00%), (SC26771B, nan, nan%, 0.00%), (SC26773B, nan, nan%, 0.00%), (SP26772B, nan, nan%, 0.00%), (SP26775B, nan, nan%, 0.00%), (SP26774B, nan, nan%, 0.00%), (XP26775B, nan, nan%, 0.00%)</t>
  </si>
  <si>
    <t>GOOGL, EBAY, META, BK, MLI, JPM, MSFT, EA, PHM, RJF, BLK</t>
  </si>
  <si>
    <t>(EWBC, 9,826, 1.93%, 0.01%), (AXP, 3,206, 1.93%, 0.00%), (BKNG, 191, 1.92%, 0.00%), (KLAC, 1,006, 1.83%, 0.00%), (HIG, 7,612, 1.82%, 0.00%), (TRV, 3,617, 1.81%, 0.00%), (V, 2,842, 1.78%, 0.00%), (UNM, 12,788, 1.75%, 0.01%), (SNA, 2,834, 1.74%, 0.01%), (AMAT, 5,446, 1.74%, 0.00%), (NVDA, 5,311, 1.71%, 0.00%), (ROST, 6,333, 1.71%, 0.00%), (PCAR, 8,989, 1.70%, 0.00%), (LEN, 6,710, 1.65%, 0.00%), (SYF, 11,871, 1.63%, 0.00%), (ADP, 3,037, 1.61%, 0.00%), (CB, 3,207, 1.61%, 0.00%), (BKR, 16,907, 1.47%, 0.00%), (CTSH, 11,488, 1.46%, 0.00%), (WSM, 4,019, 1.45%, 0.00%), (CRM, 3,256, 1.43%, 0.00%), (DHI, 4,459, 1.41%, 0.00%), (QCOM, 4,586, 1.39%, 0.00%), (PAYC, 3,478, 1.37%, 0.01%), (LRCX, 5,856, 1.30%, 0.00%), (AAPL, 2,960, 1.30%, 0.00%), (AFL, 6,280, 1.24%, 0.00%), (ELV, 2,177, 1.24%, 0.00%), (ACN, 2,709, 1.18%, 0.00%), (MPWR, 726, 1.15%, 0.00%), (GE, 2,052, 1.11%, 0.00%), (ODFL, 3,895, 1.05%, 0.00%), (CSCO, 8,505, 1.05%, 0.00%), (STT, 4,714, 0.96%, 0.00%), (PNC, 2,525, 0.93%, 0.00%), (MTB, 2,509, 0.90%, 0.00%), (CF, 5,388, 0.84%, 0.00%), (XOM, 3,946, 0.83%, 0.00%), (ABT, 3,394, 0.83%, 0.00%), (COST, 472, 0.83%, 0.00%), (AMP, 918, 0.82%, 0.00%), (EOG, 3,551, 0.79%, 0.00%), (EG, 1,194, 0.73%, 0.00%), (CSL, 1,057, 0.66%, 0.00%), (GEV, 481, 0.55%, 0.00%), (NTRS, 2,188, 0.52%, 0.00%), (MA, 456, 0.49%, 0.00%), (ACM, 2,070, 0.49%, 0.00%), (JNJ, 1,465, 0.48%, 0.00%), (MTG, 8,598, 0.44%, 0.00%), (LNC, 5,984, 0.43%, 0.00%), (CRBG, 7,518, 0.43%, 0.00%), (WTFC, 1,763, 0.43%, 0.00%), (CINF, 1,522, 0.43%, 0.00%), (JXN, 2,470, 0.43%, 0.00%), (ADM, 3,644, 0.42%, 0.00%), (EQH, 4,242, 0.41%, 0.00%), (DOV, 1,279, 0.41%, 0.00%), (MCK, 316, 0.40%, 0.00%), (ALL, 1,084, 0.39%, 0.00%), (NUE, 1,463, 0.38%, 0.00%), (SLM, 7,026, 0.36%, 0.00%), (PGR, 798, 0.36%, 0.00%), (NKE, 2,667, 0.36%, 0.00%), (FANG, 1,139, 0.29%, 0.00%), (SC13N61B, nan, nan%, 0.00%), (SC13N63B, nan, nan%, 0.00%), (SP13N62B, nan, nan%, 0.00%), (SP13N65B, nan, nan%, 0.00%), (SP13N64B, nan, nan%, 0.00%), (SPX Index, nan, nan%, 0.00%), (XP13N65B, nan, nan%, 0.00%)</t>
  </si>
  <si>
    <t>(AVGO, 3,788, 3.91%, 0.00%), (META, 1,346, 2.98%, 0.00%), (GOOGL, 3,606, 2.57%, 0.00%), (BRK/B, 1,565, 2.21%, 0.00%), (TSLA, 1,801, 2.14%, 0.00%), (GOOG, 2,937, 2.10%, 0.00%), (LIN, 1,345, 1.82%, 0.00%), (CSCO, 9,505, 1.82%, 0.00%), (JPM, 1,982, 1.76%, 0.00%), (XOM, 4,798, 1.57%, 0.00%), (AMT, 2,728, 1.52%, 0.00%), (V, 1,476, 1.44%, 0.00%), (LLY, 565, 1.24%, 0.00%), (ORCL, 1,412, 1.23%, 0.00%), (CB, 1,506, 1.18%, 0.00%), (MA, 700, 1.18%, 0.00%), (GE, 1,404, 1.17%, 0.00%), (WM, 1,687, 1.04%, 0.00%), (UNH, 1,051, 1.03%, 0.00%), (NFLX, 264, 0.90%, 0.00%), (PLTR, 1,801, 0.88%, 0.00%), (JNJ, 1,727, 0.87%, 0.00%), (NEE, 4,332, 0.87%, 0.00%), (WMT, 2,874, 0.85%, 0.00%), (CVX, 1,825, 0.83%, 0.00%), (PG, 1,817, 0.82%, 0.00%), (COST, 293, 0.80%, 0.00%), (ABBV, 1,267, 0.79%, 0.00%), (CAT, 626, 0.79%, 0.00%), (HD, 650, 0.78%, 0.00%), (RTX, 1,727, 0.78%, 0.00%), (ABT, 1,981, 0.75%, 0.00%), (MCD, 858, 0.75%, 0.00%), (BAC, 4,700, 0.68%, 0.00%), (BKNG, 40, 0.63%, 0.00%), (KO, 3,285, 0.62%, 0.00%), (PM, 1,317, 0.62%, 0.00%), (SO, 2,308, 0.61%, 0.00%), (AMD, 1,316, 0.60%, 0.00%), (GS, 268, 0.60%, 0.00%), (IBM, 813, 0.60%, 0.00%), (BA, 970, 0.60%, 0.00%), (NKE, 2,806, 0.58%, 0.00%), (UBER, 2,089, 0.58%, 0.00%), (CRM, 840, 0.58%, 0.00%), (DUK, 1,627, 0.56%, 0.00%), (WFC, 2,344, 0.55%, 0.00%), (ETN, 513, 0.55%, 0.00%), (MET, 2,336, 0.53%, 0.00%), (HON, 843, 0.51%, 0.00%), (ISRG, 407, 0.51%, 0.00%), (NOW, 181, 0.48%, 0.00%), (MS, 1,059, 0.47%, 0.00%), (T, 5,594, 0.47%, 0.00%), (PEP, 1,162, 0.47%, 0.00%), (INTU, 246, 0.46%, 0.00%), (AXP, 475, 0.45%, 0.00%), (DE, 330, 0.44%, 0.00%), (QCOM, 901, 0.42%, 0.00%), (MRK, 1,814, 0.42%, 0.00%), (SPGI, 271, 0.42%, 0.00%), (VZ, 3,282, 0.41%, 0.00%), (BLK, 124, 0.40%, 0.00%), (MDT, 1,465, 0.40%, 0.00%), (ADBE, 387, 0.39%, 0.00%), (C, 1,332, 0.38%, 0.00%), (COP, 1,412, 0.38%, 0.00%), (TXN, 740, 0.38%, 0.00%), (TMO, 274, 0.38%, 0.00%), (ACN, 549, 0.37%, 0.00%), (LMT, 274, 0.37%, 0.00%), (UNP, 601, 0.37%, 0.00%), (DIS, 1,118, 0.37%, 0.00%), (SCHW, 1,277, 0.33%, 0.00%), (AMAT, 669, 0.33%, 0.00%), (SBUX, 1,358, 0.33%, 0.00%), (MMM, 706, 0.32%, 0.00%), (CVS, 1,437, 0.30%, 0.00%), (AMGN, 385, 0.30%, 0.00%), (TJX, 738, 0.30%, 0.00%), (LOW, 371, 0.29%, 0.00%), (GILD, 894, 0.28%, 0.00%), (PFE, 4,064, 0.28%, 0.00%), (EMR, 740, 0.27%, 0.00%), (MO, 1,436, 0.27%, 0.00%), (DHR, 461, 0.25%, 0.00%), (INTC, 3,498, 0.25%, 0.00%), (ELV, 265, 0.23%, 0.00%), (CMCSA, 2,356, 0.22%, 0.00%), (MDLZ, 1,133, 0.20%, 0.00%), (BMY, 1,454, 0.19%, 0.00%), (UPS, 725, 0.18%, 0.00%), (PYPL, 856, 0.16%, 0.00%), (USB, 1,098, 0.15%, 0.00%), (CL, 630, 0.15%, 0.00%), (FDX, 223, 0.14%, 0.00%), (TGT, 305, 0.08%, 0.00%), (SC31761B, nan, nan%, 0.00%), (SC31763B, nan, nan%, 0.00%), (SP31762B, nan, nan%, 0.00%), (SP31765B, nan, nan%, 0.00%), (SP31764B, nan, nan%, 0.00%), (XP31765B, nan, nan%, 0.00%)</t>
  </si>
  <si>
    <t>(AVGO, 2,497, 3.81%, 0.00%), (META, 887, 2.91%, 0.00%), (GOOGL, 2,377, 2.50%, 0.00%), (BRK/B, 1,032, 2.15%, 0.00%), (TSLA, 1,187, 2.09%, 0.00%), (GOOG, 1,936, 2.05%, 0.00%), (LIN, 886, 1.77%, 0.00%), (CSCO, 6,265, 1.77%, 0.00%), (JPM, 1,307, 1.71%, 0.00%), (XOM, 3,163, 1.53%, 0.00%), (AMT, 1,798, 1.48%, 0.00%), (V, 973, 1.40%, 0.00%), (LLY, 372, 1.20%, 0.00%), (ORCL, 931, 1.19%, 0.00%), (CB, 992, 1.15%, 0.00%), (MA, 461, 1.15%, 0.00%), (GE, 925, 1.14%, 0.00%), (WM, 1,112, 1.01%, 0.00%), (UNH, 693, 1.00%, 0.00%), (NFLX, 174, 0.89%, 0.00%), (PLTR, 1,187, 0.86%, 0.00%), (JNJ, 1,138, 0.85%, 0.00%), (NEE, 2,856, 0.85%, 0.00%), (WMT, 1,894, 0.83%, 0.00%), (CVX, 1,203, 0.81%, 0.00%), (PG, 1,197, 0.80%, 0.00%), (COST, 193, 0.78%, 0.00%), (CAT, 413, 0.77%, 0.00%), (ABBV, 835, 0.77%, 0.00%), (HD, 428, 0.76%, 0.00%), (RTX, 1,138, 0.76%, 0.00%), (ABT, 1,306, 0.74%, 0.00%), (MCD, 566, 0.73%, 0.00%), (BAC, 3,098, 0.66%, 0.00%), (KO, 2,165, 0.61%, 0.00%), (BKNG, 26, 0.60%, 0.00%), (PM, 868, 0.60%, 0.00%), (GS, 177, 0.59%, 0.00%), (SO, 1,522, 0.59%, 0.00%), (AMD, 867, 0.59%, 0.00%), (IBM, 536, 0.58%, 0.00%), (BA, 639, 0.58%, 0.00%), (NKE, 1,850, 0.57%, 0.00%), (UBER, 1,377, 0.57%, 0.00%), (CRM, 554, 0.56%, 0.00%), (DUK, 1,073, 0.55%, 0.00%), (WFC, 1,545, 0.53%, 0.00%), (ETN, 338, 0.53%, 0.00%), (MET, 1,540, 0.51%, 0.00%), (HON, 556, 0.50%, 0.00%), (ISRG, 268, 0.49%, 0.00%), (NOW, 119, 0.47%, 0.00%), (MS, 698, 0.46%, 0.00%), (T, 3,687, 0.46%, 0.00%), (PEP, 766, 0.46%, 0.00%), (INTU, 162, 0.45%, 0.00%), (AXP, 313, 0.43%, 0.00%), (DE, 218, 0.43%, 0.00%), (SPGI, 179, 0.41%, 0.00%), (QCOM, 594, 0.41%, 0.00%), (MRK, 1,196, 0.41%, 0.00%), (VZ, 2,163, 0.40%, 0.00%), (BLK, 82, 0.39%, 0.00%), (MDT, 965, 0.38%, 0.00%), (ADBE, 255, 0.38%, 0.00%), (C, 878, 0.37%, 0.00%), (COP, 931, 0.37%, 0.00%), (TXN, 488, 0.37%, 0.00%), (TMO, 181, 0.37%, 0.00%), (ACN, 362, 0.36%, 0.00%), (UNP, 396, 0.36%, 0.00%), (LMT, 180, 0.36%, 0.00%), (DIS, 737, 0.36%, 0.00%), (SCHW, 842, 0.33%, 0.00%), (AMAT, 441, 0.32%, 0.00%), (SBUX, 895, 0.32%, 0.00%), (MMM, 466, 0.31%, 0.00%), (CVS, 947, 0.30%, 0.00%), (AMGN, 254, 0.29%, 0.00%), (TJX, 486, 0.29%, 0.00%), (LOW, 245, 0.28%, 0.00%), (GILD, 589, 0.28%, 0.00%), (PFE, 2,679, 0.27%, 0.00%), (EMR, 488, 0.27%, 0.00%), (MO, 946, 0.26%, 0.00%), (DHR, 304, 0.24%, 0.00%), (INTC, 2,306, 0.24%, 0.00%), (ELV, 175, 0.23%, 0.00%), (CMCSA, 1,553, 0.21%, 0.00%), (MDLZ, 747, 0.20%, 0.00%), (BMY, 959, 0.19%, 0.00%), (UPS, 478, 0.17%, 0.00%), (PYPL, 564, 0.16%, 0.00%), (USB, 724, 0.15%, 0.00%), (CL, 415, 0.14%, 0.00%), (FDX, 147, 0.14%, 0.00%), (TGT, 201, 0.08%, 0.00%), (SC9061B, nan, nan%, 0.00%), (SC9063B, nan, nan%, 0.00%), (SP9062B, nan, nan%, 0.00%), (SP9065B, nan, nan%, 0.00%), (SP9064B, nan, nan%, 0.00%), (XP9065B, nan, nan%, 0.00%)</t>
  </si>
  <si>
    <t>(META, 851, 2.65%, 0.00%), (GOOGL, 2,281, 2.29%, 0.00%), (BRK/B, 990, 1.96%, 0.00%), (TSLA, 1,139, 1.90%, 0.00%), (GOOG, 1,858, 1.87%, 0.00%), (LIN, 851, 1.62%, 0.00%), (CSCO, 6,012, 1.61%, 0.00%), (JPM, 1,254, 1.56%, 0.00%), (XOM, 3,035, 1.39%, 0.00%), (AMT, 1,726, 1.35%, 0.00%), (V, 934, 1.28%, 0.00%), (LLY, 357, 1.09%, 0.00%), (ORCL, 893, 1.09%, 0.00%), (MA, 443, 1.04%, 0.00%), (CB, 952, 1.04%, 0.00%), (GE, 888, 1.04%, 0.00%), (WM, 1,067, 0.92%, 0.00%), (UNH, 665, 0.91%, 0.00%), (NFLX, 167, 0.81%, 0.00%), (PLTR, 1,139, 0.78%, 0.00%), (JNJ, 1,092, 0.78%, 0.00%), (NEE, 2,740, 0.77%, 0.00%), (WMT, 1,818, 0.76%, 0.00%), (CVX, 1,154, 0.74%, 0.00%), (PG, 1,149, 0.73%, 0.00%), (COST, 186, 0.71%, 0.00%), (ABBV, 802, 0.70%, 0.00%), (CAT, 396, 0.70%, 0.00%), (HD, 411, 0.70%, 0.00%), (RTX, 1,092, 0.70%, 0.00%), (ABT, 1,253, 0.67%, 0.00%), (MCD, 543, 0.66%, 0.00%), (BAC, 2,973, 0.61%, 0.00%), (KO, 2,078, 0.55%, 0.00%), (BKNG, 25, 0.55%, 0.00%), (PM, 833, 0.55%, 0.00%), (GS, 170, 0.54%, 0.00%), (SO, 1,460, 0.54%, 0.00%), (AMD, 832, 0.53%, 0.00%), (IBM, 514, 0.53%, 0.00%), (BA, 613, 0.53%, 0.00%), (NKE, 1,775, 0.52%, 0.00%), (UBER, 1,321, 0.52%, 0.00%), (CRM, 531, 0.51%, 0.00%), (DUK, 1,029, 0.50%, 0.00%), (WFC, 1,483, 0.49%, 0.00%), (ETN, 324, 0.48%, 0.00%), (MET, 1,478, 0.47%, 0.00%), (HON, 534, 0.45%, 0.00%), (ISRG, 257, 0.45%, 0.00%), (NOW, 115, 0.43%, 0.00%), (MS, 670, 0.42%, 0.00%), (T, 3,538, 0.42%, 0.00%), (PEP, 735, 0.41%, 0.00%), (INTU, 156, 0.41%, 0.00%), (DE, 209, 0.40%, 0.00%), (AXP, 301, 0.39%, 0.00%), (QCOM, 570, 0.38%, 0.00%), (SPGI, 172, 0.38%, 0.00%), (MRK, 1,147, 0.37%, 0.00%), (VZ, 2,076, 0.37%, 0.00%), (BLK, 79, 0.36%, 0.00%), (MDT, 926, 0.35%, 0.00%), (ADBE, 245, 0.35%, 0.00%), (C, 842, 0.34%, 0.00%), (COP, 893, 0.34%, 0.00%), (TMO, 174, 0.34%, 0.00%), (TXN, 468, 0.34%, 0.00%), (LMT, 173, 0.33%, 0.00%), (ACN, 347, 0.33%, 0.00%), (UNP, 380, 0.33%, 0.00%), (DIS, 707, 0.33%, 0.00%), (SCHW, 808, 0.30%, 0.00%), (AMAT, 423, 0.29%, 0.00%), (SBUX, 859, 0.29%, 0.00%), (MMM, 447, 0.28%, 0.00%), (CVS, 909, 0.27%, 0.00%), (AMGN, 244, 0.27%, 0.00%), (TJX, 467, 0.26%, 0.00%), (LOW, 235, 0.26%, 0.00%), (GILD, 565, 0.25%, 0.00%), (PFE, 2,571, 0.25%, 0.00%), (EMR, 468, 0.24%, 0.00%), (MO, 908, 0.24%, 0.00%), (DHR, 292, 0.22%, 0.00%), (INTC, 2,213, 0.22%, 0.00%), (ELV, 168, 0.21%, 0.00%), (CMCSA, 1,490, 0.19%, 0.00%), (MDLZ, 717, 0.18%, 0.00%), (BMY, 920, 0.17%, 0.00%), (UPS, 459, 0.16%, 0.00%), (PYPL, 542, 0.15%, 0.00%), (USB, 695, 0.14%, 0.00%), (CL, 399,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</si>
  <si>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1,588, 3.69%, 0.00%), (META, 564, 2.83%, 0.00%), (GOOGL, 1,512, 2.44%, 0.00%), (BRK/B, 656, 2.09%, 0.00%), (TSLA, 755, 2.02%, 0.00%), (GOOG, 1,232, 1.99%, 0.00%), (LIN, 564, 1.72%, 0.00%), (CSCO, 3,985, 1.72%, 0.00%), (JPM, 831, 1.66%, 0.00%), (XOM, 2,012, 1.49%, 0.00%), (AMT, 1,144, 1.44%, 0.00%), (V, 619, 1.36%, 0.00%), (ORCL, 592, 1.17%, 0.00%), (LLY, 237, 1.16%, 0.00%), (CB, 631, 1.11%, 0.00%), (GE, 589, 1.11%, 0.00%), (MA, 293, 1.11%, 0.00%), (WM, 707, 0.98%, 0.00%), (UNH, 441, 0.97%, 0.00%), (NFLX, 111, 0.86%, 0.00%), (PLTR, 755, 0.83%, 0.00%), (JNJ, 724, 0.83%, 0.00%), (NEE, 1,816, 0.82%, 0.00%), (WMT, 1,205, 0.81%, 0.00%), (CVX, 765, 0.79%, 0.00%), (PG, 762, 0.78%, 0.00%), (COST, 123, 0.76%, 0.00%), (ABBV, 531, 0.74%, 0.00%), (CAT, 263, 0.74%, 0.00%), (RTX, 724, 0.74%, 0.00%), (HD, 272, 0.74%, 0.00%), (ABT, 830, 0.71%, 0.00%), (MCD, 360, 0.71%, 0.00%), (BAC, 1,971, 0.65%, 0.00%), (BKNG, 17, 0.60%, 0.00%), (KO, 1,377, 0.59%, 0.00%), (PM, 552, 0.58%, 0.00%), (SO, 968, 0.57%, 0.00%), (AMD, 552, 0.57%, 0.00%), (GS, 112, 0.57%, 0.00%), (BA, 407, 0.57%, 0.00%), (IBM, 341, 0.57%, 0.00%), (NKE, 1,177, 0.55%, 0.00%), (UBER, 876, 0.55%, 0.00%), (CRM, 352, 0.55%, 0.00%), (DUK, 682, 0.53%, 0.00%), (ETN, 215, 0.52%, 0.00%), (WFC, 983, 0.52%, 0.00%), (MET, 979, 0.50%, 0.00%), (HON, 354, 0.48%, 0.00%), (ISRG, 171, 0.48%, 0.00%), (NOW, 76, 0.46%, 0.00%), (MS, 444, 0.45%, 0.00%), (T, 2,345, 0.45%, 0.00%), (PEP, 487, 0.44%, 0.00%), (INTU, 103, 0.43%, 0.00%), (AXP, 199, 0.42%, 0.00%), (DE, 138, 0.42%, 0.00%), (QCOM, 378, 0.40%, 0.00%), (SPGI, 114, 0.40%, 0.00%), (MRK, 761, 0.40%, 0.00%), (VZ, 1,376, 0.39%, 0.00%), (BLK, 52, 0.38%, 0.00%), (MDT, 614, 0.37%, 0.00%), (ADBE, 162, 0.37%, 0.00%), (C, 558, 0.36%, 0.00%), (COP, 592, 0.36%, 0.00%), (TMO, 115, 0.36%, 0.00%), (TXN, 310, 0.36%, 0.00%), (LMT, 115, 0.35%, 0.00%), (ACN, 230, 0.35%, 0.00%), (UNP, 252, 0.35%, 0.00%), (DIS, 469, 0.35%, 0.00%), (SCHW, 535, 0.32%, 0.00%), (AMAT, 280, 0.31%, 0.00%), (SBUX, 569, 0.31%, 0.00%), (MMM, 296, 0.30%, 0.00%), (AMGN, 162, 0.29%, 0.00%), (CVS, 602, 0.29%, 0.00%), (TJX, 309, 0.28%, 0.00%), (LOW, 156, 0.27%, 0.00%), (GILD, 375, 0.27%, 0.00%), (PFE, 1,704, 0.26%, 0.00%), (EMR, 310, 0.26%, 0.00%), (MO, 602, 0.25%, 0.00%), (DHR, 193, 0.24%, 0.00%), (INTC, 1,466, 0.24%, 0.00%), (ELV, 111, 0.22%, 0.00%), (CMCSA, 988, 0.21%, 0.00%), (MDLZ, 475, 0.19%, 0.00%), (BMY, 610, 0.18%, 0.00%), (UPS, 304, 0.17%, 0.00%), (PYPL, 359, 0.16%, 0.00%), (USB, 461, 0.14%, 0.00%), (CL, 264, 0.14%, 0.00%), (FDX, 93, 0.14%, 0.00%), (TGT, 128, 0.07%, 0.00%), (SC8071B, nan, nan%, 0.00%), (SC8073B, nan, nan%, 0.00%), (SP8072B, nan, nan%, 0.00%), (SP8075B, nan, nan%, 0.00%), (SP8074B, nan, nan%, 0.00%), (XP8075B, nan, nan%, 0.00%)</t>
  </si>
  <si>
    <t>(META, 5,864, 2.70%, 0.00%), (GOOGL, 15,718, 2.33%, 0.00%), (BRK/B, 6,823, 2.00%, 0.00%), (TSLA, 7,847, 1.94%, 0.00%), (GOOG, 12,803, 1.90%, 0.00%), (LIN, 5,861, 1.65%, 0.00%), (CSCO, 41,426, 1.65%, 0.00%), (JPM, 8,639, 1.59%, 0.00%), (XOM, 20,912, 1.42%, 0.00%), (AMT, 11,891, 1.38%, 0.00%), (V, 6,432, 1.30%, 0.00%), (LLY, 2,463, 1.12%, 0.00%), (ORCL, 6,155, 1.11%, 0.00%), (CB, 6,562, 1.07%, 0.00%), (MA, 3,051, 1.06%, 0.00%), (GE, 6,119, 1.06%, 0.00%), (WM, 7,350, 0.94%, 0.00%), (UNH, 4,580, 0.93%, 0.00%), (NFLX, 1,150, 0.82%, 0.00%), (PLTR, 7,850, 0.79%, 0.00%), (JNJ, 7,525, 0.79%, 0.00%), (NEE, 18,882, 0.79%, 0.00%), (WMT, 12,527, 0.77%, 0.00%), (CVX, 7,952, 0.75%, 0.00%), (PG, 7,918, 0.75%, 0.00%), (COST, 1,279, 0.73%, 0.00%), (CAT, 2,729, 0.71%, 0.00%), (ABBV, 5,523, 0.71%, 0.00%), (HD, 2,831, 0.71%, 0.00%), (RTX, 7,525, 0.71%, 0.00%), (ABT, 8,632, 0.68%, 0.00%), (MCD, 3,741, 0.68%, 0.00%), (BAC, 20,484, 0.62%, 0.00%), (KO, 14,317, 0.57%, 0.00%), (BKNG, 173, 0.57%, 0.00%), (PM, 5,741, 0.56%, 0.00%), (SO, 10,061, 0.55%, 0.00%), (AMD, 5,736, 0.55%, 0.00%), (GS, 1,168, 0.55%, 0.00%), (BA, 4,226, 0.54%, 0.00%), (IBM, 3,541, 0.54%, 0.00%), (NKE, 12,231, 0.53%, 0.00%), (UBER, 9,103, 0.53%, 0.00%), (CRM, 3,661, 0.52%, 0.00%), (DUK, 7,093, 0.51%, 0.00%), (WFC, 10,217, 0.49%, 0.00%), (ETN, 2,234, 0.49%, 0.00%), (MET, 10,181, 0.48%, 0.00%), (HON, 3,676, 0.46%, 0.00%), (ISRG, 1,773, 0.46%, 0.00%), (NOW, 789, 0.44%, 0.00%), (MS, 4,617, 0.43%, 0.00%), (T, 24,379, 0.43%, 0.00%), (PEP, 5,066, 0.42%, 0.00%), (INTU, 1,073, 0.42%, 0.00%), (AXP, 2,071, 0.40%, 0.00%), (DE, 1,439, 0.40%, 0.00%), (QCOM, 3,927, 0.38%, 0.00%), (MRK, 7,906, 0.38%, 0.00%), (SPGI, 1,182, 0.38%, 0.00%), (VZ, 14,303, 0.37%, 0.00%), (BLK, 542, 0.36%, 0.00%), (MDT, 6,383, 0.36%, 0.00%), (ADBE, 1,686, 0.35%, 0.00%), (C, 5,804, 0.35%, 0.00%), (COP, 6,155, 0.35%, 0.00%), (TMO, 1,196, 0.34%, 0.00%), (TXN, 3,224, 0.34%, 0.00%), (ACN, 2,393, 0.34%, 0.00%), (UNP, 2,621, 0.34%, 0.00%), (LMT, 1,193, 0.34%, 0.00%), (DIS, 4,872, 0.33%, 0.00%), (SCHW, 5,564, 0.30%, 0.00%), (AMAT, 2,914, 0.30%, 0.00%), (SBUX, 5,918, 0.30%, 0.00%), (MMM, 3,079, 0.29%, 0.00%), (CVS, 6,263, 0.27%, 0.00%), (AMGN, 1,680, 0.27%, 0.00%), (TJX, 3,214, 0.27%, 0.00%), (LOW, 1,617, 0.26%, 0.00%), (GILD, 3,895, 0.26%, 0.00%), (PFE, 17,712, 0.25%, 0.00%), (EMR, 3,224, 0.25%, 0.00%), (MO, 6,258, 0.24%, 0.00%), (DHR, 2,009, 0.23%, 0.00%), (INTC, 15,245, 0.23%, 0.00%), (ELV, 1,154, 0.21%, 0.00%), (CMCSA, 10,268, 0.20%, 0.00%), (MDLZ, 4,938, 0.18%, 0.00%), (BMY, 6,339, 0.17%, 0.00%), (UPS, 3,162, 0.16%, 0.00%), (PYPL, 3,732, 0.15%, 0.00%), (USB, 4,787, 0.14%, 0.00%), (CL, 2,747, 0.13%, 0.00%), (FDX, 972, 0.13%, 0.00%), (TGT, 1,329, 0.07%, 0.00%), (SC26771B, nan, nan%, 0.00%), (SC26773B, nan, nan%, 0.00%), (SP26772B, nan, nan%, 0.00%), (SP26774B, nan, nan%, 0.00%), (SP26775T, nan, nan%, 0.00%), (XP26775T, nan, nan%, 0.00%)</t>
  </si>
  <si>
    <t>(AVGO, 14,292, 3.76%, 0.00%), (META, 5,077, 2.87%, 0.00%), (GOOGL, 13,607, 2.48%, 0.00%), (BRK/B, 5,906, 2.12%, 0.00%), (TSLA, 6,794, 2.06%, 0.00%), (GOOG, 11,084, 2.02%, 0.00%), (LIN, 5,074, 1.75%, 0.00%), (CSCO, 35,864, 1.75%, 0.00%), (JPM, 7,479, 1.69%, 0.00%), (XOM, 18,104, 1.51%, 0.00%), (AMT, 10,294, 1.47%, 0.00%), (V, 5,569, 1.39%, 0.00%), (LLY, 2,132, 1.19%, 0.00%), (ORCL, 5,329, 1.18%, 0.00%), (CB, 5,681, 1.13%, 0.00%), (MA, 2,641, 1.13%, 0.00%), (GE, 5,297, 1.13%, 0.00%), (WM, 6,363, 1.00%, 0.00%), (UNH, 3,965, 0.99%, 0.00%), (NFLX, 995, 0.87%, 0.00%), (PLTR, 6,796, 0.85%, 0.00%), (JNJ, 6,515, 0.84%, 0.00%), (NEE, 16,347, 0.84%, 0.00%), (WMT, 10,845, 0.82%, 0.00%), (CVX, 6,884, 0.80%, 0.00%), (PG, 6,855, 0.79%, 0.00%), (COST, 1,107, 0.77%, 0.00%), (CAT, 2,363, 0.76%, 0.00%), (ABBV, 4,782, 0.76%, 0.00%), (HD, 2,451, 0.76%, 0.00%), (RTX, 6,514, 0.75%, 0.00%), (ABT, 7,473, 0.73%, 0.00%), (MCD, 3,239, 0.72%, 0.00%), (BAC, 17,734, 0.66%, 0.00%), (BKNG, 150, 0.60%, 0.00%), (KO, 12,394, 0.60%, 0.00%), (PM, 4,971, 0.59%, 0.00%), (SO, 8,710, 0.58%, 0.00%), (AMD, 4,966, 0.58%, 0.00%), (GS, 1,012, 0.58%, 0.00%), (BA, 3,659, 0.58%, 0.00%), (IBM, 3,066, 0.58%, 0.00%), (NKE, 10,588, 0.56%, 0.00%), (UBER, 7,881, 0.56%, 0.00%), (CRM, 3,170, 0.56%, 0.00%), (DUK, 6,141, 0.54%, 0.00%), (WFC, 8,845, 0.53%, 0.00%), (ETN, 1,934, 0.52%, 0.00%), (MET, 8,814, 0.51%, 0.00%), (HON, 3,183, 0.49%, 0.00%), (ISRG, 1,535, 0.49%, 0.00%), (NOW, 683, 0.46%, 0.00%), (MS, 3,997, 0.45%, 0.00%), (T, 21,105, 0.45%, 0.00%), (PEP, 4,386, 0.45%, 0.00%), (INTU, 929, 0.44%, 0.00%), (AXP, 1,793, 0.43%, 0.00%), (DE, 1,245, 0.43%, 0.00%), (QCOM, 3,400, 0.41%, 0.00%), (MRK, 6,845, 0.41%, 0.00%), (SPGI, 1,023, 0.40%, 0.00%), (VZ, 12,382, 0.40%, 0.00%), (BLK, 469, 0.38%, 0.00%), (MDT, 5,526, 0.38%, 0.00%), (ADBE, 1,459, 0.38%, 0.00%), (C, 5,024, 0.37%, 0.00%), (COP, 5,328, 0.37%, 0.00%), (TMO, 1,035, 0.36%, 0.00%), (TXN, 2,791, 0.36%, 0.00%), (ACN, 2,072, 0.36%, 0.00%), (UNP, 2,269, 0.36%, 0.00%), (LMT, 1,033, 0.36%, 0.00%), (DIS, 4,217, 0.36%, 0.00%), (SCHW, 4,817, 0.32%, 0.00%), (AMAT, 2,523, 0.32%, 0.00%), (SBUX, 5,123, 0.31%, 0.00%), (MMM, 2,665, 0.31%, 0.00%), (CVS, 5,422, 0.29%, 0.00%), (AMGN, 1,454, 0.29%, 0.00%), (TJX, 2,783, 0.28%, 0.00%), (LOW, 1,400, 0.28%, 0.00%), (GILD, 3,372, 0.27%, 0.00%), (PFE, 15,334, 0.27%, 0.00%), (EMR, 2,791, 0.26%, 0.00%), (MO, 5,418, 0.26%, 0.00%), (DHR, 1,739, 0.24%, 0.00%), (INTC, 13,198, 0.24%, 0.00%), (ELV, 999, 0.23%, 0.00%), (CMCSA, 8,889, 0.21%, 0.00%), (MDLZ, 4,275, 0.20%, 0.00%), (BMY, 5,488, 0.19%, 0.00%), (UPS, 2,737, 0.17%, 0.00%), (PYPL, 3,231, 0.16%, 0.00%), (USB, 4,144, 0.15%, 0.00%), (CL, 2,378, 0.14%, 0.00%), (FDX, 841, 0.14%, 0.00%), (TGT, 1,151, 0.08%, 0.00%), (SC23471B, nan, nan%, 0.00%), (SC23473B, nan, nan%, 0.00%), (SP23472B, nan, nan%, 0.00%), (SP23475B, nan, nan%, 0.00%), (SP23474B, nan, nan%, 0.00%), (XP23475B, nan, nan%, 0.00%)</t>
  </si>
  <si>
    <t>(AVGO, 10,651, 3.76%, 0.00%), (META, 3,783, 2.87%, 0.00%), (GOOGL, 10,141, 2.47%, 0.00%), (BRK/B, 4,402, 2.12%, 0.00%), (TSLA, 5,063, 2.06%, 0.00%), (GOOG, 8,260, 2.02%, 0.00%), (LIN, 3,781, 1.75%, 0.00%), (CSCO, 26,726, 1.75%, 0.00%), (JPM, 5,574, 1.69%, 0.00%), (XOM, 13,491, 1.51%, 0.00%), (AMT, 7,671, 1.46%, 0.00%), (V, 4,150, 1.38%, 0.00%), (LLY, 1,589, 1.19%, 0.00%), (ORCL, 3,971, 1.18%, 0.00%), (CB, 4,234, 1.13%, 0.00%), (MA, 1,968, 1.13%, 0.00%), (GE, 3,947, 1.13%, 0.00%), (WM, 4,742, 1.00%, 0.00%), (UNH, 2,955, 0.99%, 0.00%), (NFLX, 742, 0.87%, 0.00%), (PLTR, 5,065, 0.84%, 0.00%), (JNJ, 4,855, 0.84%, 0.00%), (NEE, 12,182, 0.84%, 0.00%), (WMT, 8,082, 0.82%, 0.00%), (CVX, 5,130, 0.80%, 0.00%), (PG, 5,108, 0.79%, 0.00%), (COST, 825, 0.77%, 0.00%), (ABBV, 3,563, 0.76%, 0.00%), (CAT, 1,761, 0.76%, 0.00%), (HD, 1,826, 0.75%, 0.00%), (RTX, 4,855, 0.75%, 0.00%), (ABT, 5,569, 0.73%, 0.00%), (MCD, 2,414, 0.72%, 0.00%), (BAC, 13,216, 0.66%, 0.00%), (KO, 9,236, 0.60%, 0.00%), (BKNG, 111, 0.60%, 0.00%), (PM, 3,704, 0.59%, 0.00%), (SO, 6,491, 0.58%, 0.00%), (GS, 754, 0.58%, 0.00%), (AMD, 3,701, 0.58%, 0.00%), (BA, 2,727, 0.58%, 0.00%), (IBM, 2,285, 0.58%, 0.00%), (NKE, 7,891, 0.56%, 0.00%), (UBER, 5,873, 0.56%, 0.00%), (CRM, 2,362, 0.55%, 0.00%), (DUK, 4,576, 0.54%, 0.00%), (WFC, 6,592, 0.53%, 0.00%), (ETN, 1,441, 0.52%, 0.00%), (MET, 6,569, 0.51%, 0.00%), (HON, 2,372, 0.49%, 0.00%), (ISRG, 1,144, 0.49%, 0.00%), (NOW, 509, 0.46%, 0.00%), (MS, 2,979, 0.45%, 0.00%), (T, 15,728, 0.45%, 0.00%), (PEP, 3,269, 0.45%, 0.00%), (INTU, 693, 0.44%, 0.00%), (AXP, 1,336, 0.43%, 0.00%), (DE, 928, 0.43%, 0.00%), (QCOM, 2,533, 0.41%, 0.00%), (MRK, 5,101, 0.41%, 0.00%), (SPGI, 762, 0.40%, 0.00%), (VZ, 9,227, 0.40%, 0.00%), (BLK, 350, 0.38%, 0.00%), (MDT, 4,118, 0.38%, 0.00%), (ADBE, 1,088, 0.38%, 0.00%), (C, 3,744, 0.37%, 0.00%), (COP, 3,971, 0.37%, 0.00%), (TMO, 771, 0.36%, 0.00%), (TXN, 2,080, 0.36%, 0.00%), (ACN, 1,544, 0.36%, 0.00%), (UNP, 1,691, 0.36%, 0.00%), (LMT, 769, 0.36%, 0.00%), (DIS, 3,143, 0.36%, 0.00%), (SCHW, 3,590, 0.32%, 0.00%), (AMAT, 1,880, 0.32%, 0.00%), (SBUX, 3,818, 0.31%, 0.00%), (MMM, 1,986, 0.31%, 0.00%), (CVS, 4,041, 0.29%, 0.00%), (AMGN, 1,084, 0.29%, 0.00%), (TJX, 2,074, 0.28%, 0.00%), (LOW, 1,043, 0.28%, 0.00%), (GILD, 2,513, 0.27%, 0.00%), (PFE, 11,427, 0.27%, 0.00%), (EMR, 2,080, 0.26%, 0.00%), (MO, 4,038, 0.26%, 0.00%), (DHR, 1,296, 0.24%, 0.00%), (INTC, 9,835, 0.24%, 0.00%), (ELV, 745, 0.23%, 0.00%), (CMCSA, 6,625, 0.21%, 0.00%), (MDLZ, 3,186, 0.20%, 0.00%), (BMY, 4,090, 0.19%, 0.00%), (UPS, 2,040, 0.17%, 0.00%), (PYPL, 2,407, 0.16%, 0.00%), (USB, 3,088, 0.15%, 0.00%), (CL, 1,772, 0.14%, 0.00%), (FDX, 627, 0.14%, 0.00%), (TGT, 858, 0.08%, 0.00%), (SC22171B, nan, nan%, 0.00%), (SC22173B, nan, nan%, 0.00%), (SP22172B, nan, nan%, 0.00%), (SP22175B, nan, nan%, 0.00%), (SP22174B, nan, nan%, 0.00%), (XP22175B, nan, nan%, 0.00%)</t>
  </si>
  <si>
    <t>(AVGO, 4,043, 3.58%, 0.00%), (META, 1,436, 2.74%, 0.00%), (GOOGL, 3,849, 2.36%, 0.00%), (BRK/B, 1,671, 2.02%, 0.00%), (TSLA, 1,922, 1.97%, 0.00%), (GOOG, 3,135, 1.93%, 0.00%), (LIN, 1,435, 1.67%, 0.00%), (CSCO, 10,144, 1.67%, 0.00%), (JPM, 2,116, 1.61%, 0.00%), (XOM, 5,121, 1.44%, 0.00%), (AMT, 2,912, 1.40%, 0.00%), (V, 1,575, 1.32%, 0.00%), (LLY, 603, 1.14%, 0.00%), (ORCL, 1,507, 1.13%, 0.00%), (CB, 1,607, 1.08%, 0.00%), (MA, 747, 1.08%, 0.00%), (GE, 1,498, 1.08%, 0.00%), (WM, 1,800, 0.95%, 0.00%), (UNH, 1,122, 0.94%, 0.00%), (NFLX, 282, 0.83%, 0.00%), (PLTR, 1,922, 0.81%, 0.00%), (JNJ, 1,843, 0.80%, 0.00%), (NEE, 4,624, 0.80%, 0.00%), (WMT, 3,068, 0.78%, 0.00%), (CVX, 1,947, 0.76%, 0.00%), (PG, 1,939, 0.76%, 0.00%), (COST, 313, 0.74%, 0.00%), (CAT, 668, 0.72%, 0.00%), (ABBV, 1,353, 0.72%, 0.00%), (HD, 693, 0.72%, 0.00%), (RTX, 1,843, 0.72%, 0.00%), (ABT, 2,114, 0.69%, 0.00%), (MCD, 916, 0.69%, 0.00%), (BAC, 5,016, 0.63%, 0.00%), (KO, 3,506, 0.57%, 0.00%), (BKNG, 42, 0.57%, 0.00%), (PM, 1,406, 0.57%, 0.00%), (SO, 2,464, 0.56%, 0.00%), (AMD, 1,405, 0.55%, 0.00%), (GS, 286, 0.55%, 0.00%), (BA, 1,035, 0.55%, 0.00%), (IBM, 867, 0.55%, 0.00%), (NKE, 2,995, 0.54%, 0.00%), (UBER, 2,229, 0.54%, 0.00%), (CRM, 897, 0.53%, 0.00%), (DUK, 1,737, 0.51%, 0.00%), (WFC, 2,502, 0.50%, 0.00%), (ETN, 547, 0.50%, 0.00%), (MET, 2,493, 0.48%, 0.00%), (HON, 900, 0.47%, 0.00%), (ISRG, 434, 0.47%, 0.00%), (NOW, 193, 0.44%, 0.00%), (MS, 1,131, 0.43%, 0.00%), (T, 5,970, 0.43%, 0.00%), (PEP, 1,241, 0.43%, 0.00%), (INTU, 263, 0.42%, 0.00%), (AXP, 507, 0.41%, 0.00%), (DE, 352, 0.41%, 0.00%), (QCOM, 962, 0.39%, 0.00%), (MRK, 1,936, 0.39%, 0.00%), (SPGI, 289, 0.39%, 0.00%), (VZ, 3,502, 0.38%, 0.00%), (BLK, 133, 0.37%, 0.00%), (MDT, 1,563, 0.36%, 0.00%), (ADBE, 413, 0.36%, 0.00%), (C, 1,421, 0.35%, 0.00%), (COP, 1,507, 0.35%, 0.00%), (TMO, 293, 0.35%, 0.00%), (TXN, 790, 0.35%, 0.00%), (ACN, 586, 0.34%, 0.00%), (UNP, 642, 0.34%, 0.00%), (LMT, 292, 0.34%, 0.00%), (DIS, 1,193, 0.34%, 0.00%), (SCHW, 1,363, 0.31%, 0.00%), (AMAT, 714, 0.30%, 0.00%), (SBUX, 1,449, 0.30%, 0.00%), (MMM, 754, 0.29%, 0.00%), (CVS, 1,534, 0.28%, 0.00%), (AMGN, 411, 0.28%, 0.00%), (TJX, 787, 0.27%, 0.00%), (LOW, 396, 0.26%, 0.00%), (GILD, 954, 0.26%, 0.00%), (PFE, 4,337, 0.26%, 0.00%), (EMR, 789, 0.25%, 0.00%), (MO, 1,533, 0.25%, 0.00%), (DHR, 492, 0.23%, 0.00%), (INTC, 3,733, 0.23%, 0.00%), (ELV, 283, 0.22%, 0.00%), (CMCSA, 2,514, 0.20%, 0.00%), (MDLZ, 1,209, 0.19%, 0.00%), (BMY, 1,552, 0.18%, 0.00%), (UPS, 774, 0.16%, 0.00%), (PYPL, 914, 0.15%, 0.00%), (USB, 1,172, 0.14%, 0.00%), (CL, 673, 0.14%, 0.00%), (FDX, 238, 0.13%, 0.00%), (TGT, 326, 0.07%, 0.00%), (SC28181B, nan, nan%, 0.00%), (SC28183B, nan, nan%, 0.00%), (SP28182B, nan, nan%, 0.00%), (SP28185B, nan, nan%, 0.00%), (SP28184B, nan, nan%, 0.00%), (XP28185B, nan, nan%, 0.00%)</t>
  </si>
  <si>
    <t>(AVGO, 4,397, 3.62%, 0.00%), (META, 1,562, 2.77%, 0.00%), (GOOGL, 4,187, 2.39%, 0.00%), (BRK/B, 1,817, 2.04%, 0.00%), (TSLA, 2,090, 1.99%, 0.00%), (GOOG, 3,410, 1.95%, 0.00%), (LIN, 1,561, 1.69%, 0.00%), (CSCO, 11,035, 1.69%, 0.00%), (JPM, 2,301, 1.63%, 0.00%), (XOM, 5,570, 1.46%, 0.00%), (AMT, 3,167, 1.41%, 0.00%), (V, 1,713, 1.33%, 0.00%), (LLY, 656, 1.15%, 0.00%), (ORCL, 1,640, 1.14%, 0.00%), (CB, 1,748, 1.09%, 0.00%), (MA, 813, 1.09%, 0.00%), (GE, 1,630, 1.08%, 0.00%), (WM, 1,958, 0.96%, 0.00%), (UNH, 1,220, 0.95%, 0.00%), (NFLX, 306, 0.84%, 0.00%), (PLTR, 2,091, 0.81%, 0.00%), (JNJ, 2,004, 0.81%, 0.00%), (NEE, 5,030, 0.80%, 0.00%), (WMT, 3,337, 0.79%, 0.00%), (CVX, 2,118, 0.77%, 0.00%), (PG, 2,109, 0.76%, 0.00%), (COST, 341, 0.74%, 0.00%), (ABBV, 1,471, 0.73%, 0.00%), (CAT, 727, 0.73%, 0.00%), (RTX, 2,004, 0.73%, 0.00%), (HD, 754, 0.73%, 0.00%), (ABT, 2,299, 0.70%, 0.00%), (MCD, 997, 0.69%, 0.00%), (BAC, 5,456, 0.63%, 0.00%), (KO, 3,813, 0.58%, 0.00%), (BKNG, 46, 0.58%, 0.00%), (PM, 1,529, 0.57%, 0.00%), (SO, 2,680, 0.56%, 0.00%), (AMD, 1,528, 0.56%, 0.00%), (GS, 311, 0.56%, 0.00%), (BA, 1,126, 0.55%, 0.00%), (IBM, 943, 0.55%, 0.00%), (NKE, 3,258, 0.54%, 0.00%), (UBER, 2,425, 0.54%, 0.00%), (CRM, 975, 0.53%, 0.00%), (DUK, 1,889, 0.52%, 0.00%), (WFC, 2,721, 0.51%, 0.00%), (ETN, 595, 0.50%, 0.00%), (MET, 2,712, 0.49%, 0.00%), (HON, 979, 0.47%, 0.00%), (ISRG, 472, 0.47%, 0.00%), (NOW, 210, 0.45%, 0.00%), (MS, 1,230, 0.44%, 0.00%), (T, 6,494, 0.44%, 0.00%), (PEP, 1,350, 0.43%, 0.00%), (INTU, 286, 0.42%, 0.00%), (AXP, 552, 0.41%, 0.00%), (DE, 383, 0.41%, 0.00%), (QCOM, 1,046, 0.39%, 0.00%), (MRK, 2,106, 0.39%, 0.00%), (SPGI, 315, 0.39%, 0.00%), (VZ, 3,810, 0.38%, 0.00%), (BLK, 144, 0.37%, 0.00%), (MDT, 1,700, 0.37%, 0.00%), (ADBE, 449, 0.36%, 0.00%), (C, 1,546, 0.36%, 0.00%), (COP, 1,639, 0.35%, 0.00%), (TXN, 859, 0.35%, 0.00%), (TMO, 318, 0.35%, 0.00%), (ACN, 637, 0.35%, 0.00%), (UNP, 698, 0.35%, 0.00%), (LMT, 318, 0.34%, 0.00%), (DIS, 1,298, 0.34%, 0.00%), (SCHW, 1,482, 0.31%, 0.00%), (AMAT, 776, 0.31%, 0.00%), (SBUX, 1,576, 0.30%, 0.00%), (MMM, 820, 0.29%, 0.00%), (CVS, 1,668, 0.28%, 0.00%), (AMGN, 448, 0.28%, 0.00%), (TJX, 856, 0.27%, 0.00%), (LOW, 431, 0.27%, 0.00%), (GILD, 1,038, 0.26%, 0.00%), (PFE, 4,718, 0.26%, 0.00%), (EMR, 859, 0.25%, 0.00%), (MO, 1,667, 0.25%, 0.00%), (DHR, 535, 0.23%, 0.00%), (INTC, 4,061, 0.23%, 0.00%), (ELV, 307, 0.22%, 0.00%), (CMCSA, 2,735, 0.20%, 0.00%), (MDLZ, 1,315, 0.19%, 0.00%), (BMY, 1,689, 0.18%, 0.00%), (UPS, 842, 0.16%, 0.00%), (PYPL, 994, 0.15%, 0.00%), (USB, 1,275, 0.14%, 0.00%), (CL, 732, 0.14%, 0.00%), (FDX, 259, 0.13%, 0.00%), (TGT, 354, 0.07%, 0.00%), (SC13481B, nan, nan%, 0.00%), (SC13483B, nan, nan%, 0.00%), (SP13482B, nan, nan%, 0.00%), (SP13485B, nan, nan%, 0.00%), (SP13484B, nan, nan%, 0.00%), (XP13485B, nan, nan%, 0.00%)</t>
  </si>
  <si>
    <t>(AVGO, 8,265, 3.75%, 0.00%), (META, 2,936, 2.87%, 0.00%), (GOOGL, 7,869, 2.47%, 0.00%), (BRK/B, 3,416, 2.12%, 0.00%), (TSLA, 3,929, 2.06%, 0.00%), (GOOG, 6,410, 2.02%, 0.00%), (LIN, 2,934, 1.75%, 0.00%), (CSCO, 20,741, 1.75%, 0.00%), (JPM, 4,325, 1.68%, 0.00%), (XOM, 10,470, 1.51%, 0.00%), (AMT, 5,953, 1.46%, 0.00%), (V, 3,220, 1.38%, 0.00%), (LLY, 1,233, 1.18%, 0.00%), (ORCL, 3,082, 1.18%, 0.00%), (MA, 1,528, 1.13%, 0.00%), (CB, 3,285, 1.13%, 0.00%), (GE, 3,063, 1.12%, 0.00%), (WM, 3,680, 0.99%, 0.00%), (UNH, 2,293, 0.98%, 0.00%), (NFLX, 576, 0.87%, 0.00%), (PLTR, 3,930, 0.84%, 0.00%), (JNJ, 3,768, 0.84%, 0.00%), (NEE, 9,454, 0.83%, 0.00%), (WMT, 6,272, 0.82%, 0.00%), (CVX, 3,981, 0.80%, 0.00%), (PG, 3,964, 0.79%, 0.00%), (COST, 640, 0.77%, 0.00%), (CAT, 1,367, 0.76%, 0.00%), (ABBV, 2,765, 0.75%, 0.00%), (HD, 1,417, 0.75%, 0.00%), (RTX, 3,767, 0.75%, 0.00%), (ABT, 4,322, 0.72%, 0.00%), (MCD, 1,873, 0.72%, 0.00%), (BAC, 10,256, 0.65%, 0.00%), (BKNG, 87, 0.60%, 0.00%), (KO, 7,168, 0.60%, 0.00%), (PM, 2,875, 0.59%, 0.00%), (SO, 5,037, 0.58%, 0.00%), (GS, 585, 0.58%, 0.00%), (AMD, 2,872, 0.58%, 0.00%), (IBM, 1,773, 0.57%, 0.00%), (BA, 2,116, 0.57%, 0.00%), (NKE, 6,123, 0.56%, 0.00%), (UBER, 4,557, 0.56%, 0.00%), (CRM, 1,833, 0.55%, 0.00%), (DUK, 3,551, 0.54%, 0.00%), (WFC, 5,115, 0.52%, 0.00%), (ETN, 1,119, 0.52%, 0.00%), (MET, 5,097, 0.51%, 0.00%), (HON, 1,841, 0.49%, 0.00%), (ISRG, 888, 0.49%, 0.00%), (NOW, 395, 0.46%, 0.00%), (MS, 2,312, 0.45%, 0.00%), (T, 12,206, 0.45%, 0.00%), (PEP, 2,537, 0.45%, 0.00%), (INTU, 537, 0.44%, 0.00%), (AXP, 1,037, 0.43%, 0.00%), (DE, 720, 0.43%, 0.00%), (QCOM, 1,966, 0.41%, 0.00%), (MRK, 3,958, 0.40%, 0.00%), (SPGI, 592, 0.40%, 0.00%), (VZ, 7,161, 0.40%, 0.00%), (BLK, 271, 0.38%, 0.00%), (MDT, 3,196, 0.38%, 0.00%), (ADBE, 844, 0.37%, 0.00%), (C, 2,906, 0.37%, 0.00%), (COP, 3,081, 0.37%, 0.00%), (TMO, 599, 0.36%, 0.00%), (TXN, 1,614, 0.36%, 0.00%), (ACN, 1,198, 0.36%, 0.00%), (UNP, 1,312, 0.36%, 0.00%), (LMT, 597, 0.36%, 0.00%), (DIS, 2,439, 0.35%, 0.00%), (SCHW, 2,786, 0.32%, 0.00%), (AMAT, 1,459, 0.32%, 0.00%), (SBUX, 2,963, 0.31%, 0.00%), (MMM, 1,541, 0.30%, 0.00%), (CVS, 3,136, 0.29%, 0.00%), (AMGN, 841, 0.29%, 0.00%), (TJX, 1,609, 0.28%, 0.00%), (LOW, 809, 0.28%, 0.00%), (GILD, 1,950, 0.27%, 0.00%), (PFE, 8,868, 0.27%, 0.00%), (EMR, 1,614, 0.26%, 0.00%), (MO, 3,133, 0.26%, 0.00%), (DHR, 1,006, 0.24%, 0.00%), (INTC, 7,632, 0.24%, 0.00%), (ELV, 578, 0.23%, 0.00%), (CMCSA, 5,141, 0.21%, 0.00%), (MDLZ, 2,472, 0.20%, 0.00%), (BMY, 3,174, 0.19%, 0.00%), (UPS, 1,583, 0.17%, 0.00%), (PYPL, 1,868, 0.16%, 0.00%), (USB, 2,397, 0.15%, 0.00%), (CL, 1,375, 0.14%, 0.00%), (FDX, 486, 0.14%, 0.00%), (TGT, 666, 0.08%, 0.00%), (SC26771B, nan, nan%, 0.00%), (SC26773B, nan, nan%, 0.00%), (SP26772B, nan, nan%, 0.00%), (SP26775B, nan, nan%, 0.00%), (SP26774B, nan, nan%, 0.00%), (XP26775B, nan, nan%, 0.00%)</t>
  </si>
  <si>
    <t>GOOGL, EBAY, BK, META, MLI, JPM, MSFT, EA, PHM, BLK, RJF</t>
  </si>
  <si>
    <t>(AXP, 3,209, 1.98%, 0.00%), (BKNG, 191, 1.94%, 0.00%), (EWBC, 9,834, 1.94%, 0.01%), (KLAC, 1,006, 1.82%, 0.00%), (TRV, 3,619, 1.82%, 0.00%), (HIG, 7,617, 1.82%, 0.00%), (V, 2,845, 1.80%, 0.00%), (AMAT, 5,450, 1.78%, 0.00%), (UNM, 12,798, 1.76%, 0.01%), (SNA, 2,837, 1.72%, 0.01%), (ROST, 6,338, 1.70%, 0.00%), (PCAR, 8,996, 1.66%, 0.00%), (NVDA, 5,315, 1.66%, 0.00%), (LEN, 6,716, 1.64%, 0.00%), (SYF, 11,880, 1.63%, 0.00%), (ADP, 3,039, 1.61%, 0.00%), (CB, 3,210, 1.60%, 0.00%), (CTSH, 11,497, 1.47%, 0.00%), (WSM, 4,023, 1.45%, 0.00%), (CRM, 3,259, 1.45%, 0.00%), (BKR, 16,920, 1.44%, 0.00%), (DHI, 4,463, 1.39%, 0.00%), (QCOM, 4,589, 1.39%, 0.00%), (PAYC, 3,480, 1.37%, 0.01%), (LRCX, 5,861, 1.31%, 0.00%), (AAPL, 2,963, 1.30%, 0.00%), (AFL, 6,284, 1.26%, 0.00%), (ELV, 2,179, 1.23%, 0.00%), (ACN, 2,711, 1.20%, 0.00%), (MPWR, 726, 1.17%, 0.00%), (GE, 2,054, 1.09%, 0.00%), (CSCO, 8,512, 1.06%, 0.00%), (ODFL, 3,898, 1.01%, 0.00%), (STT, 4,718, 0.97%, 0.00%), (PNC, 2,526, 0.94%, 0.00%), (MTB, 2,511, 0.91%, 0.00%), (ABT, 3,396, 0.83%, 0.00%), (XOM, 3,950, 0.83%, 0.00%), (COST, 472, 0.83%, 0.00%), (CF, 5,392, 0.83%, 0.00%), (AMP, 919, 0.82%, 0.00%), (EOG, 3,553, 0.78%, 0.00%), (EG, 1,195, 0.73%, 0.00%), (CSL, 1,058, 0.65%, 0.00%), (GEV, 481, 0.54%, 0.00%), (NTRS, 2,190, 0.52%, 0.00%), (MA, 457, 0.50%, 0.00%), (ACM, 2,072, 0.48%, 0.00%), (JNJ, 1,466, 0.48%, 0.00%), (MTG, 8,605, 0.44%, 0.00%), (JXN, 2,472, 0.44%, 0.00%), (CRBG, 7,524, 0.44%, 0.00%), (WTFC, 1,764, 0.43%, 0.00%), (LNC, 5,989, 0.43%, 0.00%), (CINF, 1,523, 0.43%, 0.00%), (EQH, 4,245, 0.42%, 0.00%), (ADM, 3,647, 0.41%, 0.00%), (DOV, 1,280, 0.40%, 0.00%), (MCK, 316, 0.40%, 0.00%), (ALL, 1,084, 0.39%, 0.00%), (NUE, 1,464, 0.38%, 0.00%), (SLM, 7,031, 0.36%, 0.00%), (PGR, 799, 0.36%, 0.00%), (NKE, 2,669, 0.35%, 0.00%), (FANG, 1,140, 0.29%, 0.00%), (SC13N61B, nan, nan%, 0.00%), (SC13N63B, nan, nan%, 0.00%), (SP13N62B, nan, nan%, 0.00%), (SP13N65B, nan, nan%, 0.00%), (SP13N64B, nan, nan%, 0.00%), (SPX Index, nan, nan%, 0.00%), (XP13N65B, nan, nan%, 0.00%)</t>
  </si>
  <si>
    <t>(AVGO, 3,801, 3.78%, 0.00%), (META, 1,350, 2.98%, 0.00%), (GOOGL, 3,619, 2.57%, 0.00%), (BRK/B, 1,571, 2.22%, 0.00%), (TSLA, 1,807, 2.16%, 0.00%), (GOOG, 2,948, 2.10%, 0.00%), (LIN, 1,349, 1.86%, 0.00%), (CSCO, 9,538, 1.84%, 0.00%), (JPM, 1,989, 1.78%, 0.00%), (XOM, 4,815, 1.58%, 0.00%), (AMT, 2,738, 1.55%, 0.00%), (V, 1,481, 1.47%, 0.00%), (LLY, 567, 1.24%, 0.00%), (ORCL, 1,417, 1.22%, 0.00%), (MA, 702, 1.20%, 0.00%), (CB, 1,511, 1.18%, 0.00%), (GE, 1,409, 1.16%, 0.00%), (WM, 1,692, 1.05%, 0.00%), (UNH, 1,055, 1.04%, 0.00%), (NFLX, 265, 0.92%, 0.00%), (JNJ, 1,733, 0.88%, 0.00%), (NEE, 4,347, 0.88%, 0.00%), (PLTR, 1,807, 0.87%, 0.00%), (WMT, 2,884, 0.86%, 0.00%), (CVX, 1,831, 0.84%, 0.00%), (PG, 1,823, 0.84%, 0.00%), (COST, 294, 0.81%, 0.00%), (ABBV, 1,272, 0.81%, 0.00%), (CAT, 628, 0.80%, 0.00%), (RTX, 1,732, 0.79%, 0.00%), (HD, 652, 0.78%, 0.00%), (ABT, 1,987, 0.77%, 0.00%), (MCD, 861, 0.75%, 0.00%), (BAC, 4,716, 0.69%, 0.00%), (BKNG, 40, 0.64%, 0.00%), (KO, 3,296, 0.63%, 0.00%), (PM, 1,322, 0.63%, 0.00%), (SO, 2,316, 0.61%, 0.00%), (GS, 269, 0.61%, 0.00%), (IBM, 815, 0.60%, 0.00%), (AMD, 1,321, 0.60%, 0.00%), (BA, 973, 0.60%, 0.00%), (CRM, 843, 0.59%, 0.00%), (NKE, 2,816, 0.58%, 0.00%), (DUK, 1,633, 0.57%, 0.00%), (UBER, 2,096, 0.56%, 0.00%), (WFC, 2,352, 0.56%, 0.00%), (ETN, 514, 0.54%, 0.00%), (MET, 2,344, 0.53%, 0.00%), (HON, 846, 0.51%, 0.00%), (ISRG, 408, 0.51%, 0.00%), (NOW, 182, 0.50%, 0.00%), (MS, 1,063, 0.48%, 0.00%), (T, 5,613, 0.48%, 0.00%), (PEP, 1,166, 0.47%, 0.00%), (INTU, 247, 0.47%, 0.00%), (AXP, 477, 0.46%, 0.00%), (DE, 331, 0.45%, 0.00%), (QCOM, 904, 0.43%, 0.00%), (SPGI, 272, 0.42%, 0.00%), (MRK, 1,820, 0.42%, 0.00%), (VZ, 3,293, 0.42%, 0.00%), (BLK, 125, 0.41%, 0.00%), (ADBE, 388, 0.40%, 0.00%), (MDT, 1,470, 0.40%, 0.00%), (C, 1,336, 0.39%, 0.00%), (TXN, 742, 0.38%, 0.00%), (ACN, 551, 0.38%, 0.00%), (COP, 1,417, 0.38%, 0.00%), (UNP, 603, 0.37%, 0.00%), (DIS, 1,122, 0.37%, 0.00%), (LMT, 275, 0.37%, 0.00%), (TMO, 275, 0.37%, 0.00%), (SCHW, 1,281, 0.34%, 0.00%), (AMAT, 671, 0.34%, 0.00%), (SBUX, 1,362, 0.32%, 0.00%), (MMM, 709, 0.32%, 0.00%), (CVS, 1,442, 0.31%, 0.00%), (AMGN, 387, 0.31%, 0.00%), (TJX, 740, 0.30%, 0.00%), (GILD, 897, 0.29%, 0.00%), (LOW, 372, 0.29%, 0.00%), (PFE, 4,078, 0.28%, 0.00%), (EMR, 742, 0.28%, 0.00%), (MO, 1,441, 0.27%, 0.00%), (DHR, 463, 0.26%, 0.00%), (INTC, 3,510, 0.25%, 0.00%), (ELV, 266, 0.24%, 0.00%), (CMCSA, 2,364, 0.22%, 0.00%), (MDLZ, 1,137, 0.20%, 0.00%), (BMY, 1,459, 0.19%, 0.00%), (UPS, 728, 0.18%, 0.00%), (PYPL, 859, 0.17%, 0.00%), (USB, 1,102, 0.16%, 0.00%), (CL, 632, 0.15%, 0.00%), (FDX, 224, 0.14%, 0.00%), (TGT, 306, 0.08%, 0.00%), (SC31761B, nan, nan%, 0.00%), (SC31763B, nan, nan%, 0.00%), (SP31762B, nan, nan%, 0.00%), (SP31765B, nan, nan%, 0.00%), (SP31764B, nan, nan%, 0.00%), (XP31765B, nan, nan%, 0.00%)</t>
  </si>
  <si>
    <t>(AVGO, 2,505, 3.68%, 0.00%), (META, 890, 2.91%, 0.00%), (GOOGL, 2,385, 2.50%, 0.00%), (BRK/B, 1,035, 2.16%, 0.00%), (TSLA, 1,191, 2.11%, 0.00%), (GOOG, 1,943, 2.05%, 0.00%), (LIN, 889, 1.81%, 0.00%), (CSCO, 6,286, 1.80%, 0.00%), (JPM, 1,311, 1.73%, 0.00%), (XOM, 3,173, 1.54%, 0.00%), (AMT, 1,804, 1.51%, 0.00%), (V, 976, 1.43%, 0.00%), (LLY, 374, 1.20%, 0.00%), (ORCL, 934, 1.18%, 0.00%), (MA, 463, 1.17%, 0.00%), (CB, 996, 1.15%, 0.00%), (GE, 928, 1.13%, 0.00%), (WM, 1,115, 1.02%, 0.00%), (UNH, 695, 1.01%, 0.00%), (NFLX, 174, 0.91%, 0.00%), (JNJ, 1,142, 0.86%, 0.00%), (NEE, 2,865, 0.86%, 0.00%), (PLTR, 1,191, 0.85%, 0.00%), (WMT, 1,901, 0.84%, 0.00%), (CVX, 1,207, 0.82%, 0.00%), (PG, 1,201, 0.81%, 0.00%), (COST, 194, 0.79%, 0.00%), (ABBV, 838, 0.78%, 0.00%), (CAT, 414, 0.78%, 0.00%), (RTX, 1,142, 0.77%, 0.00%), (HD, 430, 0.76%, 0.00%), (ABT, 1,310, 0.75%, 0.00%), (MCD, 568, 0.74%, 0.00%), (BAC, 3,108, 0.67%, 0.00%), (KO, 2,172, 0.62%, 0.00%), (PM, 871, 0.61%, 0.00%), (BKNG, 26, 0.61%, 0.00%), (GS, 177, 0.60%, 0.00%), (SO, 1,527, 0.59%, 0.00%), (IBM, 537, 0.59%, 0.00%), (AMD, 870, 0.59%, 0.00%), (BA, 641, 0.58%, 0.00%), (CRM, 556, 0.57%, 0.00%), (NKE, 1,856, 0.57%, 0.00%), (DUK, 1,076, 0.55%, 0.00%), (UBER, 1,381, 0.54%, 0.00%), (WFC, 1,550, 0.54%, 0.00%), (ETN, 339, 0.52%, 0.00%), (MET, 1,545, 0.52%, 0.00%), (HON, 558, 0.50%, 0.00%), (ISRG, 269, 0.50%, 0.00%), (NOW, 120, 0.48%, 0.00%), (MS, 701, 0.47%, 0.00%), (T, 3,699, 0.46%, 0.00%), (PEP, 769, 0.46%, 0.00%), (INTU, 163, 0.46%, 0.00%), (AXP, 314, 0.44%, 0.00%), (DE, 218, 0.43%, 0.00%), (QCOM, 596, 0.42%, 0.00%), (SPGI, 179, 0.41%, 0.00%), (MRK, 1,200, 0.41%, 0.00%), (VZ, 2,170, 0.41%, 0.00%), (BLK, 82, 0.39%, 0.00%), (ADBE, 256, 0.39%, 0.00%), (MDT, 969, 0.39%, 0.00%), (C, 881, 0.38%, 0.00%), (TXN, 489, 0.37%, 0.00%), (ACN, 363, 0.37%, 0.00%), (COP, 934, 0.37%, 0.00%), (UNP, 398, 0.37%, 0.00%), (DIS, 739, 0.36%, 0.00%), (LMT, 181, 0.36%, 0.00%), (TMO, 181, 0.36%, 0.00%), (SCHW, 844, 0.33%, 0.00%), (AMAT, 442, 0.33%, 0.00%), (SBUX, 898, 0.32%, 0.00%), (MMM, 467, 0.31%, 0.00%), (CVS, 950, 0.30%, 0.00%), (AMGN, 255, 0.30%, 0.00%), (TJX, 488, 0.29%, 0.00%), (GILD, 591, 0.28%, 0.00%), (LOW, 245, 0.28%, 0.00%), (PFE, 2,688, 0.27%, 0.00%), (EMR, 489, 0.27%, 0.00%), (MO, 950, 0.26%, 0.00%), (DHR, 305, 0.25%, 0.00%), (INTC, 2,313, 0.24%, 0.00%), (ELV, 175, 0.23%, 0.00%), (CMCSA, 1,558, 0.21%, 0.00%), (MDLZ, 749, 0.20%, 0.00%), (BMY, 962, 0.19%, 0.00%), (UPS, 480, 0.17%, 0.00%), (PYPL, 566, 0.16%, 0.00%), (USB, 726, 0.15%, 0.00%), (CL, 417, 0.15%, 0.00%), (FDX, 147, 0.14%, 0.00%), (TGT, 202, 0.08%, 0.00%), (SC9061B, nan, nan%, 0.00%), (SC9063B, nan, nan%, 0.00%), (SP9062B, nan, nan%, 0.00%), (SP9065B, nan, nan%, 0.00%), (SP9064B, nan, nan%, 0.00%), (XP9065B, nan, nan%, 0.00%)</t>
  </si>
  <si>
    <t>(META, 853, 2.65%, 0.00%), (GOOGL, 2,287, 2.28%, 0.00%), (BRK/B, 993, 1.97%, 0.00%), (TSLA, 1,142, 1.92%, 0.00%), (GOOG, 1,863, 1.87%, 0.00%), (LIN, 853, 1.65%, 0.00%), (CSCO, 6,028, 1.64%, 0.00%), (JPM, 1,257, 1.57%, 0.00%), (XOM, 3,043, 1.41%, 0.00%), (AMT, 1,730, 1.37%, 0.00%), (V, 936, 1.30%, 0.00%), (LLY, 358, 1.09%, 0.00%), (ORCL, 896, 1.08%, 0.00%), (MA, 444, 1.07%, 0.00%), (CB, 955, 1.05%, 0.00%), (GE, 890, 1.03%, 0.00%), (WM, 1,070, 0.93%, 0.00%), (UNH, 667, 0.92%, 0.00%), (NFLX, 167, 0.83%, 0.00%), (JNJ, 1,095, 0.78%, 0.00%), (NEE, 2,748, 0.78%, 0.00%), (PLTR, 1,142, 0.77%, 0.00%), (WMT, 1,823, 0.77%, 0.00%), (CVX, 1,157, 0.74%, 0.00%), (PG, 1,152, 0.74%, 0.00%), (COST, 186, 0.72%, 0.00%), (ABBV, 804, 0.71%, 0.00%), (CAT, 397, 0.71%, 0.00%), (RTX, 1,095, 0.70%, 0.00%), (HD, 412, 0.69%, 0.00%), (ABT, 1,256, 0.68%, 0.00%), (MCD, 544, 0.67%, 0.00%), (BAC, 2,981, 0.62%, 0.00%), (KO, 2,083, 0.56%, 0.00%), (PM, 836, 0.56%, 0.00%), (BKNG, 25, 0.56%, 0.00%), (GS, 170, 0.54%, 0.00%), (SO, 1,464, 0.54%, 0.00%), (IBM, 515, 0.54%, 0.00%), (AMD, 835, 0.53%, 0.00%), (BA, 615, 0.53%, 0.00%), (CRM, 533, 0.52%, 0.00%), (NKE, 1,780, 0.52%, 0.00%), (DUK, 1,032, 0.50%, 0.00%), (UBER, 1,325, 0.50%, 0.00%), (WFC, 1,487, 0.49%, 0.00%), (ETN, 325, 0.48%, 0.00%), (MET, 1,482, 0.47%, 0.00%), (HON, 535, 0.46%, 0.00%), (ISRG, 258, 0.45%, 0.00%), (NOW, 115, 0.44%, 0.00%), (MS, 672, 0.42%, 0.00%), (T, 3,548, 0.42%, 0.00%), (PEP, 737, 0.42%, 0.00%), (INTU, 156, 0.42%, 0.00%), (AXP, 301, 0.40%, 0.00%), (DE, 209, 0.40%, 0.00%), (QCOM, 571, 0.38%, 0.00%), (SPGI, 172, 0.38%, 0.00%), (MRK, 1,151, 0.38%, 0.00%), (VZ, 2,081, 0.37%, 0.00%), (BLK, 79, 0.36%, 0.00%), (MDT, 929, 0.35%, 0.00%), (ADBE, 245, 0.35%, 0.00%), (C, 845, 0.34%, 0.00%), (TXN, 469, 0.34%, 0.00%), (COP, 896, 0.34%, 0.00%), (ACN, 348, 0.34%, 0.00%), (UNP, 381, 0.33%, 0.00%), (LMT, 174, 0.33%, 0.00%), (TMO, 174, 0.33%, 0.00%), (DIS, 709, 0.33%, 0.00%), (SCHW, 810, 0.30%, 0.00%), (AMAT, 424, 0.30%, 0.00%), (SBUX, 861, 0.29%, 0.00%), (MMM, 448, 0.28%, 0.00%), (CVS, 911, 0.27%, 0.00%), (AMGN, 244, 0.27%, 0.00%), (TJX, 468, 0.26%, 0.00%), (GILD, 567, 0.26%, 0.00%), (LOW, 235, 0.25%, 0.00%), (PFE, 2,577, 0.25%, 0.00%), (EMR, 469, 0.25%, 0.00%), (MO, 911, 0.24%, 0.00%), (DHR, 292, 0.23%, 0.00%), (INTC, 2,218, 0.22%, 0.00%), (ELV, 168, 0.21%, 0.00%), (CMCSA, 1,494, 0.20%, 0.00%), (MDLZ, 719, 0.18%, 0.00%), (BMY, 922, 0.17%, 0.00%), (UPS, 460, 0.16%, 0.00%), (PYPL, 543, 0.15%, 0.00%), (USB, 697, 0.14%, 0.00%), (CL, 400,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</si>
  <si>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1,592, 3.57%, 0.00%), (META, 566, 2.83%, 0.00%), (GOOGL, 1,516, 2.43%, 0.00%), (BRK/B, 658, 2.10%, 0.00%), (TSLA, 757, 2.05%, 0.00%), (GOOG, 1,235, 1.99%, 0.00%), (LIN, 565, 1.76%, 0.00%), (CSCO, 3,996, 1.74%, 0.00%), (JPM, 833, 1.68%, 0.00%), (XOM, 2,017, 1.50%, 0.00%), (AMT, 1,147, 1.46%, 0.00%), (V, 620, 1.39%, 0.00%), (LLY, 238, 1.17%, 0.00%), (ORCL, 594, 1.15%, 0.00%), (MA, 294, 1.13%, 0.00%), (CB, 633, 1.12%, 0.00%), (GE, 590, 1.10%, 0.00%), (WM, 709, 0.99%, 0.00%), (UNH, 442, 0.98%, 0.00%), (NFLX, 111, 0.88%, 0.00%), (JNJ, 726, 0.83%, 0.00%), (NEE, 1,821, 0.83%, 0.00%), (PLTR, 757, 0.82%, 0.00%), (WMT, 1,208, 0.82%, 0.00%), (CVX, 767, 0.79%, 0.00%), (PG, 764, 0.79%, 0.00%), (COST, 123, 0.77%, 0.00%), (ABBV, 533, 0.76%, 0.00%), (CAT, 263, 0.76%, 0.00%), (RTX, 726, 0.74%, 0.00%), (HD, 273, 0.74%, 0.00%), (ABT, 833, 0.72%, 0.00%), (MCD, 361, 0.71%, 0.00%), (BAC, 1,976, 0.66%, 0.00%), (BKNG, 17, 0.61%, 0.00%), (KO, 1,381, 0.60%, 0.00%), (PM, 554, 0.60%, 0.00%), (GS, 113, 0.58%, 0.00%), (SO, 970, 0.58%, 0.00%), (IBM, 342, 0.57%, 0.00%), (AMD, 553, 0.57%, 0.00%), (BA, 408, 0.57%, 0.00%), (CRM, 353, 0.55%, 0.00%), (NKE, 1,180, 0.55%, 0.00%), (DUK, 684, 0.54%, 0.00%), (UBER, 878, 0.53%, 0.00%), (WFC, 986, 0.53%, 0.00%), (ETN, 216, 0.51%, 0.00%), (MET, 982, 0.50%, 0.00%), (HON, 355, 0.49%, 0.00%), (ISRG, 171, 0.48%, 0.00%), (NOW, 76, 0.47%, 0.00%), (MS, 445, 0.45%, 0.00%), (T, 2,352, 0.45%, 0.00%), (PEP, 489, 0.45%, 0.00%), (INTU, 104, 0.45%, 0.00%), (AXP, 200, 0.44%, 0.00%), (DE, 139, 0.42%, 0.00%), (QCOM, 379, 0.40%, 0.00%), (SPGI, 114, 0.40%, 0.00%), (MRK, 763, 0.40%, 0.00%), (VZ, 1,380, 0.39%, 0.00%), (ADBE, 163, 0.38%, 0.00%), (BLK, 52, 0.38%, 0.00%), (MDT, 616, 0.38%, 0.00%), (C, 560, 0.37%, 0.00%), (TXN, 311, 0.36%, 0.00%), (COP, 594, 0.36%, 0.00%), (ACN, 231, 0.36%, 0.00%), (UNP, 253, 0.35%, 0.00%), (DIS, 470, 0.35%, 0.00%), (LMT, 115, 0.35%, 0.00%), (TMO, 115, 0.35%, 0.00%), (SCHW, 537, 0.32%, 0.00%), (AMAT, 281, 0.32%, 0.00%), (SBUX, 571, 0.31%, 0.00%), (MMM, 297, 0.30%, 0.00%), (CVS, 604, 0.29%, 0.00%), (AMGN, 162, 0.29%, 0.00%), (TJX, 310, 0.28%, 0.00%), (GILD, 376, 0.27%, 0.00%), (LOW, 156, 0.27%, 0.00%), (PFE, 1,709, 0.27%, 0.00%), (EMR, 311, 0.26%, 0.00%), (MO, 604, 0.26%, 0.00%), (DHR, 194, 0.24%, 0.00%), (INTC, 1,471, 0.24%, 0.00%), (ELV, 111, 0.22%, 0.00%), (CMCSA, 990, 0.21%, 0.00%), (MDLZ, 476, 0.19%, 0.00%), (BMY, 611, 0.18%, 0.00%), (UPS, 305, 0.17%, 0.00%), (PYPL, 360, 0.16%, 0.00%), (USB, 462, 0.15%, 0.00%), (CL, 265, 0.14%, 0.00%), (FDX, 94, 0.14%, 0.00%), (TGT, 128, 0.07%, 0.00%), (SC8071B, nan, nan%, 0.00%), (SC8073B, nan, nan%, 0.00%), (SP8072B, nan, nan%, 0.00%), (SP8075B, nan, nan%, 0.00%), (SP8074B, nan, nan%, 0.00%), (XP8075B, nan, nan%, 0.00%)</t>
  </si>
  <si>
    <t>(META, 5,884, 2.70%, 0.00%), (GOOGL, 15,772, 2.32%, 0.00%), (BRK/B, 6,846, 2.01%, 0.00%), (TSLA, 7,874, 1.96%, 0.00%), (GOOG, 12,846, 1.90%, 0.00%), (LIN, 5,881, 1.68%, 0.00%), (CSCO, 41,568, 1.67%, 0.00%), (JPM, 8,669, 1.61%, 0.00%), (XOM, 20,983, 1.43%, 0.00%), (AMT, 11,931, 1.40%, 0.00%), (V, 6,454, 1.33%, 0.00%), (LLY, 2,471, 1.12%, 0.00%), (ORCL, 6,176, 1.10%, 0.00%), (MA, 3,061, 1.09%, 0.00%), (CB, 6,585, 1.07%, 0.00%), (GE, 6,140, 1.05%, 0.00%), (WM, 7,376, 0.95%, 0.00%), (UNH, 4,596, 0.94%, 0.00%), (NFLX, 1,154, 0.84%, 0.00%), (JNJ, 7,551, 0.80%, 0.00%), (NEE, 18,947, 0.80%, 0.00%), (PLTR, 7,877, 0.79%, 0.00%), (WMT, 12,569, 0.78%, 0.00%), (CVX, 7,979, 0.76%, 0.00%), (PG, 7,945, 0.76%, 0.00%), (COST, 1,283, 0.74%, 0.00%), (ABBV, 5,542, 0.73%, 0.00%), (CAT, 2,739, 0.73%, 0.00%), (RTX, 7,551, 0.71%, 0.00%), (HD, 2,841, 0.71%, 0.00%), (ABT, 8,662, 0.69%, 0.00%), (MCD, 3,754, 0.68%, 0.00%), (BAC, 20,554, 0.63%, 0.00%), (KO, 14,365, 0.57%, 0.00%), (BKNG, 173, 0.57%, 0.00%), (PM, 5,761, 0.57%, 0.00%), (GS, 1,172, 0.55%, 0.00%), (SO, 10,095, 0.55%, 0.00%), (IBM, 3,553, 0.55%, 0.00%), (AMD, 5,756, 0.54%, 0.00%), (BA, 4,241, 0.54%, 0.00%), (CRM, 3,674, 0.53%, 0.00%), (NKE, 12,272, 0.53%, 0.00%), (DUK, 7,117, 0.51%, 0.00%), (UBER, 9,134, 0.51%, 0.00%), (WFC, 10,252, 0.50%, 0.00%), (ETN, 2,242, 0.49%, 0.00%), (MET, 10,216, 0.48%, 0.00%), (HON, 3,689, 0.47%, 0.00%), (ISRG, 1,779, 0.46%, 0.00%), (NOW, 792, 0.45%, 0.00%), (MS, 4,633, 0.43%, 0.00%), (T, 24,462, 0.43%, 0.00%), (PEP, 5,084, 0.43%, 0.00%), (INTU, 1,077, 0.42%, 0.00%), (AXP, 2,079, 0.41%, 0.00%), (DE, 1,443, 0.40%, 0.00%), (QCOM, 3,940, 0.39%, 0.00%), (SPGI, 1,186, 0.38%, 0.00%), (MRK, 7,933, 0.38%, 0.00%), (VZ, 14,351, 0.38%, 0.00%), (BLK, 544, 0.37%, 0.00%), (ADBE, 1,692, 0.36%, 0.00%), (MDT, 6,405, 0.36%, 0.00%), (C, 5,823, 0.35%, 0.00%), (TXN, 3,235, 0.35%, 0.00%), (ACN, 2,401, 0.34%, 0.00%), (COP, 6,176, 0.34%, 0.00%), (UNP, 2,630, 0.34%, 0.00%), (DIS, 4,888, 0.34%, 0.00%), (TMO, 1,200, 0.34%, 0.00%), (LMT, 1,197, 0.34%, 0.00%), (SCHW, 5,583, 0.31%, 0.00%), (AMAT, 2,924, 0.31%, 0.00%), (SBUX, 5,938, 0.29%, 0.00%), (MMM, 3,089, 0.29%, 0.00%), (CVS, 6,285, 0.28%, 0.00%), (AMGN, 1,686, 0.28%, 0.00%), (TJX, 3,225, 0.27%, 0.00%), (GILD, 3,909, 0.26%, 0.00%), (LOW, 1,622, 0.26%, 0.00%), (PFE, 17,773, 0.25%, 0.00%), (EMR, 3,235, 0.25%, 0.00%), (MO, 6,280, 0.25%, 0.00%), (DHR, 2,016, 0.23%, 0.00%), (INTC, 15,297, 0.23%, 0.00%), (ELV, 1,158, 0.21%, 0.00%), (CMCSA, 10,303, 0.20%, 0.00%), (MDLZ, 4,955, 0.18%, 0.00%), (BMY, 6,361, 0.18%, 0.00%), (UPS, 3,172, 0.16%, 0.00%), (PYPL, 3,744, 0.15%, 0.00%), (USB, 4,803, 0.14%, 0.00%), (CL, 2,756, 0.14%, 0.00%), (FDX, 975, 0.13%, 0.00%), (TGT, 1,334, 0.07%, 0.00%), (SC26771B, nan, nan%, 0.00%), (SC26773B, nan, nan%, 0.00%), (SP26772B, nan, nan%, 0.00%), (SP26774B, nan, nan%, 0.00%), (SP26775T, nan, nan%, 0.00%), (XP26775T, nan, nan%, 0.00%)</t>
  </si>
  <si>
    <t>(AVGO, 14,341, 3.64%, 0.00%), (META, 5,094, 2.87%, 0.00%), (GOOGL, 13,654, 2.47%, 0.00%), (BRK/B, 5,927, 2.14%, 0.00%), (TSLA, 6,817, 2.09%, 0.00%), (GOOG, 11,122, 2.02%, 0.00%), (LIN, 5,091, 1.79%, 0.00%), (CSCO, 35,987, 1.77%, 0.00%), (JPM, 7,505, 1.71%, 0.00%), (XOM, 18,166, 1.52%, 0.00%), (AMT, 10,329, 1.49%, 0.00%), (V, 5,588, 1.41%, 0.00%), (LLY, 2,139, 1.19%, 0.00%), (ORCL, 5,347, 1.17%, 0.00%), (MA, 2,650, 1.16%, 0.00%), (CB, 5,700, 1.14%, 0.00%), (GE, 5,315, 1.12%, 0.00%), (WM, 6,385, 1.01%, 0.00%), (UNH, 3,979, 1.00%, 0.00%), (NFLX, 999, 0.89%, 0.00%), (JNJ, 6,537, 0.85%, 0.00%), (NEE, 16,403, 0.85%, 0.00%), (PLTR, 6,819, 0.84%, 0.00%), (WMT, 10,882, 0.83%, 0.00%), (CVX, 6,908, 0.81%, 0.00%), (PG, 6,878, 0.80%, 0.00%), (COST, 1,111, 0.78%, 0.00%), (ABBV, 4,798, 0.78%, 0.00%), (CAT, 2,371, 0.77%, 0.00%), (RTX, 6,537, 0.76%, 0.00%), (HD, 2,459, 0.75%, 0.00%), (ABT, 7,499, 0.74%, 0.00%), (MCD, 3,250, 0.73%, 0.00%), (BAC, 17,795, 0.67%, 0.00%), (BKNG, 150, 0.61%, 0.00%), (KO, 12,437, 0.61%, 0.00%), (PM, 4,988, 0.61%, 0.00%), (GS, 1,015, 0.59%, 0.00%), (SO, 8,740, 0.59%, 0.00%), (IBM, 3,076, 0.58%, 0.00%), (AMD, 4,983, 0.58%, 0.00%), (BA, 3,671, 0.58%, 0.00%), (CRM, 3,181, 0.56%, 0.00%), (NKE, 10,625, 0.56%, 0.00%), (DUK, 6,162, 0.55%, 0.00%), (UBER, 7,908, 0.54%, 0.00%), (WFC, 8,875, 0.53%, 0.00%), (ETN, 1,941, 0.52%, 0.00%), (MET, 8,844, 0.51%, 0.00%), (HON, 3,193, 0.50%, 0.00%), (ISRG, 1,540, 0.49%, 0.00%), (NOW, 685, 0.47%, 0.00%), (MS, 4,011, 0.46%, 0.00%), (T, 21,178, 0.46%, 0.00%), (PEP, 4,401, 0.46%, 0.00%), (INTU, 932, 0.45%, 0.00%), (AXP, 1,799, 0.44%, 0.00%), (DE, 1,250, 0.43%, 0.00%), (QCOM, 3,411, 0.41%, 0.00%), (SPGI, 1,027, 0.41%, 0.00%), (MRK, 6,868, 0.41%, 0.00%), (VZ, 12,425, 0.40%, 0.00%), (BLK, 471, 0.39%, 0.00%), (ADBE, 1,464, 0.39%, 0.00%), (MDT, 5,545, 0.38%, 0.00%), (C, 5,042, 0.37%, 0.00%), (TXN, 2,801, 0.37%, 0.00%), (ACN, 2,079, 0.37%, 0.00%), (COP, 5,347, 0.37%, 0.00%), (UNP, 2,277, 0.36%, 0.00%), (DIS, 4,232, 0.36%, 0.00%), (TMO, 1,039, 0.36%, 0.00%), (LMT, 1,036, 0.36%, 0.00%), (SCHW, 4,834, 0.33%, 0.00%), (AMAT, 2,531, 0.32%, 0.00%), (SBUX, 5,141, 0.31%, 0.00%), (MMM, 2,674, 0.30%, 0.00%), (CVS, 5,441, 0.30%, 0.00%), (AMGN, 1,459, 0.29%, 0.00%), (TJX, 2,792, 0.29%, 0.00%), (GILD, 3,384, 0.28%, 0.00%), (LOW, 1,404, 0.28%, 0.00%), (PFE, 15,387, 0.27%, 0.00%), (EMR, 2,800, 0.27%, 0.00%), (MO, 5,437, 0.26%, 0.00%), (DHR, 1,745, 0.25%, 0.00%), (INTC, 13,243, 0.24%, 0.00%), (ELV, 1,003, 0.23%, 0.00%), (CMCSA, 8,920, 0.21%, 0.00%), (MDLZ, 4,289, 0.20%, 0.00%), (BMY, 5,507, 0.19%, 0.00%), (UPS, 2,747, 0.17%, 0.00%), (PYPL, 3,242, 0.16%, 0.00%), (USB, 4,159, 0.15%, 0.00%), (CL, 2,386, 0.14%, 0.00%), (FDX, 844, 0.14%, 0.00%), (TGT, 1,155, 0.08%, 0.00%), (SC23471B, nan, nan%, 0.00%), (SC23473B, nan, nan%, 0.00%), (SP23472B, nan, nan%, 0.00%), (SP23475B, nan, nan%, 0.00%), (SP23474B, nan, nan%, 0.00%), (XP23475B, nan, nan%, 0.00%)</t>
  </si>
  <si>
    <t>(AVGO, 10,686, 3.64%, 0.00%), (META, 3,796, 2.87%, 0.00%), (GOOGL, 10,175, 2.47%, 0.00%), (BRK/B, 4,416, 2.14%, 0.00%), (TSLA, 5,080, 2.08%, 0.00%), (GOOG, 8,287, 2.02%, 0.00%), (LIN, 3,794, 1.79%, 0.00%), (CSCO, 26,816, 1.77%, 0.00%), (JPM, 5,592, 1.71%, 0.00%), (XOM, 13,537, 1.52%, 0.00%), (AMT, 7,697, 1.49%, 0.00%), (V, 4,164, 1.41%, 0.00%), (LLY, 1,594, 1.19%, 0.00%), (ORCL, 3,984, 1.17%, 0.00%), (MA, 1,975, 1.15%, 0.00%), (CB, 4,248, 1.14%, 0.00%), (GE, 3,961, 1.12%, 0.00%), (WM, 4,758, 1.01%, 0.00%), (UNH, 2,965, 1.00%, 0.00%), (NFLX, 744, 0.89%, 0.00%), (JNJ, 4,871, 0.85%, 0.00%), (NEE, 12,223, 0.84%, 0.00%), (PLTR, 5,082, 0.84%, 0.00%), (WMT, 8,109, 0.83%, 0.00%), (CVX, 5,148, 0.81%, 0.00%), (PG, 5,125, 0.80%, 0.00%), (COST, 828, 0.78%, 0.00%), (ABBV, 3,575, 0.77%, 0.00%), (CAT, 1,767, 0.77%, 0.00%), (RTX, 4,871, 0.76%, 0.00%), (HD, 1,833, 0.75%, 0.00%), (ABT, 5,588, 0.74%, 0.00%), (MCD, 2,422, 0.73%, 0.00%), (BAC, 13,260, 0.67%, 0.00%), (BKNG, 112, 0.61%, 0.00%), (KO, 9,267, 0.61%, 0.00%), (PM, 3,717, 0.61%, 0.00%), (GS, 756, 0.59%, 0.00%), (SO, 6,513, 0.59%, 0.00%), (IBM, 2,292, 0.58%, 0.00%), (AMD, 3,713, 0.58%, 0.00%), (BA, 2,736, 0.58%, 0.00%), (CRM, 2,370, 0.56%, 0.00%), (NKE, 7,917, 0.56%, 0.00%), (DUK, 4,591, 0.54%, 0.00%), (UBER, 5,893, 0.54%, 0.00%), (WFC, 6,614, 0.53%, 0.00%), (ETN, 1,446, 0.52%, 0.00%), (MET, 6,591, 0.51%, 0.00%), (HON, 2,380, 0.49%, 0.00%), (ISRG, 1,148, 0.49%, 0.00%), (NOW, 511, 0.48%, 0.00%), (MS, 2,989, 0.46%, 0.00%), (T, 15,781, 0.46%, 0.00%), (PEP, 3,280, 0.46%, 0.00%), (INTU, 695, 0.45%, 0.00%), (AXP, 1,341, 0.44%, 0.00%), (DE, 931, 0.43%, 0.00%), (QCOM, 2,542, 0.41%, 0.00%), (SPGI, 765, 0.41%, 0.00%), (MRK, 5,118, 0.41%, 0.00%), (VZ, 9,258, 0.40%, 0.00%), (BLK, 351, 0.39%, 0.00%), (ADBE, 1,091, 0.38%, 0.00%), (MDT, 4,132, 0.38%, 0.00%), (C, 3,757, 0.37%, 0.00%), (TXN, 2,087, 0.37%, 0.00%), (ACN, 1,549, 0.37%, 0.00%), (COP, 3,984, 0.37%, 0.00%), (UNP, 1,697, 0.36%, 0.00%), (DIS, 3,153, 0.36%, 0.00%), (TMO, 774, 0.36%, 0.00%), (LMT, 772, 0.36%, 0.00%), (SCHW, 3,602, 0.33%, 0.00%), (AMAT, 1,886, 0.32%, 0.00%), (SBUX, 3,831, 0.31%, 0.00%), (MMM, 1,993, 0.30%, 0.00%), (CVS, 4,054, 0.29%, 0.00%), (AMGN, 1,088, 0.29%, 0.00%), (TJX, 2,081, 0.29%, 0.00%), (GILD, 2,521, 0.28%, 0.00%), (LOW, 1,047, 0.28%, 0.00%), (PFE, 11,466, 0.27%, 0.00%), (EMR, 2,087, 0.27%, 0.00%), (MO, 4,051, 0.26%, 0.00%), (DHR, 1,301, 0.25%, 0.00%), (INTC, 9,868, 0.24%, 0.00%), (ELV, 747, 0.23%, 0.00%), (CMCSA, 6,647, 0.21%, 0.00%), (MDLZ, 3,196, 0.20%, 0.00%), (BMY, 4,103, 0.19%, 0.00%), (UPS, 2,047, 0.17%, 0.00%), (PYPL, 2,416, 0.16%, 0.00%), (USB, 3,099, 0.15%, 0.00%), (CL, 1,778, 0.14%, 0.00%), (FDX, 629, 0.14%, 0.00%), (TGT, 861, 0.08%, 0.00%), (SC22171B, nan, nan%, 0.00%), (SC22173B, nan, nan%, 0.00%), (SP22172B, nan, nan%, 0.00%), (SP22175B, nan, nan%, 0.00%), (SP22174B, nan, nan%, 0.00%), (XP22175B, nan, nan%, 0.00%)</t>
  </si>
  <si>
    <t>(AVGO, 4,054, 3.47%, 0.00%), (META, 1,440, 2.74%, 0.00%), (GOOGL, 3,860, 2.36%, 0.00%), (BRK/B, 1,675, 2.04%, 0.00%), (TSLA, 1,927, 1.99%, 0.00%), (GOOG, 3,144, 1.93%, 0.00%), (LIN, 1,439, 1.70%, 0.00%), (CSCO, 10,173, 1.69%, 0.00%), (JPM, 2,121, 1.63%, 0.00%), (XOM, 5,135, 1.45%, 0.00%), (AMT, 2,920, 1.42%, 0.00%), (V, 1,580, 1.35%, 0.00%), (LLY, 605, 1.13%, 0.00%), (ORCL, 1,512, 1.12%, 0.00%), (MA, 749, 1.10%, 0.00%), (CB, 1,611, 1.08%, 0.00%), (GE, 1,503, 1.07%, 0.00%), (WM, 1,805, 0.96%, 0.00%), (UNH, 1,125, 0.95%, 0.00%), (NFLX, 282, 0.85%, 0.00%), (JNJ, 1,848, 0.81%, 0.00%), (NEE, 4,637, 0.81%, 0.00%), (PLTR, 1,928, 0.80%, 0.00%), (WMT, 3,076, 0.79%, 0.00%), (CVX, 1,953, 0.77%, 0.00%), (PG, 1,944, 0.77%, 0.00%), (COST, 314, 0.75%, 0.00%), (CAT, 670, 0.74%, 0.00%), (ABBV, 1,356, 0.74%, 0.00%), (RTX, 1,848, 0.72%, 0.00%), (HD, 695, 0.72%, 0.00%), (ABT, 2,120, 0.70%, 0.00%), (MCD, 919, 0.69%, 0.00%), (BAC, 5,030, 0.64%, 0.00%), (KO, 3,516, 0.58%, 0.00%), (PM, 1,410, 0.58%, 0.00%), (BKNG, 42, 0.58%, 0.00%), (SO, 2,471, 0.56%, 0.00%), (GS, 287, 0.56%, 0.00%), (IBM, 870, 0.55%, 0.00%), (AMD, 1,409, 0.55%, 0.00%), (BA, 1,038, 0.55%, 0.00%), (CRM, 899, 0.54%, 0.00%), (NKE, 3,003, 0.54%, 0.00%), (DUK, 1,742, 0.52%, 0.00%), (UBER, 2,235, 0.51%, 0.00%), (WFC, 2,509, 0.51%, 0.00%), (ETN, 549, 0.49%, 0.00%), (MET, 2,500, 0.49%, 0.00%), (HON, 903, 0.47%, 0.00%), (ISRG, 435, 0.47%, 0.00%), (NOW, 194, 0.46%, 0.00%), (MS, 1,134, 0.44%, 0.00%), (T, 5,987, 0.44%, 0.00%), (PEP, 1,244, 0.43%, 0.00%), (INTU, 264, 0.43%, 0.00%), (AXP, 509, 0.42%, 0.00%), (DE, 353, 0.41%, 0.00%), (QCOM, 964, 0.39%, 0.00%), (MRK, 1,942, 0.39%, 0.00%), (SPGI, 290, 0.39%, 0.00%), (VZ, 3,512, 0.38%, 0.00%), (BLK, 133, 0.37%, 0.00%), (ADBE, 414, 0.37%, 0.00%), (MDT, 1,567, 0.37%, 0.00%), (C, 1,425, 0.36%, 0.00%), (TXN, 792, 0.35%, 0.00%), (ACN, 588, 0.35%, 0.00%), (COP, 1,511, 0.35%, 0.00%), (UNP, 644, 0.34%, 0.00%), (DIS, 1,196, 0.34%, 0.00%), (TMO, 294, 0.34%, 0.00%), (LMT, 293, 0.34%, 0.00%), (SCHW, 1,366, 0.31%, 0.00%), (AMAT, 716, 0.31%, 0.00%), (SBUX, 1,453, 0.30%, 0.00%), (MMM, 756, 0.29%, 0.00%), (CVS, 1,538, 0.28%, 0.00%), (AMGN, 413, 0.28%, 0.00%), (TJX, 789, 0.27%, 0.00%), (GILD, 957, 0.27%, 0.00%), (LOW, 397, 0.26%, 0.00%), (PFE, 4,350, 0.26%, 0.00%), (EMR, 792, 0.26%, 0.00%), (MO, 1,537, 0.25%, 0.00%), (DHR, 493, 0.23%, 0.00%), (INTC, 3,744, 0.23%, 0.00%), (ELV, 283, 0.22%, 0.00%), (CMCSA, 2,522, 0.20%, 0.00%), (MDLZ, 1,213, 0.19%, 0.00%), (BMY, 1,557, 0.18%, 0.00%), (UPS, 776, 0.16%, 0.00%), (PYPL, 916, 0.15%, 0.00%), (USB, 1,176, 0.14%, 0.00%), (CL, 675, 0.14%, 0.00%), (FDX, 239, 0.13%, 0.00%), (TGT, 326, 0.07%, 0.00%), (SC28181B, nan, nan%, 0.00%), (SC28183B, nan, nan%, 0.00%), (SP28182B, nan, nan%, 0.00%), (SP28185B, nan, nan%, 0.00%), (SP28184B, nan, nan%, 0.00%), (XP28185B, nan, nan%, 0.00%)</t>
  </si>
  <si>
    <t>(AVGO, 4,409, 3.50%, 0.00%), (META, 1,566, 2.77%, 0.00%), (GOOGL, 4,198, 2.38%, 0.00%), (BRK/B, 1,822, 2.06%, 0.00%), (TSLA, 2,096, 2.02%, 0.00%), (GOOG, 3,420, 1.95%, 0.00%), (LIN, 1,565, 1.72%, 0.00%), (CSCO, 11,065, 1.71%, 0.00%), (JPM, 2,308, 1.64%, 0.00%), (XOM, 5,586, 1.47%, 0.00%), (AMT, 3,176, 1.43%, 0.00%), (V, 1,718, 1.36%, 0.00%), (LLY, 658, 1.14%, 0.00%), (ORCL, 1,644, 1.13%, 0.00%), (MA, 815, 1.11%, 0.00%), (CB, 1,753, 1.09%, 0.00%), (GE, 1,634, 1.08%, 0.00%), (WM, 1,963, 0.97%, 0.00%), (UNH, 1,223, 0.96%, 0.00%), (NFLX, 307, 0.85%, 0.00%), (JNJ, 2,010, 0.82%, 0.00%), (NEE, 5,043, 0.81%, 0.00%), (PLTR, 2,097, 0.81%, 0.00%), (WMT, 3,346, 0.80%, 0.00%), (CVX, 2,124, 0.78%, 0.00%), (PG, 2,115, 0.77%, 0.00%), (COST, 342, 0.75%, 0.00%), (ABBV, 1,475, 0.75%, 0.00%), (CAT, 729, 0.74%, 0.00%), (RTX, 2,010, 0.73%, 0.00%), (HD, 756, 0.72%, 0.00%), (ABT, 2,306, 0.71%, 0.00%), (MCD, 999, 0.70%, 0.00%), (BAC, 5,471, 0.64%, 0.00%), (KO, 3,824, 0.59%, 0.00%), (BKNG, 46, 0.59%, 0.00%), (PM, 1,534, 0.58%, 0.00%), (GS, 312, 0.56%, 0.00%), (SO, 2,687, 0.56%, 0.00%), (IBM, 946, 0.56%, 0.00%), (AMD, 1,532, 0.56%, 0.00%), (BA, 1,129, 0.56%, 0.00%), (CRM, 978, 0.54%, 0.00%), (NKE, 3,267, 0.54%, 0.00%), (DUK, 1,895, 0.52%, 0.00%), (UBER, 2,431, 0.52%, 0.00%), (WFC, 2,729, 0.51%, 0.00%), (ETN, 597, 0.50%, 0.00%), (MET, 2,719, 0.49%, 0.00%), (HON, 982, 0.48%, 0.00%), (ISRG, 473, 0.47%, 0.00%), (NOW, 211, 0.46%, 0.00%), (MS, 1,233, 0.44%, 0.00%), (T, 6,512, 0.44%, 0.00%), (PEP, 1,353, 0.44%, 0.00%), (INTU, 287, 0.43%, 0.00%), (AXP, 553, 0.42%, 0.00%), (DE, 384, 0.41%, 0.00%), (QCOM, 1,049, 0.40%, 0.00%), (SPGI, 316, 0.39%, 0.00%), (MRK, 2,112, 0.39%, 0.00%), (VZ, 3,820, 0.39%, 0.00%), (BLK, 145, 0.38%, 0.00%), (ADBE, 450, 0.37%, 0.00%), (MDT, 1,705, 0.37%, 0.00%), (C, 1,550, 0.36%, 0.00%), (TXN, 861, 0.36%, 0.00%), (ACN, 639, 0.35%, 0.00%), (COP, 1,644, 0.35%, 0.00%), (UNP, 700, 0.35%, 0.00%), (DIS, 1,301, 0.35%, 0.00%), (LMT, 319, 0.35%, 0.00%), (TMO, 319, 0.34%, 0.00%), (SCHW, 1,486, 0.31%, 0.00%), (AMAT, 778, 0.31%, 0.00%), (SBUX, 1,581, 0.30%, 0.00%), (MMM, 822, 0.29%, 0.00%), (CVS, 1,673, 0.28%, 0.00%), (AMGN, 449, 0.28%, 0.00%), (TJX, 859, 0.28%, 0.00%), (GILD, 1,040, 0.27%, 0.00%), (LOW, 432, 0.27%, 0.00%), (PFE, 4,731, 0.26%, 0.00%), (EMR, 861, 0.26%, 0.00%), (MO, 1,672, 0.25%, 0.00%), (DHR, 537, 0.24%, 0.00%), (INTC, 4,072, 0.23%, 0.00%), (ELV, 308, 0.22%, 0.00%), (CMCSA, 2,743, 0.20%, 0.00%), (MDLZ, 1,319, 0.19%, 0.00%), (BMY, 1,693, 0.18%, 0.00%), (UPS, 844, 0.16%, 0.00%), (PYPL, 997, 0.16%, 0.00%), (USB, 1,279, 0.14%, 0.00%), (CL, 734, 0.14%, 0.00%), (FDX, 260, 0.13%, 0.00%), (TGT, 355, 0.07%, 0.00%), (SC13481B, nan, nan%, 0.00%), (SC13483B, nan, nan%, 0.00%), (SP13482B, nan, nan%, 0.00%), (SP13485B, nan, nan%, 0.00%), (SP13484B, nan, nan%, 0.00%), (XP13485B, nan, nan%, 0.00%)</t>
  </si>
  <si>
    <t>(AVGO, 8,288, 3.62%, 0.00%), (META, 2,944, 2.87%, 0.00%), (GOOGL, 7,891, 2.47%, 0.00%), (BRK/B, 3,425, 2.13%, 0.00%), (TSLA, 3,940, 2.09%, 0.00%), (GOOG, 6,428, 2.01%, 0.00%), (LIN, 2,943, 1.78%, 0.00%), (CSCO, 20,798, 1.77%, 0.00%), (JPM, 4,337, 1.70%, 0.00%), (XOM, 10,499, 1.52%, 0.00%), (AMT, 5,970, 1.48%, 0.00%), (V, 3,229, 1.41%, 0.00%), (LLY, 1,236, 1.18%, 0.00%), (ORCL, 3,090, 1.17%, 0.00%), (MA, 1,532, 1.15%, 0.00%), (CB, 3,295, 1.13%, 0.00%), (GE, 3,072, 1.12%, 0.00%), (WM, 3,690, 1.01%, 0.00%), (UNH, 2,300, 0.99%, 0.00%), (NFLX, 577, 0.89%, 0.00%), (JNJ, 3,778, 0.85%, 0.00%), (NEE, 9,480, 0.84%, 0.00%), (PLTR, 3,941, 0.84%, 0.00%), (WMT, 6,289, 0.83%, 0.00%), (CVX, 3,992, 0.80%, 0.00%), (PG, 3,975, 0.80%, 0.00%), (COST, 642, 0.78%, 0.00%), (CAT, 1,370, 0.77%, 0.00%), (ABBV, 2,773, 0.77%, 0.00%), (RTX, 3,778, 0.75%, 0.00%), (HD, 1,421, 0.75%, 0.00%), (ABT, 4,334, 0.73%, 0.00%), (MCD, 1,878, 0.72%, 0.00%), (BAC, 10,284, 0.66%, 0.00%), (BKNG, 87, 0.61%, 0.00%), (KO, 7,188, 0.61%, 0.00%), (PM, 2,883, 0.61%, 0.00%), (GS, 587, 0.59%, 0.00%), (SO, 5,051, 0.58%, 0.00%), (IBM, 1,778, 0.58%, 0.00%), (AMD, 2,880, 0.58%, 0.00%), (BA, 2,122, 0.57%, 0.00%), (CRM, 1,838, 0.56%, 0.00%), (NKE, 6,141, 0.56%, 0.00%), (DUK, 3,561, 0.54%, 0.00%), (UBER, 4,570, 0.54%, 0.00%), (WFC, 5,129, 0.53%, 0.00%), (ETN, 1,122, 0.51%, 0.00%), (MET, 5,112, 0.51%, 0.00%), (HON, 1,846, 0.49%, 0.00%), (ISRG, 890, 0.49%, 0.00%), (NOW, 396, 0.47%, 0.00%), (MS, 2,318, 0.46%, 0.00%), (T, 12,240, 0.46%, 0.00%), (PEP, 2,544, 0.45%, 0.00%), (INTU, 539, 0.45%, 0.00%), (AXP, 1,040, 0.44%, 0.00%), (DE, 722, 0.43%, 0.00%), (QCOM, 1,972, 0.41%, 0.00%), (SPGI, 593, 0.41%, 0.00%), (MRK, 3,969, 0.41%, 0.00%), (VZ, 7,181, 0.40%, 0.00%), (BLK, 272, 0.39%, 0.00%), (ADBE, 846, 0.38%, 0.00%), (MDT, 3,205, 0.38%, 0.00%), (C, 2,914, 0.37%, 0.00%), (TXN, 1,619, 0.37%, 0.00%), (ACN, 1,201, 0.36%, 0.00%), (COP, 3,090, 0.36%, 0.00%), (UNP, 1,316, 0.36%, 0.00%), (DIS, 2,446, 0.36%, 0.00%), (TMO, 600, 0.36%, 0.00%), (LMT, 599, 0.36%, 0.00%), (AMAT, 1,463, 0.32%, 0.00%), (SCHW, 2,794, 0.32%, 0.00%), (SBUX, 2,971, 0.31%, 0.00%), (MMM, 1,546, 0.30%, 0.00%), (CVS, 3,144, 0.29%, 0.00%), (AMGN, 843, 0.29%, 0.00%), (TJX, 1,614, 0.29%, 0.00%), (GILD, 1,956, 0.28%, 0.00%), (LOW, 812, 0.27%, 0.00%), (PFE, 8,893, 0.27%, 0.00%), (EMR, 1,618, 0.27%, 0.00%), (MO, 3,142, 0.26%, 0.00%), (DHR, 1,009, 0.25%, 0.00%), (INTC, 7,654, 0.24%, 0.00%), (ELV, 580, 0.23%, 0.00%), (CMCSA, 5,155, 0.21%, 0.00%), (MDLZ, 2,479, 0.20%, 0.00%), (BMY, 3,183, 0.19%, 0.00%), (UPS, 1,587, 0.17%, 0.00%), (PYPL, 1,873, 0.16%, 0.00%), (USB, 2,403, 0.15%, 0.00%), (CL, 1,379, 0.14%, 0.00%), (FDX, 488, 0.14%, 0.00%), (TGT, 667, 0.07%, 0.00%), (SC26771B, nan, nan%, 0.00%), (SC26773B, nan, nan%, 0.00%), (SP26772B, nan, nan%, 0.00%), (SP26775B, nan, nan%, 0.00%), (SP26774B, nan, nan%, 0.00%), (XP26775B, nan, nan%, 0.00%)</t>
  </si>
  <si>
    <t>GOOGL, EBAY, BK, META, MLI, JPM, MSFT, RJF, EA, AXP, BLK</t>
  </si>
  <si>
    <t>(PHM, 8,072, 1.97%, 0.00%), (EWBC, 9,834, 1.96%, 0.01%), (KLAC, 1,006, 1.92%, 0.00%), (BKNG, 191, 1.89%, 0.00%), (AMAT, 5,450, 1.88%, 0.00%), (TRV, 3,619, 1.83%, 0.00%), (HIG, 7,617, 1.82%, 0.00%), (UNM, 12,798, 1.78%, 0.01%), (SNA, 2,837, 1.75%, 0.01%), (V, 2,845, 1.75%, 0.00%), (NVDA, 5,315, 1.70%, 0.00%), (ROST, 6,338, 1.68%, 0.00%), (PCAR, 8,996, 1.66%, 0.00%), (SYF, 11,880, 1.65%, 0.00%), (LEN, 6,716, 1.62%, 0.00%), (ADP, 3,039, 1.61%, 0.00%), (CB, 3,210, 1.60%, 0.00%), (CTSH, 11,497, 1.47%, 0.00%), (WSM, 4,023, 1.46%, 0.00%), (BKR, 16,920, 1.46%, 0.00%), (CRM, 3,259, 1.45%, 0.00%), (QCOM, 4,589, 1.40%, 0.00%), (DHI, 4,463, 1.38%, 0.00%), (PAYC, 3,480, 1.37%, 0.01%), (LRCX, 5,861, 1.35%, 0.00%), (AAPL, 2,963, 1.28%, 0.00%), (ELV, 2,179, 1.25%, 0.00%), (AFL, 6,284, 1.23%, 0.00%), (MPWR, 726, 1.21%, 0.00%), (ACN, 2,711, 1.18%, 0.00%), (GE, 2,054, 1.11%, 0.00%), (CSCO, 8,512, 1.06%, 0.00%), (ODFL, 3,898, 1.01%, 0.00%), (STT, 4,718, 0.97%, 0.00%), (PNC, 2,526, 0.95%, 0.00%), (MTB, 2,511, 0.92%, 0.00%), (ABT, 3,396, 0.83%, 0.00%), (CF, 5,392, 0.82%, 0.00%), (AMP, 919, 0.82%, 0.00%), (XOM, 3,950, 0.82%, 0.00%), (COST, 472, 0.82%, 0.00%), (EOG, 3,553, 0.76%, 0.00%), (EG, 1,195, 0.73%, 0.00%), (CSL, 1,058, 0.64%, 0.00%), (GEV, 481, 0.53%, 0.00%), (NTRS, 2,190, 0.53%, 0.00%), (ACM, 2,072, 0.50%, 0.00%), (MA, 457, 0.49%, 0.00%), (JNJ, 1,466, 0.46%, 0.00%), (JXN, 2,472, 0.45%, 0.00%), (MTG, 8,605, 0.45%, 0.00%), (CRBG, 7,524, 0.45%, 0.00%), (WTFC, 1,764, 0.44%, 0.00%), (LNC, 5,989, 0.43%, 0.00%), (CINF, 1,523, 0.43%, 0.00%), (EQH, 4,245, 0.42%, 0.00%), (ALL, 1,084, 0.41%, 0.00%), (ADM, 3,647, 0.40%, 0.00%), (DOV, 1,280, 0.40%, 0.00%), (MCK, 316, 0.40%, 0.00%), (SLM, 7,031, 0.36%, 0.00%), (NUE, 1,464, 0.36%, 0.00%), (PGR, 799, 0.35%, 0.00%), (NKE, 2,669, 0.35%, 0.00%), (FANG, 1,140, 0.29%, 0.00%), (SC13N61B, nan, nan%, 0.00%), (SC13N63B, nan, nan%, 0.00%), (SP13N62B, nan, nan%, 0.00%), (SP13N65B, nan, nan%, 0.00%), (SP13N64B, nan, nan%, 0.00%), (SPX Index, nan, nan%, 0.00%), (XP13N65B, nan, nan%, 0.00%)</t>
  </si>
  <si>
    <t>(AVGO, 3,801, 3.77%, 0.00%), (META, 1,350, 2.99%, 0.00%), (GOOGL, 3,619, 2.58%, 0.00%), (BRK/B, 1,571, 2.21%, 0.00%), (TSLA, 1,807, 2.13%, 0.00%), (GOOG, 2,948, 2.11%, 0.00%), (CSCO, 9,538, 1.86%, 0.00%), (LIN, 1,349, 1.84%, 0.00%), (JPM, 1,989, 1.78%, 0.00%), (XOM, 4,815, 1.57%, 0.00%), (AMT, 2,738, 1.52%, 0.00%), (V, 1,481, 1.44%, 0.00%), (LLY, 567, 1.24%, 0.00%), (ORCL, 1,417, 1.20%, 0.00%), (CB, 1,511, 1.19%, 0.00%), (GE, 1,409, 1.18%, 0.00%), (MA, 702, 1.18%, 0.00%), (WM, 1,692, 1.05%, 0.00%), (UNH, 1,055, 1.01%, 0.00%), (NFLX, 265, 0.91%, 0.00%), (PLTR, 1,807, 0.91%, 0.00%), (NEE, 4,347, 0.88%, 0.00%), (JNJ, 1,733, 0.87%, 0.00%), (WMT, 2,884, 0.86%, 0.00%), (CVX, 1,831, 0.83%, 0.00%), (PG, 1,823, 0.82%, 0.00%), (CAT, 628, 0.82%, 0.00%), (ABBV, 1,272, 0.81%, 0.00%), (COST, 294, 0.80%, 0.00%), (RTX, 1,732, 0.79%, 0.00%), (HD, 652, 0.78%, 0.00%), (ABT, 1,987, 0.77%, 0.00%), (MCD, 861, 0.74%, 0.00%), (BAC, 4,716, 0.70%, 0.00%), (KO, 3,296, 0.63%, 0.00%), (BKNG, 40, 0.62%, 0.00%), (GS, 269, 0.61%, 0.00%), (PM, 1,322, 0.61%, 0.00%), (IBM, 815, 0.61%, 0.00%), (SO, 2,316, 0.61%, 0.00%), (BA, 973, 0.60%, 0.00%), (AMD, 1,321, 0.60%, 0.00%), (CRM, 843, 0.59%, 0.00%), (NKE, 2,816, 0.58%, 0.00%), (UBER, 2,096, 0.57%, 0.00%), (DUK, 1,633, 0.56%, 0.00%), (WFC, 2,352, 0.56%, 0.00%), (ETN, 514, 0.55%, 0.00%), (MET, 2,344, 0.53%, 0.00%), (HON, 846, 0.51%, 0.00%), (ISRG, 408, 0.51%, 0.00%), (NOW, 182, 0.50%, 0.00%), (MS, 1,063, 0.48%, 0.00%), (PEP, 1,166, 0.47%, 0.00%), (INTU, 247, 0.47%, 0.00%), (T, 5,613, 0.47%, 0.00%), (AXP, 477, 0.46%, 0.00%), (DE, 331, 0.45%, 0.00%), (QCOM, 904, 0.43%, 0.00%), (MRK, 1,820, 0.43%, 0.00%), (VZ, 3,293, 0.41%, 0.00%), (BLK, 125, 0.41%, 0.00%), (ADBE, 388, 0.40%, 0.00%), (MDT, 1,470, 0.40%, 0.00%), (SPGI, 272, 0.40%, 0.00%), (C, 1,336, 0.39%, 0.00%), (TXN, 742, 0.39%, 0.00%), (COP, 1,417, 0.38%, 0.00%), (TMO, 275, 0.38%, 0.00%), (UNP, 603, 0.38%, 0.00%), (ACN, 551, 0.38%, 0.00%), (LMT, 275, 0.37%, 0.00%), (DIS, 1,122, 0.37%, 0.00%), (AMAT, 671, 0.35%, 0.00%), (SCHW, 1,281, 0.34%, 0.00%), (SBUX, 1,362, 0.32%, 0.00%), (MMM, 709, 0.32%, 0.00%), (CVS, 1,442, 0.31%, 0.00%), (AMGN, 387, 0.31%, 0.00%), (TJX, 740, 0.30%, 0.00%), (GILD, 897, 0.29%, 0.00%), (INTC, 3,510, 0.29%, 0.00%), (LOW, 372, 0.29%, 0.00%), (PFE, 4,078, 0.28%, 0.00%), (EMR, 742, 0.28%, 0.00%), (MO, 1,441, 0.26%, 0.00%), (DHR, 463, 0.26%, 0.00%), (ELV, 266, 0.24%, 0.00%), (CMCSA, 2,364, 0.21%, 0.00%), (MDLZ, 1,137, 0.21%, 0.00%), (BMY, 1,459, 0.19%, 0.00%), (UPS, 728, 0.18%, 0.00%), (PYPL, 859, 0.17%, 0.00%), (USB, 1,102, 0.16%, 0.00%), (CL, 632, 0.15%, 0.00%), (FDX, 224, 0.14%, 0.00%), (TGT, 306, 0.08%, 0.00%), (SC31761B, nan, nan%, 0.00%), (SC31763B, nan, nan%, 0.00%), (SP31762B, nan, nan%, 0.00%), (SP31765B, nan, nan%, 0.00%), (SP31764B, nan, nan%, 0.00%), (XP31765B, nan, nan%, 0.00%)</t>
  </si>
  <si>
    <t>(AVGO, 2,505, 3.67%, 0.00%), (META, 890, 2.92%, 0.00%), (GOOGL, 2,385, 2.51%, 0.00%), (BRK/B, 1,035, 2.15%, 0.00%), (TSLA, 1,191, 2.07%, 0.00%), (GOOG, 1,943, 2.06%, 0.00%), (CSCO, 6,286, 1.81%, 0.00%), (LIN, 889, 1.79%, 0.00%), (JPM, 1,311, 1.73%, 0.00%), (XOM, 3,173, 1.53%, 0.00%), (AMT, 1,804, 1.48%, 0.00%), (V, 976, 1.40%, 0.00%), (LLY, 374, 1.21%, 0.00%), (ORCL, 934, 1.17%, 0.00%), (CB, 996, 1.16%, 0.00%), (GE, 928, 1.15%, 0.00%), (MA, 463, 1.15%, 0.00%), (WM, 1,115, 1.02%, 0.00%), (UNH, 695, 0.99%, 0.00%), (NFLX, 174, 0.89%, 0.00%), (PLTR, 1,191, 0.89%, 0.00%), (NEE, 2,865, 0.86%, 0.00%), (JNJ, 1,142, 0.84%, 0.00%), (WMT, 1,901, 0.83%, 0.00%), (CVX, 1,207, 0.81%, 0.00%), (CAT, 414, 0.80%, 0.00%), (PG, 1,201, 0.80%, 0.00%), (ABBV, 838, 0.79%, 0.00%), (COST, 194, 0.78%, 0.00%), (RTX, 1,142, 0.77%, 0.00%), (HD, 430, 0.76%, 0.00%), (ABT, 1,310, 0.75%, 0.00%), (MCD, 568, 0.73%, 0.00%), (BAC, 3,108, 0.68%, 0.00%), (KO, 2,172, 0.61%, 0.00%), (GS, 177, 0.60%, 0.00%), (BKNG, 26, 0.60%, 0.00%), (IBM, 537, 0.60%, 0.00%), (PM, 871, 0.60%, 0.00%), (SO, 1,527, 0.59%, 0.00%), (BA, 641, 0.59%, 0.00%), (AMD, 870, 0.58%, 0.00%), (CRM, 556, 0.57%, 0.00%), (NKE, 1,856, 0.57%, 0.00%), (UBER, 1,381, 0.55%, 0.00%), (DUK, 1,076, 0.55%, 0.00%), (WFC, 1,550, 0.54%, 0.00%), (ETN, 339, 0.53%, 0.00%), (MET, 1,545, 0.52%, 0.00%), (HON, 558, 0.50%, 0.00%), (ISRG, 269, 0.50%, 0.00%), (NOW, 120, 0.48%, 0.00%), (MS, 701, 0.47%, 0.00%), (INTU, 163, 0.47%, 0.00%), (PEP, 769, 0.46%, 0.00%), (T, 3,699, 0.46%, 0.00%), (AXP, 314, 0.45%, 0.00%), (DE, 218, 0.44%, 0.00%), (QCOM, 596, 0.42%, 0.00%), (MRK, 1,200, 0.41%, 0.00%), (VZ, 2,170, 0.40%, 0.00%), (BLK, 82, 0.40%, 0.00%), (ADBE, 256, 0.39%, 0.00%), (MDT, 969, 0.39%, 0.00%), (SPGI, 179, 0.39%, 0.00%), (C, 881, 0.38%, 0.00%), (TXN, 489, 0.38%, 0.00%), (UNP, 398, 0.37%, 0.00%), (COP, 934, 0.37%, 0.00%), (TMO, 181, 0.37%, 0.00%), (ACN, 363, 0.37%, 0.00%), (LMT, 181, 0.36%, 0.00%), (DIS, 739, 0.36%, 0.00%), (AMAT, 442, 0.35%, 0.00%), (SCHW, 844, 0.33%, 0.00%), (SBUX, 898, 0.32%, 0.00%), (MMM, 467, 0.31%, 0.00%), (CVS, 950, 0.30%, 0.00%), (AMGN, 255, 0.30%, 0.00%), (TJX, 488, 0.29%, 0.00%), (GILD, 591, 0.28%, 0.00%), (INTC, 2,313, 0.28%, 0.00%), (LOW, 245, 0.28%, 0.00%), (PFE, 2,688, 0.27%, 0.00%), (EMR, 489, 0.27%, 0.00%), (MO, 950, 0.26%, 0.00%), (DHR, 305, 0.25%, 0.00%), (ELV, 175, 0.23%, 0.00%), (CMCSA, 1,558, 0.21%, 0.00%), (MDLZ, 749, 0.20%, 0.00%), (BMY, 962, 0.19%, 0.00%), (UPS, 480, 0.17%, 0.00%), (PYPL, 566, 0.16%, 0.00%), (USB, 726, 0.15%, 0.00%), (CL, 417, 0.14%, 0.00%), (FDX, 147, 0.14%, 0.00%), (TGT, 202, 0.08%, 0.00%), (SC9061B, nan, nan%, 0.00%), (SC9063B, nan, nan%, 0.00%), (SP9062B, nan, nan%, 0.00%), (SP9065B, nan, nan%, 0.00%), (SP9064B, nan, nan%, 0.00%), (XP9065B, nan, nan%, 0.00%)</t>
  </si>
  <si>
    <t>(META, 853, 2.66%, 0.00%), (GOOGL, 2,287, 2.30%, 0.00%), (BRK/B, 993, 1.96%, 0.00%), (TSLA, 1,142, 1.89%, 0.00%), (GOOG, 1,863, 1.88%, 0.00%), (CSCO, 6,028, 1.65%, 0.00%), (LIN, 853, 1.64%, 0.00%), (JPM, 1,257, 1.58%, 0.00%), (XOM, 3,043, 1.39%, 0.00%), (AMT, 1,730, 1.35%, 0.00%), (V, 936, 1.27%, 0.00%), (LLY, 358, 1.10%, 0.00%), (ORCL, 896, 1.07%, 0.00%), (CB, 955, 1.06%, 0.00%), (GE, 890, 1.05%, 0.00%), (MA, 444, 1.05%, 0.00%), (WM, 1,070, 0.93%, 0.00%), (UNH, 667, 0.90%, 0.00%), (NFLX, 167, 0.81%, 0.00%), (PLTR, 1,142, 0.81%, 0.00%), (NEE, 2,748, 0.78%, 0.00%), (JNJ, 1,095, 0.77%, 0.00%), (WMT, 1,823, 0.76%, 0.00%), (CVX, 1,157, 0.74%, 0.00%), (CAT, 397, 0.73%, 0.00%), (PG, 1,152, 0.73%, 0.00%), (ABBV, 804, 0.72%, 0.00%), (COST, 186, 0.71%, 0.00%), (RTX, 1,095, 0.70%, 0.00%), (HD, 412, 0.69%, 0.00%), (ABT, 1,256, 0.68%, 0.00%), (MCD, 544, 0.66%, 0.00%), (BAC, 2,981, 0.62%, 0.00%), (KO, 2,083, 0.56%, 0.00%), (GS, 170, 0.55%, 0.00%), (BKNG, 25, 0.55%, 0.00%), (IBM, 515, 0.55%, 0.00%), (PM, 836, 0.54%, 0.00%), (SO, 1,464, 0.54%, 0.00%), (BA, 615, 0.53%, 0.00%), (AMD, 835, 0.53%, 0.00%), (CRM, 533, 0.52%, 0.00%), (NKE, 1,780, 0.52%, 0.00%), (UBER, 1,325, 0.51%, 0.00%), (DUK, 1,032, 0.50%, 0.00%), (WFC, 1,487, 0.50%, 0.00%), (ETN, 325, 0.48%, 0.00%), (MET, 1,482, 0.47%, 0.00%), (HON, 535, 0.45%, 0.00%), (ISRG, 258, 0.45%, 0.00%), (NOW, 115, 0.44%, 0.00%), (MS, 672, 0.43%, 0.00%), (INTU, 156, 0.42%, 0.00%), (PEP, 737, 0.42%, 0.00%), (T, 3,548, 0.42%, 0.00%), (AXP, 301, 0.41%, 0.00%), (DE, 209, 0.40%, 0.00%), (QCOM, 571, 0.38%, 0.00%), (MRK, 1,151, 0.38%, 0.00%), (VZ, 2,081, 0.37%, 0.00%), (BLK, 79, 0.36%, 0.00%), (MDT, 929, 0.36%, 0.00%), (ADBE, 245, 0.36%, 0.00%), (SPGI, 172, 0.35%, 0.00%), (C, 845, 0.35%, 0.00%), (TXN, 469, 0.34%, 0.00%), (TMO, 174, 0.34%, 0.00%), (COP, 896, 0.34%, 0.00%), (UNP, 381, 0.34%, 0.00%), (ACN, 348, 0.34%, 0.00%), (LMT, 174, 0.33%, 0.00%), (DIS, 709, 0.33%, 0.00%), (AMAT, 424, 0.32%, 0.00%), (SCHW, 810, 0.30%, 0.00%), (SBUX, 861, 0.29%, 0.00%), (MMM, 448, 0.28%, 0.00%), (CVS, 911, 0.27%, 0.00%), (AMGN, 244, 0.27%, 0.00%), (TJX, 468, 0.26%, 0.00%), (INTC, 2,218, 0.26%, 0.00%), (GILD, 567, 0.26%, 0.00%), (LOW, 235, 0.25%, 0.00%), (PFE, 2,577, 0.25%, 0.00%), (EMR, 469, 0.25%, 0.00%), (MO, 911, 0.23%, 0.00%), (DHR, 292, 0.23%, 0.00%), (ELV, 168, 0.21%, 0.00%), (CMCSA, 1,494, 0.19%, 0.00%), (MDLZ, 719, 0.18%, 0.00%), (BMY, 922, 0.17%, 0.00%), (UPS, 460, 0.16%, 0.00%), (PYPL, 543, 0.15%, 0.00%), (USB, 697, 0.14%, 0.00%), (CL, 400, 0.13%, 0.00%), (FDX, 141, 0.13%, 0.00%), (TGT, 193, 0.07%, 0.00%), (SC28781H, nan, nan%, 0.00%), (SC28783H, nan, nan%, 0.00%), (SP28782H, nan, nan%, 0.00%), (SP28785B, nan, nan%, 0.00%), (SP28784H, nan, nan%, 0.00%), (XP28785B, nan, nan%, 0.00%)</t>
  </si>
  <si>
    <t>(AVGO, 1,592, 3.56%, 0.00%), (META, 566, 2.84%, 0.00%), (GOOGL, 1,516, 2.45%, 0.00%), (BRK/B, 658, 2.09%, 0.00%), (TSLA, 757, 2.01%, 0.00%), (GOOG, 1,235, 2.00%, 0.00%), (CSCO, 3,996, 1.76%, 0.00%), (LIN, 565, 1.74%, 0.00%), (JPM, 833, 1.68%, 0.00%), (XOM, 2,017, 1.48%, 0.00%), (AMT, 1,147, 1.43%, 0.00%), (V, 620, 1.36%, 0.00%), (LLY, 238, 1.17%, 0.00%), (ORCL, 594, 1.14%, 0.00%), (GE, 590, 1.12%, 0.00%), (CB, 633, 1.12%, 0.00%), (MA, 294, 1.11%, 0.00%), (WM, 709, 0.99%, 0.00%), (UNH, 442, 0.96%, 0.00%), (NFLX, 111, 0.87%, 0.00%), (PLTR, 757, 0.86%, 0.00%), (NEE, 1,821, 0.83%, 0.00%), (JNJ, 726, 0.82%, 0.00%), (WMT, 1,208, 0.81%, 0.00%), (CVX, 767, 0.79%, 0.00%), (PG, 764, 0.78%, 0.00%), (CAT, 263, 0.77%, 0.00%), (ABBV, 533, 0.76%, 0.00%), (COST, 123, 0.76%, 0.00%), (RTX, 726, 0.74%, 0.00%), (HD, 273, 0.74%, 0.00%), (ABT, 833, 0.72%, 0.00%), (MCD, 361, 0.70%, 0.00%), (BAC, 1,976, 0.66%, 0.00%), (BKNG, 17, 0.60%, 0.00%), (KO, 1,381, 0.59%, 0.00%), (GS, 113, 0.59%, 0.00%), (PM, 554, 0.58%, 0.00%), (IBM, 342, 0.58%, 0.00%), (SO, 970, 0.57%, 0.00%), (BA, 408, 0.57%, 0.00%), (AMD, 553, 0.56%, 0.00%), (CRM, 353, 0.56%, 0.00%), (NKE, 1,180, 0.55%, 0.00%), (UBER, 878, 0.54%, 0.00%), (DUK, 684, 0.53%, 0.00%), (WFC, 986, 0.53%, 0.00%), (ETN, 216, 0.52%, 0.00%), (MET, 982, 0.50%, 0.00%), (HON, 355, 0.48%, 0.00%), (ISRG, 171, 0.48%, 0.00%), (NOW, 76, 0.47%, 0.00%), (MS, 445, 0.46%, 0.00%), (INTU, 104, 0.45%, 0.00%), (PEP, 489, 0.45%, 0.00%), (T, 2,352, 0.44%, 0.00%), (AXP, 200, 0.44%, 0.00%), (DE, 139, 0.43%, 0.00%), (QCOM, 379, 0.41%, 0.00%), (MRK, 763, 0.40%, 0.00%), (VZ, 1,380, 0.39%, 0.00%), (ADBE, 163, 0.39%, 0.00%), (BLK, 52, 0.38%, 0.00%), (MDT, 616, 0.38%, 0.00%), (SPGI, 114, 0.37%, 0.00%), (C, 560, 0.37%, 0.00%), (TXN, 311, 0.37%, 0.00%), (COP, 594, 0.36%, 0.00%), (TMO, 115, 0.36%, 0.00%), (UNP, 253, 0.36%, 0.00%), (ACN, 231, 0.36%, 0.00%), (LMT, 115, 0.35%, 0.00%), (DIS, 470, 0.35%, 0.00%), (AMAT, 281, 0.33%, 0.00%), (SCHW, 537, 0.32%, 0.00%), (SBUX, 571, 0.31%, 0.00%), (MMM, 297, 0.30%, 0.00%), (CVS, 604, 0.29%, 0.00%), (AMGN, 162, 0.29%, 0.00%), (TJX, 310, 0.28%, 0.00%), (INTC, 1,471, 0.28%, 0.00%), (GILD, 376, 0.28%, 0.00%), (LOW, 156, 0.27%, 0.00%), (PFE, 1,709, 0.27%, 0.00%), (EMR, 311, 0.27%, 0.00%), (MO, 604, 0.25%, 0.00%), (DHR, 194, 0.25%, 0.00%), (ELV, 111, 0.23%, 0.00%), (CMCSA, 990, 0.20%, 0.00%), (MDLZ, 476, 0.19%, 0.00%), (BMY, 611, 0.18%, 0.00%), (UPS, 305, 0.17%, 0.00%), (PYPL, 360, 0.16%, 0.00%), (USB, 462, 0.15%, 0.00%), (CL, 265, 0.14%, 0.00%), (FDX, 94, 0.14%, 0.00%), (TGT, 128, 0.07%, 0.00%), (SC8071B, nan, nan%, 0.00%), (SC8073B, nan, nan%, 0.00%), (SP8072B, nan, nan%, 0.00%), (SP8075B, nan, nan%, 0.00%), (SP8074B, nan, nan%, 0.00%), (XP8075B, nan, nan%, 0.00%)</t>
  </si>
  <si>
    <t>(META, 5,884, 2.71%, 0.00%), (GOOGL, 15,772, 2.34%, 0.00%), (BRK/B, 6,846, 2.00%, 0.00%), (TSLA, 7,874, 1.93%, 0.00%), (GOOG, 12,846, 1.91%, 0.00%), (CSCO, 41,568, 1.68%, 0.00%), (LIN, 5,881, 1.67%, 0.00%), (JPM, 8,669, 1.61%, 0.00%), (XOM, 20,983, 1.42%, 0.00%), (AMT, 11,931, 1.37%, 0.00%), (V, 6,454, 1.30%, 0.00%), (LLY, 2,471, 1.12%, 0.00%), (ORCL, 6,176, 1.09%, 0.00%), (CB, 6,585, 1.08%, 0.00%), (GE, 6,140, 1.07%, 0.00%), (MA, 3,061, 1.07%, 0.00%), (WM, 7,376, 0.95%, 0.00%), (UNH, 4,596, 0.92%, 0.00%), (NFLX, 1,154, 0.83%, 0.00%), (PLTR, 7,877, 0.82%, 0.00%), (NEE, 18,947, 0.80%, 0.00%), (JNJ, 7,551, 0.78%, 0.00%), (WMT, 12,569, 0.78%, 0.00%), (CVX, 7,979, 0.75%, 0.00%), (CAT, 2,739, 0.75%, 0.00%), (PG, 7,945, 0.74%, 0.00%), (ABBV, 5,542, 0.73%, 0.00%), (COST, 1,283, 0.73%, 0.00%), (RTX, 7,551, 0.71%, 0.00%), (HD, 2,841, 0.71%, 0.00%), (ABT, 8,662, 0.69%, 0.00%), (MCD, 3,754, 0.67%, 0.00%), (BAC, 20,554, 0.63%, 0.00%), (KO, 14,365, 0.57%, 0.00%), (BKNG, 173, 0.56%, 0.00%), (GS, 1,172, 0.56%, 0.00%), (PM, 5,761, 0.56%, 0.00%), (IBM, 3,553, 0.55%, 0.00%), (SO, 10,095, 0.55%, 0.00%), (BA, 4,241, 0.54%, 0.00%), (AMD, 5,756, 0.54%, 0.00%), (CRM, 3,674, 0.53%, 0.00%), (NKE, 12,272, 0.53%, 0.00%), (UBER, 9,134, 0.52%, 0.00%), (DUK, 7,117, 0.51%, 0.00%), (WFC, 10,252, 0.51%, 0.00%), (ETN, 2,242, 0.49%, 0.00%), (MET, 10,216, 0.48%, 0.00%), (HON, 3,689, 0.46%, 0.00%), (ISRG, 1,779, 0.46%, 0.00%), (NOW, 792, 0.45%, 0.00%), (MS, 4,633, 0.44%, 0.00%), (INTU, 1,077, 0.43%, 0.00%), (PEP, 5,084, 0.43%, 0.00%), (T, 24,462, 0.43%, 0.00%), (AXP, 2,079, 0.42%, 0.00%), (DE, 1,443, 0.41%, 0.00%), (QCOM, 3,940, 0.39%, 0.00%), (MRK, 7,933, 0.39%, 0.00%), (VZ, 14,351, 0.37%, 0.00%), (BLK, 544, 0.37%, 0.00%), (ADBE, 1,692, 0.37%, 0.00%), (MDT, 6,405, 0.36%, 0.00%), (SPGI, 1,186, 0.36%, 0.00%), (C, 5,823, 0.35%, 0.00%), (TXN, 3,235, 0.35%, 0.00%), (TMO, 1,200, 0.34%, 0.00%), (UNP, 2,630, 0.34%, 0.00%), (COP, 6,176, 0.34%, 0.00%), (ACN, 2,401, 0.34%, 0.00%), (LMT, 1,197, 0.34%, 0.00%), (DIS, 4,888, 0.33%, 0.00%), (AMAT, 2,924, 0.32%, 0.00%), (SCHW, 5,583, 0.31%, 0.00%), (SBUX, 5,938, 0.29%, 0.00%), (MMM, 3,089, 0.29%, 0.00%), (CVS, 6,285, 0.28%, 0.00%), (AMGN, 1,686, 0.28%, 0.00%), (TJX, 3,225, 0.27%, 0.00%), (GILD, 3,909, 0.26%, 0.00%), (INTC, 15,297, 0.26%, 0.00%), (LOW, 1,622, 0.26%, 0.00%), (PFE, 17,773, 0.26%, 0.00%), (EMR, 3,235, 0.25%, 0.00%), (MO, 6,280, 0.24%, 0.00%), (DHR, 2,016, 0.23%, 0.00%), (ELV, 1,158, 0.22%, 0.00%), (CMCSA, 10,303, 0.19%, 0.00%), (MDLZ, 4,955, 0.19%, 0.00%), (BMY, 6,361, 0.17%, 0.00%), (UPS, 3,172, 0.16%, 0.00%), (PYPL, 3,744, 0.15%, 0.00%), (USB, 4,803, 0.14%, 0.00%), (CL, 2,756, 0.13%, 0.00%), (FDX, 975, 0.13%, 0.00%), (TGT, 1,334, 0.07%, 0.00%), (SC26771B, nan, nan%, 0.00%), (SC26773B, nan, nan%, 0.00%), (SP26772B, nan, nan%, 0.00%), (SP26774B, nan, nan%, 0.00%), (SP26775T, nan, nan%, 0.00%), (XP26775T, nan, nan%, 0.00%)</t>
  </si>
  <si>
    <t>(AVGO, 14,341, 3.63%, 0.00%), (META, 5,094, 2.88%, 0.00%), (GOOGL, 13,654, 2.49%, 0.00%), (BRK/B, 5,927, 2.13%, 0.00%), (TSLA, 6,817, 2.05%, 0.00%), (GOOG, 11,122, 2.03%, 0.00%), (CSCO, 35,987, 1.79%, 0.00%), (LIN, 5,091, 1.77%, 0.00%), (JPM, 7,505, 1.71%, 0.00%), (XOM, 18,166, 1.51%, 0.00%), (AMT, 10,329, 1.46%, 0.00%), (V, 5,588, 1.38%, 0.00%), (LLY, 2,139, 1.19%, 0.00%), (ORCL, 5,347, 1.15%, 0.00%), (CB, 5,700, 1.14%, 0.00%), (GE, 5,315, 1.14%, 0.00%), (MA, 2,650, 1.13%, 0.00%), (WM, 6,385, 1.01%, 0.00%), (UNH, 3,979, 0.98%, 0.00%), (NFLX, 999, 0.88%, 0.00%), (PLTR, 6,819, 0.88%, 0.00%), (NEE, 16,403, 0.85%, 0.00%), (JNJ, 6,537, 0.83%, 0.00%), (WMT, 10,882, 0.82%, 0.00%), (CVX, 6,908, 0.80%, 0.00%), (CAT, 2,371, 0.79%, 0.00%), (PG, 6,878, 0.79%, 0.00%), (ABBV, 4,798, 0.78%, 0.00%), (COST, 1,111, 0.77%, 0.00%), (RTX, 6,537, 0.76%, 0.00%), (HD, 2,459, 0.75%, 0.00%), (ABT, 7,499, 0.74%, 0.00%), (MCD, 3,250, 0.72%, 0.00%), (BAC, 17,795, 0.67%, 0.00%), (KO, 12,437, 0.61%, 0.00%), (BKNG, 150, 0.60%, 0.00%), (GS, 1,015, 0.59%, 0.00%), (PM, 4,988, 0.59%, 0.00%), (IBM, 3,076, 0.59%, 0.00%), (SO, 8,740, 0.59%, 0.00%), (BA, 3,671, 0.58%, 0.00%), (AMD, 4,983, 0.57%, 0.00%), (CRM, 3,181, 0.57%, 0.00%), (NKE, 10,625, 0.56%, 0.00%), (UBER, 7,908, 0.55%, 0.00%), (DUK, 6,162, 0.54%, 0.00%), (WFC, 8,875, 0.54%, 0.00%), (ETN, 1,941, 0.53%, 0.00%), (MET, 8,844, 0.51%, 0.00%), (ISRG, 1,540, 0.49%, 0.00%), (HON, 3,193, 0.49%, 0.00%), (NOW, 685, 0.47%, 0.00%), (MS, 4,011, 0.46%, 0.00%), (INTU, 932, 0.46%, 0.00%), (PEP, 4,401, 0.45%, 0.00%), (T, 21,178, 0.45%, 0.00%), (AXP, 1,799, 0.44%, 0.00%), (DE, 1,250, 0.43%, 0.00%), (QCOM, 3,411, 0.42%, 0.00%), (MRK, 6,868, 0.41%, 0.00%), (VZ, 12,425, 0.40%, 0.00%), (BLK, 471, 0.39%, 0.00%), (ADBE, 1,464, 0.39%, 0.00%), (MDT, 5,545, 0.39%, 0.00%), (SPGI, 1,027, 0.38%, 0.00%), (C, 5,042, 0.37%, 0.00%), (TXN, 2,801, 0.37%, 0.00%), (TMO, 1,039, 0.37%, 0.00%), (UNP, 2,277, 0.37%, 0.00%), (COP, 5,347, 0.37%, 0.00%), (ACN, 2,079, 0.36%, 0.00%), (LMT, 1,036, 0.36%, 0.00%), (DIS, 4,232, 0.36%, 0.00%), (AMAT, 2,531, 0.34%, 0.00%), (SCHW, 4,834, 0.33%, 0.00%), (SBUX, 5,141, 0.31%, 0.00%), (MMM, 2,674, 0.30%, 0.00%), (CVS, 5,441, 0.30%, 0.00%), (AMGN, 1,459, 0.29%, 0.00%), (TJX, 2,792, 0.29%, 0.00%), (GILD, 3,384, 0.28%, 0.00%), (INTC, 13,243, 0.28%, 0.00%), (LOW, 1,404, 0.27%, 0.00%), (PFE, 15,387, 0.27%, 0.00%), (EMR, 2,800, 0.27%, 0.00%), (MO, 5,437, 0.25%, 0.00%), (DHR, 1,745, 0.25%, 0.00%), (ELV, 1,003, 0.23%, 0.00%), (CMCSA, 8,920, 0.21%, 0.00%), (MDLZ, 4,289, 0.20%, 0.00%), (BMY, 5,507, 0.18%, 0.00%), (UPS, 2,747, 0.17%, 0.00%), (PYPL, 3,242, 0.16%, 0.00%), (USB, 4,159, 0.15%, 0.00%), (CL, 2,386, 0.14%, 0.00%), (FDX, 844, 0.14%, 0.00%), (TGT, 1,155, 0.08%, 0.00%), (SC23471B, nan, nan%, 0.00%), (SC23473B, nan, nan%, 0.00%), (SP23472B, nan, nan%, 0.00%), (SP23475B, nan, nan%, 0.00%), (SP23474B, nan, nan%, 0.00%), (XP23475B, nan, nan%, 0.00%)</t>
  </si>
  <si>
    <t>(AVGO, 10,686, 3.62%, 0.00%), (META, 3,796, 2.88%, 0.00%), (GOOGL, 10,175, 2.49%, 0.00%), (BRK/B, 4,416, 2.13%, 0.00%), (TSLA, 5,080, 2.05%, 0.00%), (GOOG, 8,287, 2.03%, 0.00%), (CSCO, 26,816, 1.79%, 0.00%), (LIN, 3,794, 1.77%, 0.00%), (JPM, 5,592, 1.71%, 0.00%), (XOM, 13,537, 1.51%, 0.00%), (AMT, 7,697, 1.46%, 0.00%), (V, 4,164, 1.38%, 0.00%), (LLY, 1,594, 1.19%, 0.00%), (ORCL, 3,984, 1.15%, 0.00%), (CB, 4,248, 1.14%, 0.00%), (GE, 3,961, 1.14%, 0.00%), (MA, 1,975, 1.13%, 0.00%), (WM, 4,758, 1.01%, 0.00%), (UNH, 2,965, 0.97%, 0.00%), (NFLX, 744, 0.88%, 0.00%), (PLTR, 5,082, 0.88%, 0.00%), (NEE, 12,223, 0.85%, 0.00%), (JNJ, 4,871, 0.83%, 0.00%), (WMT, 8,109, 0.82%, 0.00%), (CVX, 5,148, 0.80%, 0.00%), (CAT, 1,767, 0.79%, 0.00%), (PG, 5,125, 0.79%, 0.00%), (ABBV, 3,575, 0.78%, 0.00%), (COST, 828, 0.77%, 0.00%), (RTX, 4,871, 0.76%, 0.00%), (HD, 1,833, 0.75%, 0.00%), (ABT, 5,588, 0.74%, 0.00%), (MCD, 2,422, 0.72%, 0.00%), (BAC, 13,260, 0.67%, 0.00%), (KO, 9,267, 0.60%, 0.00%), (BKNG, 112, 0.60%, 0.00%), (GS, 756, 0.59%, 0.00%), (PM, 3,717, 0.59%, 0.00%), (IBM, 2,292, 0.59%, 0.00%), (SO, 6,513, 0.58%, 0.00%), (BA, 2,736, 0.58%, 0.00%), (AMD, 3,713, 0.57%, 0.00%), (CRM, 2,370, 0.57%, 0.00%), (NKE, 7,917, 0.56%, 0.00%), (UBER, 5,893, 0.55%, 0.00%), (DUK, 4,591, 0.54%, 0.00%), (WFC, 6,614, 0.54%, 0.00%), (ETN, 1,446, 0.52%, 0.00%), (MET, 6,591, 0.51%, 0.00%), (ISRG, 1,148, 0.49%, 0.00%), (HON, 2,380, 0.49%, 0.00%), (NOW, 511, 0.47%, 0.00%), (MS, 2,989, 0.46%, 0.00%), (INTU, 695, 0.46%, 0.00%), (PEP, 3,280, 0.45%, 0.00%), (T, 15,781, 0.45%, 0.00%), (AXP, 1,341, 0.44%, 0.00%), (DE, 931, 0.43%, 0.00%), (QCOM, 2,542, 0.42%, 0.00%), (MRK, 5,118, 0.41%, 0.00%), (VZ, 9,258, 0.40%, 0.00%), (BLK, 351, 0.39%, 0.00%), (ADBE, 1,091, 0.39%, 0.00%), (MDT, 4,132, 0.39%, 0.00%), (SPGI, 765, 0.38%, 0.00%), (C, 3,757, 0.37%, 0.00%), (TXN, 2,087, 0.37%, 0.00%), (TMO, 774, 0.37%, 0.00%), (UNP, 1,697, 0.37%, 0.00%), (COP, 3,984, 0.36%, 0.00%), (ACN, 1,549, 0.36%, 0.00%), (LMT, 772, 0.36%, 0.00%), (DIS, 3,153, 0.36%, 0.00%), (AMAT, 1,886, 0.34%, 0.00%), (SCHW, 3,602, 0.33%, 0.00%), (SBUX, 3,831, 0.31%, 0.00%), (MMM, 1,993, 0.30%, 0.00%), (CVS, 4,054, 0.30%, 0.00%), (AMGN, 1,088, 0.29%, 0.00%), (TJX, 2,081, 0.29%, 0.00%), (GILD, 2,521, 0.28%, 0.00%), (INTC, 9,868, 0.28%, 0.00%), (LOW, 1,047, 0.27%, 0.00%), (PFE, 11,466, 0.27%, 0.00%), (EMR, 2,087, 0.27%, 0.00%), (MO, 4,051, 0.25%, 0.00%), (DHR, 1,301, 0.25%, 0.00%), (ELV, 747, 0.23%, 0.00%), (CMCSA, 6,647, 0.21%, 0.00%), (MDLZ, 3,196, 0.20%, 0.00%), (BMY, 4,103, 0.18%, 0.00%), (UPS, 2,047, 0.17%, 0.00%), (PYPL, 2,416, 0.16%, 0.00%), (USB, 3,099, 0.15%, 0.00%), (CL, 1,778, 0.14%, 0.00%), (FDX, 629, 0.14%, 0.00%), (TGT, 861, 0.08%, 0.00%), (SC22171B, nan, nan%, 0.00%), (SC22173B, nan, nan%, 0.00%), (SP22172B, nan, nan%, 0.00%), (SP22175B, nan, nan%, 0.00%), (SP22174B, nan, nan%, 0.00%), (XP22175B, nan, nan%, 0.00%)</t>
  </si>
  <si>
    <t>(AVGO, 4,054, 3.45%, 0.00%), (META, 1,440, 2.75%, 0.00%), (GOOGL, 3,860, 2.38%, 0.00%), (BRK/B, 1,675, 2.03%, 0.00%), (TSLA, 1,927, 1.96%, 0.00%), (GOOG, 3,144, 1.94%, 0.00%), (CSCO, 10,173, 1.71%, 0.00%), (LIN, 1,439, 1.69%, 0.00%), (JPM, 2,121, 1.63%, 0.00%), (XOM, 5,135, 1.44%, 0.00%), (AMT, 2,920, 1.39%, 0.00%), (V, 1,580, 1.32%, 0.00%), (LLY, 605, 1.14%, 0.00%), (ORCL, 1,512, 1.10%, 0.00%), (GE, 1,503, 1.09%, 0.00%), (CB, 1,611, 1.09%, 0.00%), (MA, 749, 1.08%, 0.00%), (WM, 1,805, 0.96%, 0.00%), (UNH, 1,125, 0.93%, 0.00%), (PLTR, 1,928, 0.84%, 0.00%), (NFLX, 282, 0.83%, 0.00%), (NEE, 4,637, 0.81%, 0.00%), (JNJ, 1,848, 0.79%, 0.00%), (WMT, 3,076, 0.79%, 0.00%), (CVX, 1,953, 0.76%, 0.00%), (CAT, 670, 0.76%, 0.00%), (PG, 1,944, 0.75%, 0.00%), (ABBV, 1,356, 0.74%, 0.00%), (COST, 314, 0.74%, 0.00%), (RTX, 1,848, 0.72%, 0.00%), (HD, 695, 0.72%, 0.00%), (ABT, 2,120, 0.70%, 0.00%), (MCD, 919, 0.68%, 0.00%), (BAC, 5,030, 0.64%, 0.00%), (KO, 3,516, 0.58%, 0.00%), (BKNG, 42, 0.56%, 0.00%), (GS, 287, 0.56%, 0.00%), (IBM, 870, 0.56%, 0.00%), (PM, 1,410, 0.56%, 0.00%), (SO, 2,471, 0.56%, 0.00%), (BA, 1,038, 0.55%, 0.00%), (AMD, 1,409, 0.55%, 0.00%), (CRM, 899, 0.54%, 0.00%), (NKE, 3,003, 0.53%, 0.00%), (UBER, 2,235, 0.52%, 0.00%), (DUK, 1,742, 0.52%, 0.00%), (WFC, 2,509, 0.51%, 0.00%), (ETN, 549, 0.50%, 0.00%), (MET, 2,500, 0.49%, 0.00%), (HON, 903, 0.47%, 0.00%), (ISRG, 435, 0.47%, 0.00%), (NOW, 194, 0.45%, 0.00%), (MS, 1,134, 0.44%, 0.00%), (INTU, 264, 0.43%, 0.00%), (PEP, 1,244, 0.43%, 0.00%), (T, 5,987, 0.43%, 0.00%), (AXP, 509, 0.43%, 0.00%), (DE, 353, 0.41%, 0.00%), (QCOM, 964, 0.40%, 0.00%), (MRK, 1,942, 0.39%, 0.00%), (VZ, 3,512, 0.38%, 0.00%), (BLK, 133, 0.37%, 0.00%), (ADBE, 414, 0.37%, 0.00%), (MDT, 1,567, 0.37%, 0.00%), (SPGI, 290, 0.36%, 0.00%), (C, 1,425, 0.36%, 0.00%), (TXN, 792, 0.35%, 0.00%), (UNP, 644, 0.35%, 0.00%), (TMO, 294, 0.35%, 0.00%), (COP, 1,511, 0.35%, 0.00%), (ACN, 588, 0.35%, 0.00%), (LMT, 293, 0.34%, 0.00%), (DIS, 1,196, 0.34%, 0.00%), (AMAT, 716, 0.32%, 0.00%), (SCHW, 1,366, 0.31%, 0.00%), (SBUX, 1,453, 0.30%, 0.00%), (MMM, 756, 0.29%, 0.00%), (CVS, 1,538, 0.28%, 0.00%), (AMGN, 413, 0.28%, 0.00%), (TJX, 789, 0.27%, 0.00%), (INTC, 3,744, 0.27%, 0.00%), (GILD, 957, 0.27%, 0.00%), (LOW, 397, 0.26%, 0.00%), (PFE, 4,350, 0.26%, 0.00%), (EMR, 792, 0.26%, 0.00%), (MO, 1,537, 0.24%, 0.00%), (DHR, 493, 0.24%, 0.00%), (ELV, 283, 0.22%, 0.00%), (CMCSA, 2,522, 0.20%, 0.00%), (MDLZ, 1,213, 0.19%, 0.00%), (BMY, 1,557, 0.18%, 0.00%), (UPS, 776, 0.16%, 0.00%), (PYPL, 916, 0.15%, 0.00%), (USB, 1,176, 0.15%, 0.00%), (CL, 675, 0.14%, 0.00%), (FDX, 239, 0.13%, 0.00%), (TGT, 326, 0.07%, 0.00%), (SC28181B, nan, nan%, 0.00%), (SC28183B, nan, nan%, 0.00%), (SP28182B, nan, nan%, 0.00%), (SP28185B, nan, nan%, 0.00%), (SP28184B, nan, nan%, 0.00%), (XP28185B, nan, nan%, 0.00%)</t>
  </si>
  <si>
    <t>(AVGO, 4,409, 3.49%, 0.00%), (META, 1,566, 2.78%, 0.00%), (GOOGL, 4,198, 2.40%, 0.00%), (BRK/B, 1,822, 2.05%, 0.00%), (TSLA, 2,096, 1.98%, 0.00%), (GOOG, 3,420, 1.96%, 0.00%), (CSCO, 11,065, 1.72%, 0.00%), (LIN, 1,565, 1.70%, 0.00%), (JPM, 2,308, 1.65%, 0.00%), (XOM, 5,586, 1.45%, 0.00%), (AMT, 3,176, 1.40%, 0.00%), (V, 1,718, 1.33%, 0.00%), (LLY, 658, 1.15%, 0.00%), (ORCL, 1,644, 1.11%, 0.00%), (CB, 1,753, 1.10%, 0.00%), (GE, 1,634, 1.10%, 0.00%), (MA, 815, 1.09%, 0.00%), (WM, 1,963, 0.97%, 0.00%), (UNH, 1,223, 0.94%, 0.00%), (PLTR, 2,097, 0.84%, 0.00%), (NFLX, 307, 0.84%, 0.00%), (NEE, 5,043, 0.82%, 0.00%), (JNJ, 2,010, 0.80%, 0.00%), (WMT, 3,346, 0.79%, 0.00%), (CVX, 2,124, 0.77%, 0.00%), (CAT, 729, 0.76%, 0.00%), (PG, 2,115, 0.76%, 0.00%), (ABBV, 1,475, 0.75%, 0.00%), (COST, 342, 0.75%, 0.00%), (RTX, 2,010, 0.73%, 0.00%), (HD, 756, 0.72%, 0.00%), (ABT, 2,306, 0.71%, 0.00%), (MCD, 999, 0.69%, 0.00%), (BAC, 5,471, 0.65%, 0.00%), (KO, 3,824, 0.58%, 0.00%), (BKNG, 46, 0.57%, 0.00%), (GS, 312, 0.57%, 0.00%), (IBM, 946, 0.57%, 0.00%), (PM, 1,534, 0.57%, 0.00%), (SO, 2,687, 0.56%, 0.00%), (BA, 1,129, 0.56%, 0.00%), (AMD, 1,532, 0.55%, 0.00%), (CRM, 978, 0.55%, 0.00%), (NKE, 3,267, 0.54%, 0.00%), (UBER, 2,431, 0.53%, 0.00%), (DUK, 1,895, 0.52%, 0.00%), (WFC, 2,729, 0.52%, 0.00%), (ETN, 597, 0.51%, 0.00%), (MET, 2,719, 0.49%, 0.00%), (HON, 982, 0.47%, 0.00%), (ISRG, 473, 0.47%, 0.00%), (NOW, 211, 0.46%, 0.00%), (MS, 1,233, 0.45%, 0.00%), (INTU, 287, 0.44%, 0.00%), (PEP, 1,353, 0.44%, 0.00%), (T, 6,512, 0.44%, 0.00%), (AXP, 553, 0.43%, 0.00%), (DE, 384, 0.42%, 0.00%), (QCOM, 1,049, 0.40%, 0.00%), (MRK, 2,112, 0.39%, 0.00%), (VZ, 3,820, 0.38%, 0.00%), (BLK, 145, 0.38%, 0.00%), (ADBE, 450, 0.37%, 0.00%), (MDT, 1,705, 0.37%, 0.00%), (SPGI, 316, 0.37%, 0.00%), (C, 1,550, 0.36%, 0.00%), (TXN, 861, 0.36%, 0.00%), (UNP, 700, 0.35%, 0.00%), (COP, 1,644, 0.35%, 0.00%), (TMO, 319, 0.35%, 0.00%), (ACN, 639, 0.35%, 0.00%), (LMT, 319, 0.35%, 0.00%), (DIS, 1,301, 0.34%, 0.00%), (AMAT, 778, 0.33%, 0.00%), (SCHW, 1,486, 0.32%, 0.00%), (SBUX, 1,581, 0.30%, 0.00%), (MMM, 822, 0.29%, 0.00%), (CVS, 1,673, 0.28%, 0.00%), (AMGN, 449, 0.28%, 0.00%), (TJX, 859, 0.27%, 0.00%), (INTC, 4,072, 0.27%, 0.00%), (GILD, 1,040, 0.27%, 0.00%), (LOW, 432, 0.26%, 0.00%), (PFE, 4,731, 0.26%, 0.00%), (EMR, 861, 0.26%, 0.00%), (MO, 1,672, 0.24%, 0.00%), (DHR, 537, 0.24%, 0.00%), (ELV, 308, 0.22%, 0.00%), (CMCSA, 2,743, 0.20%, 0.00%), (MDLZ, 1,319, 0.19%, 0.00%), (BMY, 1,693, 0.18%, 0.00%), (UPS, 844, 0.16%, 0.00%), (PYPL, 997, 0.16%, 0.00%), (USB, 1,279, 0.15%, 0.00%), (CL, 734, 0.14%, 0.00%), (FDX, 260, 0.13%, 0.00%), (TGT, 355, 0.07%, 0.00%), (SC13481B, nan, nan%, 0.00%), (SC13483B, nan, nan%, 0.00%), (SP13482B, nan, nan%, 0.00%), (SP13485B, nan, nan%, 0.00%), (SP13484B, nan, nan%, 0.00%), (XP13485B, nan, nan%, 0.00%)</t>
  </si>
  <si>
    <t>(AVGO, 8,288, 3.61%, 0.00%), (META, 2,944, 2.88%, 0.00%), (GOOGL, 7,891, 2.48%, 0.00%), (BRK/B, 3,425, 2.12%, 0.00%), (TSLA, 3,940, 2.05%, 0.00%), (GOOG, 6,428, 2.03%, 0.00%), (CSCO, 20,798, 1.79%, 0.00%), (LIN, 2,943, 1.77%, 0.00%), (JPM, 4,337, 1.71%, 0.00%), (XOM, 10,499, 1.50%, 0.00%), (AMT, 5,970, 1.45%, 0.00%), (V, 3,229, 1.38%, 0.00%), (LLY, 1,236, 1.19%, 0.00%), (ORCL, 3,090, 1.15%, 0.00%), (CB, 3,295, 1.14%, 0.00%), (GE, 3,072, 1.14%, 0.00%), (MA, 1,532, 1.13%, 0.00%), (WM, 3,690, 1.00%, 0.00%), (UNH, 2,300, 0.97%, 0.00%), (NFLX, 577, 0.88%, 0.00%), (PLTR, 3,941, 0.87%, 0.00%), (NEE, 9,480, 0.85%, 0.00%), (JNJ, 3,778, 0.83%, 0.00%), (WMT, 6,289, 0.82%, 0.00%), (CVX, 3,992, 0.80%, 0.00%), (CAT, 1,370, 0.79%, 0.00%), (PG, 3,975, 0.79%, 0.00%), (ABBV, 2,773, 0.77%, 0.00%), (COST, 642, 0.77%, 0.00%), (RTX, 3,778, 0.75%, 0.00%), (HD, 1,421, 0.75%, 0.00%), (ABT, 4,334, 0.73%, 0.00%), (MCD, 1,878, 0.71%, 0.00%), (BAC, 10,284, 0.67%, 0.00%), (KO, 7,188, 0.60%, 0.00%), (BKNG, 87, 0.60%, 0.00%), (GS, 587, 0.59%, 0.00%), (IBM, 1,778, 0.59%, 0.00%), (PM, 2,883, 0.59%, 0.00%), (SO, 5,051, 0.58%, 0.00%), (BA, 2,122, 0.58%, 0.00%), (AMD, 2,880, 0.57%, 0.00%), (CRM, 1,838, 0.56%, 0.00%), (NKE, 6,141, 0.56%, 0.00%), (UBER, 4,570, 0.55%, 0.00%), (DUK, 3,561, 0.54%, 0.00%), (WFC, 5,129, 0.54%, 0.00%), (ETN, 1,122, 0.52%, 0.00%), (MET, 5,112, 0.51%, 0.00%), (HON, 1,846, 0.49%, 0.00%), (ISRG, 890, 0.49%, 0.00%), (NOW, 396, 0.47%, 0.00%), (MS, 2,318, 0.46%, 0.00%), (INTU, 539, 0.46%, 0.00%), (PEP, 2,544, 0.45%, 0.00%), (T, 12,240, 0.45%, 0.00%), (AXP, 1,040, 0.44%, 0.00%), (DE, 722, 0.43%, 0.00%), (QCOM, 1,972, 0.42%, 0.00%), (MRK, 3,969, 0.41%, 0.00%), (VZ, 7,181, 0.40%, 0.00%), (ADBE, 846, 0.39%, 0.00%), (BLK, 272, 0.39%, 0.00%), (MDT, 3,205, 0.39%, 0.00%), (SPGI, 593, 0.38%, 0.00%), (C, 2,914, 0.37%, 0.00%), (TXN, 1,619, 0.37%, 0.00%), (TMO, 600, 0.36%, 0.00%), (UNP, 1,316, 0.36%, 0.00%), (COP, 3,090, 0.36%, 0.00%), (ACN, 1,201, 0.36%, 0.00%), (LMT, 599, 0.36%, 0.00%), (DIS, 2,446, 0.35%, 0.00%), (AMAT, 1,463, 0.34%, 0.00%), (SCHW, 2,794, 0.33%, 0.00%), (SBUX, 2,971, 0.31%, 0.00%), (MMM, 1,546, 0.30%, 0.00%), (CVS, 3,144, 0.29%, 0.00%), (AMGN, 843, 0.29%, 0.00%), (TJX, 1,614, 0.28%, 0.00%), (INTC, 7,654, 0.28%, 0.00%), (GILD, 1,956, 0.28%, 0.00%), (LOW, 812, 0.27%, 0.00%), (PFE, 8,893, 0.27%, 0.00%), (EMR, 1,618, 0.27%, 0.00%), (MO, 3,142, 0.25%, 0.00%), (DHR, 1,009, 0.25%, 0.00%), (ELV, 580, 0.23%, 0.00%), (CMCSA, 5,155, 0.21%, 0.00%), (MDLZ, 2,479, 0.20%, 0.00%), (BMY, 3,183, 0.18%, 0.00%), (UPS, 1,587, 0.17%, 0.00%), (PYPL, 1,873, 0.16%, 0.00%), (USB, 2,403, 0.15%, 0.00%), (CL, 1,379, 0.14%, 0.00%), (FDX, 488, 0.14%, 0.00%), (TGT, 667, 0.08%, 0.00%), (SC26771B, nan, nan%, 0.00%), (SC26773B, nan, nan%, 0.00%), (SP26772B, nan, nan%, 0.00%), (SP26775B, nan, nan%, 0.00%), (SP26774B, nan, nan%, 0.00%), (XP26775B, nan, nan%, 0.00%)</t>
  </si>
  <si>
    <t>(EWBC, 9,834, 1.95%, 0.01%), (PHM, 8,072, 1.94%, 0.00%), (KLAC, 1,006, 1.92%, 0.00%), (BKNG, 191, 1.90%, 0.00%), (AMAT, 5,450, 1.89%, 0.00%), (TRV, 3,619, 1.83%, 0.00%), (HIG, 7,617, 1.82%, 0.00%), (UNM, 12,798, 1.78%, 0.01%), (V, 2,845, 1.77%, 0.00%), (SNA, 2,837, 1.75%, 0.01%), (NVDA, 5,315, 1.71%, 0.00%), (ROST, 6,338, 1.69%, 0.00%), (SYF, 11,880, 1.66%, 0.00%), (PCAR, 8,996, 1.63%, 0.00%), (ADP, 3,039, 1.62%, 0.00%), (CB, 3,210, 1.60%, 0.00%), (LEN, 6,716, 1.56%, 0.00%), (CRM, 3,259, 1.47%, 0.00%), (BKR, 16,920, 1.46%, 0.00%), (WSM, 4,023, 1.46%, 0.00%), (CTSH, 11,497, 1.40%, 0.00%), (QCOM, 4,589, 1.40%, 0.00%), (PAYC, 3,480, 1.38%, 0.01%), (DHI, 4,463, 1.37%, 0.00%), (LRCX, 5,861, 1.36%, 0.00%), (AAPL, 2,963, 1.33%, 0.00%), (ELV, 2,179, 1.25%, 0.00%), (AFL, 6,284, 1.24%, 0.00%), (MPWR, 726, 1.21%, 0.00%), (ACN, 2,711, 1.19%, 0.00%), (GE, 2,054, 1.13%, 0.00%), (CSCO, 8,512, 1.06%, 0.00%), (ODFL, 3,898, 1.00%, 0.00%), (STT, 4,718, 0.98%, 0.00%), (PNC, 2,526, 0.95%, 0.00%), (MTB, 2,511, 0.93%, 0.00%), (ABT, 3,396, 0.84%, 0.00%), (CF, 5,392, 0.84%, 0.00%), (AMP, 919, 0.82%, 0.00%), (COST, 472, 0.82%, 0.00%), (XOM, 3,950, 0.81%, 0.00%), (EOG, 3,553, 0.75%, 0.00%), (EG, 1,195, 0.73%, 0.00%), (CSL, 1,058, 0.65%, 0.00%), (GEV, 481, 0.55%, 0.00%), (NTRS, 2,190, 0.53%, 0.00%), (ACM, 2,072, 0.50%, 0.00%), (MA, 457, 0.49%, 0.00%), (JNJ, 1,466, 0.47%, 0.00%), (JXN, 2,472, 0.45%, 0.00%), (LNC, 5,989, 0.45%, 0.00%), (CRBG, 7,524, 0.45%, 0.00%), (MTG, 8,605, 0.44%, 0.00%), (WTFC, 1,764, 0.43%, 0.00%), (CINF, 1,523, 0.43%, 0.00%), (EQH, 4,245, 0.42%, 0.00%), (ADM, 3,647, 0.41%, 0.00%), (ALL, 1,084, 0.41%, 0.00%), (MCK, 316, 0.40%, 0.00%), (DOV, 1,280, 0.40%, 0.00%), (SLM, 7,031, 0.36%, 0.00%), (NUE, 1,464, 0.36%, 0.00%), (PGR, 799, 0.35%, 0.00%), (NKE, 2,669, 0.35%, 0.00%), (FANG, 1,140, 0.29%, 0.00%), (COKE, 0, 0.00%, 0.00%), (RMD, 0, 0.00%, 0.00%), (BAC, 0, 0.00%, 0.00%), (VLTO, 0, 0.00%, 0.00%), (FOXA, 0, 0.00%, 0.00%), (MET, 0, 0.00%, 0.00%), (SC13N61B, nan, nan%, 0.00%), (SC13N63B, nan, nan%, 0.00%), (SP13N62B, nan, nan%, 0.00%), (SP13N65B, nan, nan%, 0.00%), (SP13N64B, nan, nan%, 0.00%), (SPX Index, nan, nan%, 0.00%), (XP13N65B, nan, nan%, 0.00%)</t>
  </si>
  <si>
    <t>(AVGO, 3,801, 3.75%, 0.00%), (META, 1,350, 2.97%, 0.00%), (GOOGL, 3,619, 2.59%, 0.00%), (BRK/B, 1,571, 2.21%, 0.00%), (TSLA, 1,807, 2.15%, 0.00%), (GOOG, 2,948, 2.12%, 0.00%), (LIN, 1,349, 1.85%, 0.00%), (CSCO, 9,538, 1.84%, 0.00%), (JPM, 1,989, 1.78%, 0.00%), (XOM, 4,815, 1.55%, 0.00%), (AMT, 2,738, 1.51%, 0.00%), (V, 1,481, 1.44%, 0.00%), (ORCL, 1,417, 1.23%, 0.00%), (LLY, 567, 1.22%, 0.00%), (GE, 1,409, 1.19%, 0.00%), (CB, 1,511, 1.18%, 0.00%), (MA, 702, 1.17%, 0.00%), (WM, 1,692, 1.05%, 0.00%), (UNH, 1,055, 1.01%, 0.00%), (PLTR, 1,807, 0.93%, 0.00%), (NFLX, 265, 0.92%, 0.00%), (NEE, 4,347, 0.88%, 0.00%), (JNJ, 1,733, 0.87%, 0.00%), (WMT, 2,884, 0.84%, 0.00%), (CVX, 1,831, 0.82%, 0.00%), (CAT, 628, 0.82%, 0.00%), (PG, 1,823, 0.81%, 0.00%), (ABBV, 1,272, 0.81%, 0.00%), (COST, 294, 0.80%, 0.00%), (RTX, 1,732, 0.78%, 0.00%), (HD, 652, 0.77%, 0.00%), (ABT, 1,987, 0.77%, 0.00%), (MCD, 861, 0.74%, 0.00%), (BAC, 4,716, 0.70%, 0.00%), (KO, 3,296, 0.63%, 0.00%), (BKNG, 40, 0.62%, 0.00%), (PM, 1,322, 0.62%, 0.00%), (IBM, 815, 0.61%, 0.00%), (GS, 269, 0.61%, 0.00%), (SO, 2,316, 0.61%, 0.00%), (BA, 973, 0.60%, 0.00%), (AMD, 1,321, 0.59%, 0.00%), (CRM, 843, 0.59%, 0.00%), (UBER, 2,096, 0.59%, 0.00%), (NKE, 2,816, 0.57%, 0.00%), (DUK, 1,633, 0.56%, 0.00%), (WFC, 2,352, 0.56%, 0.00%), (ETN, 514, 0.55%, 0.00%), (MET, 2,344, 0.53%, 0.00%), (ISRG, 408, 0.51%, 0.00%), (HON, 846, 0.51%, 0.00%), (NOW, 182, 0.50%, 0.00%), (MS, 1,063, 0.48%, 0.00%), (INTU, 247, 0.47%, 0.00%), (PEP, 1,166, 0.47%, 0.00%), (T, 5,613, 0.47%, 0.00%), (AXP, 477, 0.46%, 0.00%), (DE, 331, 0.44%, 0.00%), (QCOM, 904, 0.43%, 0.00%), (MRK, 1,820, 0.42%, 0.00%), (VZ, 3,293, 0.41%, 0.00%), (BLK, 125, 0.41%, 0.00%), (ADBE, 388, 0.40%, 0.00%), (MDT, 1,470, 0.40%, 0.00%), (SPGI, 272, 0.39%, 0.00%), (C, 1,336, 0.39%, 0.00%), (TXN, 742, 0.38%, 0.00%), (ACN, 551, 0.38%, 0.00%), (UNP, 603, 0.38%, 0.00%), (TMO, 275, 0.38%, 0.00%), (COP, 1,417, 0.37%, 0.00%), (LMT, 275, 0.37%, 0.00%), (DIS, 1,122, 0.36%, 0.00%), (AMAT, 671, 0.35%, 0.00%), (SCHW, 1,281, 0.34%, 0.00%), (SBUX, 1,362, 0.33%, 0.00%), (MMM, 709, 0.32%, 0.00%), (AMGN, 387, 0.31%, 0.00%), (CVS, 1,442, 0.31%, 0.00%), (TJX, 740, 0.30%, 0.00%), (GILD, 897, 0.29%, 0.00%), (INTC, 3,510, 0.28%, 0.00%), (LOW, 372, 0.28%, 0.00%), (EMR, 742, 0.28%, 0.00%), (PFE, 4,078, 0.28%, 0.00%), (MO, 1,441, 0.27%, 0.00%), (DHR, 463, 0.25%, 0.00%), (ELV, 266, 0.24%, 0.00%), (CMCSA, 2,364, 0.21%, 0.00%), (MDLZ, 1,137, 0.21%, 0.00%), (BMY, 1,459, 0.19%, 0.00%), (UPS, 728, 0.17%, 0.00%), (PYPL, 859, 0.17%, 0.00%), (USB, 1,102, 0.16%, 0.00%), (FDX, 224, 0.15%, 0.00%), (CL, 632, 0.15%, 0.00%), (TGT, 306, 0.08%, 0.00%), (SC31761B, nan, nan%, 0.00%), (SC31763B, nan, nan%, 0.00%), (SP31762B, nan, nan%, 0.00%), (SP31765B, nan, nan%, 0.00%), (SP31764B, nan, nan%, 0.00%), (XP31765B, nan, nan%, 0.00%)</t>
  </si>
  <si>
    <t>(AVGO, 2,505, 3.65%, 0.00%), (META, 890, 2.90%, 0.00%), (GOOGL, 2,385, 2.52%, 0.00%), (BRK/B, 1,035, 2.15%, 0.00%), (TSLA, 1,191, 2.10%, 0.00%), (GOOG, 1,943, 2.07%, 0.00%), (LIN, 889, 1.80%, 0.00%), (CSCO, 6,286, 1.79%, 0.00%), (JPM, 1,311, 1.73%, 0.00%), (XOM, 3,173, 1.51%, 0.00%), (AMT, 1,804, 1.47%, 0.00%), (V, 976, 1.41%, 0.00%), (ORCL, 934, 1.20%, 0.00%), (LLY, 374, 1.19%, 0.00%), (GE, 928, 1.16%, 0.00%), (CB, 996, 1.15%, 0.00%), (MA, 463, 1.14%, 0.00%), (WM, 1,115, 1.02%, 0.00%), (UNH, 695, 0.99%, 0.00%), (PLTR, 1,191, 0.91%, 0.00%), (NFLX, 174, 0.90%, 0.00%), (NEE, 2,865, 0.86%, 0.00%), (JNJ, 1,142, 0.85%, 0.00%), (WMT, 1,901, 0.82%, 0.00%), (CAT, 414, 0.80%, 0.00%), (CVX, 1,207, 0.80%, 0.00%), (PG, 1,201, 0.79%, 0.00%), (ABBV, 838, 0.79%, 0.00%), (COST, 194, 0.78%, 0.00%), (RTX, 1,142, 0.76%, 0.00%), (HD, 430, 0.76%, 0.00%), (ABT, 1,310, 0.75%, 0.00%), (MCD, 568, 0.73%, 0.00%), (BAC, 3,108, 0.68%, 0.00%), (KO, 2,172, 0.61%, 0.00%), (GS, 177, 0.60%, 0.00%), (PM, 871, 0.60%, 0.00%), (IBM, 537, 0.60%, 0.00%), (BKNG, 26, 0.60%, 0.00%), (SO, 1,527, 0.59%, 0.00%), (BA, 641, 0.58%, 0.00%), (AMD, 870, 0.58%, 0.00%), (CRM, 556, 0.58%, 0.00%), (UBER, 1,381, 0.57%, 0.00%), (NKE, 1,856, 0.56%, 0.00%), (DUK, 1,076, 0.55%, 0.00%), (WFC, 1,550, 0.55%, 0.00%), (ETN, 339, 0.53%, 0.00%), (MET, 1,545, 0.52%, 0.00%), (ISRG, 269, 0.50%, 0.00%), (HON, 558, 0.49%, 0.00%), (NOW, 120, 0.49%, 0.00%), (INTU, 163, 0.47%, 0.00%), (MS, 701, 0.47%, 0.00%), (PEP, 769, 0.46%, 0.00%), (T, 3,699, 0.45%, 0.00%), (AXP, 314, 0.45%, 0.00%), (DE, 218, 0.43%, 0.00%), (QCOM, 596, 0.42%, 0.00%), (MRK, 1,200, 0.41%, 0.00%), (VZ, 2,170, 0.40%, 0.00%), (BLK, 82, 0.40%, 0.00%), (ADBE, 256, 0.39%, 0.00%), (MDT, 969, 0.39%, 0.00%), (SPGI, 179, 0.38%, 0.00%), (C, 881, 0.38%, 0.00%), (TXN, 489, 0.37%, 0.00%), (UNP, 398, 0.37%, 0.00%), (ACN, 363, 0.37%, 0.00%), (TMO, 181, 0.37%, 0.00%), (COP, 934, 0.36%, 0.00%), (LMT, 181, 0.36%, 0.00%), (DIS, 739, 0.36%, 0.00%), (AMAT, 442, 0.35%, 0.00%), (SCHW, 844, 0.34%, 0.00%), (SBUX, 898, 0.32%, 0.00%), (MMM, 467, 0.31%, 0.00%), (AMGN, 255, 0.30%, 0.00%), (CVS, 950, 0.30%, 0.00%), (TJX, 488, 0.29%, 0.00%), (GILD, 591, 0.28%, 0.00%), (INTC, 2,313, 0.27%, 0.00%), (LOW, 245, 0.27%, 0.00%), (EMR, 489, 0.27%, 0.00%), (PFE, 2,688, 0.27%, 0.00%), (MO, 950, 0.26%, 0.00%), (DHR, 305, 0.25%, 0.00%), (ELV, 175, 0.23%, 0.00%), (CMCSA, 1,558, 0.21%, 0.00%), (MDLZ, 749, 0.20%, 0.00%), (BMY, 962, 0.18%, 0.00%), (UPS, 480, 0.17%, 0.00%), (PYPL, 566, 0.16%, 0.00%), (USB, 726, 0.15%, 0.00%), (FDX, 147, 0.14%, 0.00%), (CL, 417, 0.14%, 0.00%), (TGT, 202, 0.08%, 0.00%), (SC9061B, nan, nan%, 0.00%), (SC9063B, nan, nan%, 0.00%), (SP9062B, nan, nan%, 0.00%), (SP9065B, nan, nan%, 0.00%), (SP9064B, nan, nan%, 0.00%), (XP9065B, nan, nan%, 0.00%)</t>
  </si>
  <si>
    <t>(META, 853, 2.64%, 0.00%), (GOOGL, 2,287, 2.31%, 0.00%), (BRK/B, 993, 1.96%, 0.00%), (TSLA, 1,142, 1.91%, 0.00%), (GOOG, 1,863, 1.89%, 0.00%), (LIN, 853, 1.64%, 0.00%), (CSCO, 6,028, 1.64%, 0.00%), (JPM, 1,257, 1.58%, 0.00%), (XOM, 3,043, 1.38%, 0.00%), (AMT, 1,730, 1.34%, 0.00%), (V, 936, 1.28%, 0.00%), (ORCL, 896, 1.10%, 0.00%), (LLY, 358, 1.08%, 0.00%), (GE, 890, 1.06%, 0.00%), (CB, 955, 1.05%, 0.00%), (MA, 444, 1.04%, 0.00%), (WM, 1,070, 0.93%, 0.00%), (UNH, 667, 0.90%, 0.00%), (PLTR, 1,142, 0.82%, 0.00%), (NFLX, 167, 0.82%, 0.00%), (NEE, 2,748, 0.78%, 0.00%), (JNJ, 1,095, 0.77%, 0.00%), (WMT, 1,823, 0.75%, 0.00%), (CAT, 397, 0.73%, 0.00%), (CVX, 1,157, 0.73%, 0.00%), (PG, 1,152, 0.72%, 0.00%), (ABBV, 804, 0.72%, 0.00%), (COST, 186, 0.71%, 0.00%), (RTX, 1,095, 0.69%, 0.00%), (HD, 412, 0.69%, 0.00%), (ABT, 1,256, 0.68%, 0.00%), (MCD, 544, 0.66%, 0.00%), (BAC, 2,981, 0.62%, 0.00%), (KO, 2,083, 0.56%, 0.00%), (GS, 170, 0.55%, 0.00%), (PM, 836, 0.55%, 0.00%), (BKNG, 25, 0.55%, 0.00%), (IBM, 515, 0.55%, 0.00%), (SO, 1,464, 0.54%, 0.00%), (BA, 615, 0.53%, 0.00%), (AMD, 835, 0.53%, 0.00%), (CRM, 533, 0.53%, 0.00%), (UBER, 1,325, 0.52%, 0.00%), (NKE, 1,780, 0.51%, 0.00%), (DUK, 1,032, 0.50%, 0.00%), (WFC, 1,487, 0.50%, 0.00%), (ETN, 325, 0.49%, 0.00%), (MET, 1,482, 0.47%, 0.00%), (ISRG, 258, 0.45%, 0.00%), (HON, 535, 0.45%, 0.00%), (NOW, 115, 0.44%, 0.00%), (INTU, 156, 0.43%, 0.00%), (MS, 672, 0.43%, 0.00%), (PEP, 737, 0.42%, 0.00%), (T, 3,548, 0.41%, 0.00%), (AXP, 301, 0.41%, 0.00%), (DE, 209, 0.39%, 0.00%), (QCOM, 571, 0.38%, 0.00%), (MRK, 1,151, 0.38%, 0.00%), (VZ, 2,081, 0.36%, 0.00%), (BLK, 79, 0.36%, 0.00%), (MDT, 929, 0.35%, 0.00%), (ADBE, 245, 0.35%, 0.00%), (SPGI, 172, 0.35%, 0.00%), (C, 845, 0.35%, 0.00%), (TXN, 469, 0.34%, 0.00%), (UNP, 381, 0.34%, 0.00%), (TMO, 174, 0.33%, 0.00%), (ACN, 348, 0.33%, 0.00%), (COP, 896, 0.33%, 0.00%), (LMT, 174, 0.33%, 0.00%), (DIS, 709, 0.32%, 0.00%), (AMAT, 424, 0.31%, 0.00%), (SCHW, 810, 0.31%, 0.00%), (SBUX, 861, 0.29%, 0.00%), (MMM, 448, 0.28%, 0.00%), (AMGN, 244, 0.28%, 0.00%), (CVS, 911, 0.27%, 0.00%), (TJX, 468, 0.26%, 0.00%), (GILD, 567, 0.26%, 0.00%), (INTC, 2,218, 0.25%, 0.00%), (LOW, 235, 0.25%, 0.00%), (EMR, 469, 0.25%, 0.00%), (PFE, 2,577, 0.25%, 0.00%), (MO, 911, 0.24%, 0.00%), (DHR, 292, 0.22%, 0.00%), (ELV, 168, 0.21%, 0.00%), (CMCSA, 1,494, 0.19%, 0.00%), (MDLZ, 719, 0.18%, 0.00%), (BMY, 922, 0.17%, 0.00%), (UPS, 460, 0.16%, 0.00%), (PYPL, 543, 0.15%, 0.00%), (USB, 697, 0.14%, 0.00%), (FDX, 141, 0.13%, 0.00%), (CL, 400, 0.13%, 0.00%), (TGT, 193, 0.07%, 0.00%), (SC28781H, nan, nan%, 0.00%), (SC28783H, nan, nan%, 0.00%), (SP28782H, nan, nan%, 0.00%), (SP28785B, nan, nan%, 0.00%), (SP28784H, nan, nan%, 0.00%), (XP28785B, nan, nan%, 0.00%)</t>
  </si>
  <si>
    <t>(AVGO, 1,592, 3.54%, 0.00%), (META, 566, 2.82%, 0.00%), (GOOGL, 1,516, 2.46%, 0.00%), (BRK/B, 658, 2.09%, 0.00%), (TSLA, 757, 2.04%, 0.00%), (GOOG, 1,235, 2.01%, 0.00%), (LIN, 565, 1.74%, 0.00%), (CSCO, 3,996, 1.74%, 0.00%), (JPM, 833, 1.68%, 0.00%), (XOM, 2,017, 1.46%, 0.00%), (AMT, 1,147, 1.43%, 0.00%), (V, 620, 1.36%, 0.00%), (ORCL, 594, 1.17%, 0.00%), (LLY, 238, 1.15%, 0.00%), (GE, 590, 1.13%, 0.00%), (CB, 633, 1.12%, 0.00%), (MA, 294, 1.11%, 0.00%), (WM, 709, 0.99%, 0.00%), (UNH, 442, 0.96%, 0.00%), (NFLX, 111, 0.88%, 0.00%), (PLTR, 757, 0.88%, 0.00%), (NEE, 1,821, 0.83%, 0.00%), (JNJ, 726, 0.82%, 0.00%), (WMT, 1,208, 0.80%, 0.00%), (CVX, 767, 0.77%, 0.00%), (PG, 764, 0.77%, 0.00%), (CAT, 263, 0.77%, 0.00%), (ABBV, 533, 0.76%, 0.00%), (COST, 123, 0.75%, 0.00%), (RTX, 726, 0.74%, 0.00%), (HD, 273, 0.73%, 0.00%), (ABT, 833, 0.73%, 0.00%), (MCD, 361, 0.70%, 0.00%), (BAC, 1,976, 0.66%, 0.00%), (BKNG, 17, 0.60%, 0.00%), (KO, 1,381, 0.59%, 0.00%), (GS, 113, 0.59%, 0.00%), (PM, 554, 0.58%, 0.00%), (IBM, 342, 0.58%, 0.00%), (SO, 970, 0.57%, 0.00%), (BA, 408, 0.57%, 0.00%), (AMD, 553, 0.56%, 0.00%), (CRM, 353, 0.56%, 0.00%), (UBER, 878, 0.55%, 0.00%), (NKE, 1,180, 0.54%, 0.00%), (WFC, 986, 0.53%, 0.00%), (DUK, 684, 0.53%, 0.00%), (ETN, 216, 0.52%, 0.00%), (MET, 982, 0.50%, 0.00%), (ISRG, 171, 0.48%, 0.00%), (HON, 355, 0.48%, 0.00%), (NOW, 76, 0.47%, 0.00%), (INTU, 104, 0.46%, 0.00%), (MS, 445, 0.46%, 0.00%), (PEP, 489, 0.45%, 0.00%), (T, 2,352, 0.44%, 0.00%), (AXP, 200, 0.44%, 0.00%), (DE, 139, 0.42%, 0.00%), (QCOM, 379, 0.40%, 0.00%), (MRK, 763, 0.40%, 0.00%), (VZ, 1,380, 0.39%, 0.00%), (ADBE, 163, 0.38%, 0.00%), (BLK, 52, 0.38%, 0.00%), (MDT, 616, 0.38%, 0.00%), (SPGI, 114, 0.37%, 0.00%), (C, 560, 0.37%, 0.00%), (TXN, 311, 0.36%, 0.00%), (ACN, 231, 0.36%, 0.00%), (UNP, 253, 0.36%, 0.00%), (TMO, 115, 0.36%, 0.00%), (COP, 594, 0.35%, 0.00%), (LMT, 115, 0.35%, 0.00%), (DIS, 470, 0.34%, 0.00%), (AMAT, 281, 0.33%, 0.00%), (SCHW, 537, 0.33%, 0.00%), (SBUX, 571, 0.31%, 0.00%), (MMM, 297, 0.30%, 0.00%), (AMGN, 162, 0.30%, 0.00%), (CVS, 604, 0.29%, 0.00%), (TJX, 310, 0.28%, 0.00%), (GILD, 376, 0.28%, 0.00%), (INTC, 1,471, 0.27%, 0.00%), (LOW, 156, 0.27%, 0.00%), (EMR, 311, 0.27%, 0.00%), (PFE, 1,709, 0.26%, 0.00%), (MO, 604, 0.25%, 0.00%), (DHR, 194, 0.24%, 0.00%), (ELV, 111, 0.22%, 0.00%), (CMCSA, 990, 0.20%, 0.00%), (MDLZ, 476, 0.19%, 0.00%), (BMY, 611, 0.18%, 0.00%), (UPS, 305, 0.17%, 0.00%), (PYPL, 360, 0.16%, 0.00%), (USB, 462, 0.15%, 0.00%), (FDX, 94, 0.14%, 0.00%), (CL, 265, 0.14%, 0.00%), (TGT, 128, 0.07%, 0.00%), (SC8071B, nan, nan%, 0.00%), (SC8073B, nan, nan%, 0.00%), (SP8072B, nan, nan%, 0.00%), (SP8075B, nan, nan%, 0.00%), (SP8074B, nan, nan%, 0.00%), (XP8075B, nan, nan%, 0.00%)</t>
  </si>
  <si>
    <t>(META, 5,884, 2.70%, 0.00%), (GOOGL, 15,772, 2.35%, 0.00%), (BRK/B, 6,846, 2.00%, 0.00%), (TSLA, 7,874, 1.95%, 0.00%), (GOOG, 12,846, 1.92%, 0.00%), (LIN, 5,881, 1.67%, 0.00%), (CSCO, 41,568, 1.67%, 0.00%), (JPM, 8,669, 1.61%, 0.00%), (XOM, 20,983, 1.40%, 0.00%), (AMT, 11,931, 1.37%, 0.00%), (V, 6,454, 1.31%, 0.00%), (ORCL, 6,176, 1.12%, 0.00%), (LLY, 2,471, 1.10%, 0.00%), (GE, 6,140, 1.08%, 0.00%), (CB, 6,585, 1.07%, 0.00%), (MA, 3,061, 1.06%, 0.00%), (WM, 7,376, 0.95%, 0.00%), (UNH, 4,596, 0.92%, 0.00%), (PLTR, 7,877, 0.84%, 0.00%), (NFLX, 1,154, 0.83%, 0.00%), (NEE, 18,947, 0.80%, 0.00%), (JNJ, 7,551, 0.79%, 0.00%), (WMT, 12,569, 0.76%, 0.00%), (CAT, 2,739, 0.74%, 0.00%), (CVX, 7,979, 0.74%, 0.00%), (PG, 7,945, 0.74%, 0.00%), (ABBV, 5,542, 0.73%, 0.00%), (COST, 1,283, 0.72%, 0.00%), (RTX, 7,551, 0.71%, 0.00%), (HD, 2,841, 0.70%, 0.00%), (ABT, 8,662, 0.70%, 0.00%), (MCD, 3,754, 0.67%, 0.00%), (BAC, 20,554, 0.63%, 0.00%), (KO, 14,365, 0.57%, 0.00%), (BKNG, 173, 0.56%, 0.00%), (PM, 5,761, 0.56%, 0.00%), (GS, 1,172, 0.56%, 0.00%), (IBM, 3,553, 0.55%, 0.00%), (SO, 10,095, 0.55%, 0.00%), (BA, 4,241, 0.54%, 0.00%), (AMD, 5,756, 0.54%, 0.00%), (CRM, 3,674, 0.54%, 0.00%), (UBER, 9,134, 0.53%, 0.00%), (NKE, 12,272, 0.52%, 0.00%), (DUK, 7,117, 0.51%, 0.00%), (WFC, 10,252, 0.51%, 0.00%), (ETN, 2,242, 0.50%, 0.00%), (MET, 10,216, 0.48%, 0.00%), (ISRG, 1,779, 0.46%, 0.00%), (HON, 3,689, 0.46%, 0.00%), (NOW, 792, 0.45%, 0.00%), (MS, 4,633, 0.44%, 0.00%), (INTU, 1,077, 0.43%, 0.00%), (PEP, 5,084, 0.43%, 0.00%), (T, 24,462, 0.42%, 0.00%), (AXP, 2,079, 0.42%, 0.00%), (DE, 1,443, 0.40%, 0.00%), (QCOM, 3,940, 0.39%, 0.00%), (MRK, 7,933, 0.38%, 0.00%), (VZ, 14,351, 0.37%, 0.00%), (BLK, 544, 0.37%, 0.00%), (ADBE, 1,692, 0.36%, 0.00%), (MDT, 6,405, 0.36%, 0.00%), (SPGI, 1,186, 0.36%, 0.00%), (C, 5,823, 0.35%, 0.00%), (TXN, 3,235, 0.34%, 0.00%), (UNP, 2,630, 0.34%, 0.00%), (TMO, 1,200, 0.34%, 0.00%), (ACN, 2,401, 0.34%, 0.00%), (COP, 6,176, 0.34%, 0.00%), (LMT, 1,197, 0.34%, 0.00%), (DIS, 4,888, 0.33%, 0.00%), (AMAT, 2,924, 0.32%, 0.00%), (SCHW, 5,583, 0.31%, 0.00%), (SBUX, 5,938, 0.30%, 0.00%), (MMM, 3,089, 0.29%, 0.00%), (AMGN, 1,686, 0.28%, 0.00%), (CVS, 6,285, 0.28%, 0.00%), (TJX, 3,225, 0.27%, 0.00%), (GILD, 3,909, 0.26%, 0.00%), (INTC, 15,297, 0.26%, 0.00%), (LOW, 1,622, 0.26%, 0.00%), (EMR, 3,235, 0.25%, 0.00%), (PFE, 17,773, 0.25%, 0.00%), (MO, 6,280, 0.24%, 0.00%), (DHR, 2,016, 0.23%, 0.00%), (ELV, 1,158, 0.22%, 0.00%), (CMCSA, 10,303, 0.19%, 0.00%), (MDLZ, 4,955, 0.19%, 0.00%), (BMY, 6,361, 0.17%, 0.00%), (UPS, 3,172, 0.16%, 0.00%), (PYPL, 3,744, 0.15%, 0.00%), (USB, 4,803, 0.14%, 0.00%), (FDX, 975, 0.13%, 0.00%), (CL, 2,756, 0.13%, 0.00%), (TGT, 1,334, 0.07%, 0.00%), (SC26771B, nan, nan%, 0.00%), (SC26773B, nan, nan%, 0.00%), (SP26772B, nan, nan%, 0.00%), (SP26774B, nan, nan%, 0.00%), (SP26775T, nan, nan%, 0.00%), (XP26775T, nan, nan%, 0.00%)</t>
  </si>
  <si>
    <t>(AVGO, 14,341, 3.61%, 0.00%), (META, 5,094, 2.86%, 0.00%), (GOOGL, 13,654, 2.50%, 0.00%), (BRK/B, 5,927, 2.13%, 0.00%), (TSLA, 6,817, 2.07%, 0.00%), (GOOG, 11,122, 2.04%, 0.00%), (LIN, 5,091, 1.78%, 0.00%), (CSCO, 35,987, 1.77%, 0.00%), (JPM, 7,505, 1.71%, 0.00%), (XOM, 18,166, 1.49%, 0.00%), (AMT, 10,329, 1.46%, 0.00%), (V, 5,588, 1.39%, 0.00%), (ORCL, 5,347, 1.19%, 0.00%), (LLY, 2,139, 1.17%, 0.00%), (GE, 5,315, 1.15%, 0.00%), (CB, 5,700, 1.14%, 0.00%), (MA, 2,650, 1.13%, 0.00%), (WM, 6,385, 1.01%, 0.00%), (UNH, 3,979, 0.98%, 0.00%), (PLTR, 6,819, 0.89%, 0.00%), (NFLX, 999, 0.89%, 0.00%), (NEE, 16,403, 0.85%, 0.00%), (JNJ, 6,537, 0.84%, 0.00%), (WMT, 10,882, 0.81%, 0.00%), (CAT, 2,371, 0.79%, 0.00%), (CVX, 6,908, 0.79%, 0.00%), (PG, 6,878, 0.78%, 0.00%), (ABBV, 4,798, 0.78%, 0.00%), (COST, 1,111, 0.77%, 0.00%), (RTX, 6,537, 0.75%, 0.00%), (HD, 2,459, 0.75%, 0.00%), (ABT, 7,499, 0.74%, 0.00%), (MCD, 3,250, 0.72%, 0.00%), (BAC, 17,795, 0.67%, 0.00%), (KO, 12,437, 0.60%, 0.00%), (BKNG, 150, 0.60%, 0.00%), (PM, 4,988, 0.59%, 0.00%), (GS, 1,015, 0.59%, 0.00%), (IBM, 3,076, 0.59%, 0.00%), (SO, 8,740, 0.58%, 0.00%), (BA, 3,671, 0.58%, 0.00%), (AMD, 4,983, 0.57%, 0.00%), (CRM, 3,181, 0.57%, 0.00%), (UBER, 7,908, 0.56%, 0.00%), (NKE, 10,625, 0.55%, 0.00%), (DUK, 6,162, 0.54%, 0.00%), (WFC, 8,875, 0.54%, 0.00%), (ETN, 1,941, 0.53%, 0.00%), (MET, 8,844, 0.51%, 0.00%), (ISRG, 1,540, 0.49%, 0.00%), (HON, 3,193, 0.49%, 0.00%), (NOW, 685, 0.47%, 0.00%), (MS, 4,011, 0.46%, 0.00%), (INTU, 932, 0.46%, 0.00%), (PEP, 4,401, 0.45%, 0.00%), (T, 21,178, 0.45%, 0.00%), (AXP, 1,799, 0.44%, 0.00%), (DE, 1,250, 0.43%, 0.00%), (QCOM, 3,411, 0.41%, 0.00%), (MRK, 6,868, 0.41%, 0.00%), (VZ, 12,425, 0.39%, 0.00%), (BLK, 471, 0.39%, 0.00%), (ADBE, 1,464, 0.39%, 0.00%), (MDT, 5,545, 0.38%, 0.00%), (SPGI, 1,027, 0.38%, 0.00%), (C, 5,042, 0.37%, 0.00%), (TXN, 2,801, 0.37%, 0.00%), (UNP, 2,277, 0.36%, 0.00%), (TMO, 1,039, 0.36%, 0.00%), (ACN, 2,079, 0.36%, 0.00%), (COP, 5,347, 0.36%, 0.00%), (LMT, 1,036, 0.36%, 0.00%), (DIS, 4,232, 0.35%, 0.00%), (AMAT, 2,531, 0.34%, 0.00%), (SCHW, 4,834, 0.33%, 0.00%), (SBUX, 5,141, 0.31%, 0.00%), (MMM, 2,674, 0.31%, 0.00%), (AMGN, 1,459, 0.30%, 0.00%), (CVS, 5,441, 0.30%, 0.00%), (TJX, 2,792, 0.28%, 0.00%), (GILD, 3,384, 0.28%, 0.00%), (LOW, 1,404, 0.27%, 0.00%), (INTC, 13,243, 0.27%, 0.00%), (EMR, 2,800, 0.27%, 0.00%), (PFE, 15,387, 0.27%, 0.00%), (MO, 5,437, 0.26%, 0.00%), (DHR, 1,745, 0.24%, 0.00%), (ELV, 1,003, 0.23%, 0.00%), (CMCSA, 8,920, 0.21%, 0.00%), (MDLZ, 4,289, 0.20%, 0.00%), (BMY, 5,507, 0.18%, 0.00%), (UPS, 2,747, 0.17%, 0.00%), (PYPL, 3,242, 0.16%, 0.00%), (USB, 4,159, 0.15%, 0.00%), (FDX, 844, 0.14%, 0.00%), (CL, 2,386, 0.14%, 0.00%), (TGT, 1,155, 0.07%, 0.00%), (SC23471B, nan, nan%, 0.00%), (SC23473B, nan, nan%, 0.00%), (SP23472B, nan, nan%, 0.00%), (SP23475B, nan, nan%, 0.00%), (SP23474B, nan, nan%, 0.00%), (XP23475B, nan, nan%, 0.00%)</t>
  </si>
  <si>
    <t>(AVGO, 10,686, 3.60%, 0.00%), (META, 3,796, 2.86%, 0.00%), (GOOGL, 10,175, 2.50%, 0.00%), (BRK/B, 4,416, 2.13%, 0.00%), (TSLA, 5,080, 2.07%, 0.00%), (GOOG, 8,287, 2.04%, 0.00%), (LIN, 3,794, 1.78%, 0.00%), (CSCO, 26,816, 1.77%, 0.00%), (JPM, 5,592, 1.71%, 0.00%), (XOM, 13,537, 1.49%, 0.00%), (AMT, 7,697, 1.46%, 0.00%), (V, 4,164, 1.39%, 0.00%), (ORCL, 3,984, 1.18%, 0.00%), (LLY, 1,594, 1.17%, 0.00%), (GE, 3,961, 1.15%, 0.00%), (CB, 4,248, 1.14%, 0.00%), (MA, 1,975, 1.13%, 0.00%), (WM, 4,758, 1.01%, 0.00%), (UNH, 2,965, 0.98%, 0.00%), (PLTR, 5,082, 0.89%, 0.00%), (NFLX, 744, 0.89%, 0.00%), (NEE, 12,223, 0.85%, 0.00%), (JNJ, 4,871, 0.84%, 0.00%), (WMT, 8,109, 0.81%, 0.00%), (CAT, 1,767, 0.79%, 0.00%), (CVX, 5,148, 0.79%, 0.00%), (PG, 5,125, 0.78%, 0.00%), (ABBV, 3,575, 0.78%, 0.00%), (COST, 828, 0.77%, 0.00%), (RTX, 4,871, 0.75%, 0.00%), (HD, 1,833, 0.75%, 0.00%), (ABT, 5,588, 0.74%, 0.00%), (MCD, 2,422, 0.72%, 0.00%), (BAC, 13,260, 0.67%, 0.00%), (KO, 9,267, 0.60%, 0.00%), (BKNG, 112, 0.60%, 0.00%), (PM, 3,717, 0.59%, 0.00%), (GS, 756, 0.59%, 0.00%), (IBM, 2,292, 0.59%, 0.00%), (SO, 6,513, 0.58%, 0.00%), (BA, 2,736, 0.58%, 0.00%), (AMD, 3,713, 0.57%, 0.00%), (CRM, 2,370, 0.57%, 0.00%), (UBER, 5,893, 0.56%, 0.00%), (NKE, 7,917, 0.55%, 0.00%), (DUK, 4,591, 0.54%, 0.00%), (WFC, 6,614, 0.54%, 0.00%), (ETN, 1,446, 0.53%, 0.00%), (MET, 6,591, 0.51%, 0.00%), (ISRG, 1,148, 0.49%, 0.00%), (HON, 2,380, 0.49%, 0.00%), (NOW, 511, 0.48%, 0.00%), (MS, 2,989, 0.46%, 0.00%), (INTU, 695, 0.46%, 0.00%), (PEP, 3,280, 0.45%, 0.00%), (T, 15,781, 0.45%, 0.00%), (AXP, 1,341, 0.44%, 0.00%), (DE, 931, 0.43%, 0.00%), (QCOM, 2,542, 0.41%, 0.00%), (MRK, 5,118, 0.41%, 0.00%), (VZ, 9,258, 0.39%, 0.00%), (BLK, 351, 0.39%, 0.00%), (ADBE, 1,091, 0.39%, 0.00%), (MDT, 4,132, 0.38%, 0.00%), (SPGI, 765, 0.38%, 0.00%), (C, 3,757, 0.37%, 0.00%), (TXN, 2,087, 0.37%, 0.00%), (UNP, 1,697, 0.36%, 0.00%), (TMO, 774, 0.36%, 0.00%), (ACN, 1,549, 0.36%, 0.00%), (COP, 3,984, 0.36%, 0.00%), (LMT, 772, 0.36%, 0.00%), (DIS, 3,153, 0.35%, 0.00%), (AMAT, 1,886, 0.34%, 0.00%), (SCHW, 3,602, 0.33%, 0.00%), (SBUX, 3,831, 0.31%, 0.00%), (MMM, 1,993, 0.31%, 0.00%), (AMGN, 1,088, 0.30%, 0.00%), (CVS, 4,054, 0.30%, 0.00%), (TJX, 2,081, 0.28%, 0.00%), (GILD, 2,521, 0.28%, 0.00%), (LOW, 1,047, 0.27%, 0.00%), (INTC, 9,868, 0.27%, 0.00%), (EMR, 2,087, 0.27%, 0.00%), (PFE, 11,466, 0.27%, 0.00%), (MO, 4,051, 0.26%, 0.00%), (DHR, 1,301, 0.24%, 0.00%), (ELV, 747, 0.23%, 0.00%), (CMCSA, 6,647, 0.21%, 0.00%), (MDLZ, 3,196, 0.20%, 0.00%), (BMY, 4,103, 0.18%, 0.00%), (UPS, 2,047, 0.17%, 0.00%), (PYPL, 2,416, 0.16%, 0.00%), (USB, 3,099, 0.15%, 0.00%), (FDX, 629, 0.14%, 0.00%), (CL, 1,778, 0.14%, 0.00%), (TGT, 861, 0.07%, 0.00%), (SC22171B, nan, nan%, 0.00%), (SC22173B, nan, nan%, 0.00%), (SP22172B, nan, nan%, 0.00%), (SP22175B, nan, nan%, 0.00%), (SP22174B, nan, nan%, 0.00%), (XP22175B, nan, nan%, 0.00%)</t>
  </si>
  <si>
    <t>(AVGO, 4,054, 3.44%, 0.00%), (META, 1,440, 2.74%, 0.00%), (GOOGL, 3,860, 2.39%, 0.00%), (BRK/B, 1,675, 2.03%, 0.00%), (TSLA, 1,927, 1.98%, 0.00%), (GOOG, 3,144, 1.95%, 0.00%), (LIN, 1,439, 1.69%, 0.00%), (CSCO, 10,173, 1.69%, 0.00%), (JPM, 2,121, 1.63%, 0.00%), (XOM, 5,135, 1.42%, 0.00%), (AMT, 2,920, 1.39%, 0.00%), (V, 1,580, 1.32%, 0.00%), (ORCL, 1,512, 1.13%, 0.00%), (LLY, 605, 1.12%, 0.00%), (GE, 1,503, 1.10%, 0.00%), (CB, 1,611, 1.08%, 0.00%), (MA, 749, 1.07%, 0.00%), (WM, 1,805, 0.96%, 0.00%), (UNH, 1,125, 0.93%, 0.00%), (PLTR, 1,928, 0.85%, 0.00%), (NFLX, 282, 0.84%, 0.00%), (NEE, 4,637, 0.81%, 0.00%), (JNJ, 1,848, 0.80%, 0.00%), (WMT, 3,076, 0.77%, 0.00%), (CAT, 670, 0.76%, 0.00%), (CVX, 1,953, 0.75%, 0.00%), (PG, 1,944, 0.75%, 0.00%), (ABBV, 1,356, 0.74%, 0.00%), (COST, 314, 0.73%, 0.00%), (RTX, 1,848, 0.72%, 0.00%), (HD, 695, 0.71%, 0.00%), (ABT, 2,120, 0.71%, 0.00%), (MCD, 919, 0.68%, 0.00%), (BAC, 5,030, 0.64%, 0.00%), (KO, 3,516, 0.57%, 0.00%), (PM, 1,410, 0.56%, 0.00%), (IBM, 870, 0.56%, 0.00%), (BKNG, 42, 0.56%, 0.00%), (GS, 287, 0.56%, 0.00%), (SO, 2,471, 0.56%, 0.00%), (BA, 1,038, 0.55%, 0.00%), (AMD, 1,409, 0.54%, 0.00%), (CRM, 899, 0.54%, 0.00%), (UBER, 2,235, 0.54%, 0.00%), (NKE, 3,003, 0.52%, 0.00%), (WFC, 2,509, 0.52%, 0.00%), (DUK, 1,742, 0.52%, 0.00%), (ETN, 549, 0.50%, 0.00%), (MET, 2,500, 0.49%, 0.00%), (ISRG, 435, 0.47%, 0.00%), (HON, 903, 0.46%, 0.00%), (NOW, 194, 0.46%, 0.00%), (MS, 1,134, 0.44%, 0.00%), (INTU, 264, 0.44%, 0.00%), (PEP, 1,244, 0.43%, 0.00%), (T, 5,987, 0.43%, 0.00%), (AXP, 509, 0.42%, 0.00%), (DE, 353, 0.41%, 0.00%), (QCOM, 964, 0.39%, 0.00%), (MRK, 1,942, 0.39%, 0.00%), (VZ, 3,512, 0.38%, 0.00%), (BLK, 133, 0.37%, 0.00%), (ADBE, 414, 0.37%, 0.00%), (MDT, 1,567, 0.37%, 0.00%), (SPGI, 290, 0.36%, 0.00%), (C, 1,425, 0.36%, 0.00%), (TXN, 792, 0.35%, 0.00%), (UNP, 644, 0.35%, 0.00%), (TMO, 294, 0.35%, 0.00%), (ACN, 588, 0.35%, 0.00%), (COP, 1,511, 0.34%, 0.00%), (LMT, 293, 0.34%, 0.00%), (DIS, 1,196, 0.33%, 0.00%), (AMAT, 716, 0.32%, 0.00%), (SCHW, 1,366, 0.32%, 0.00%), (SBUX, 1,453, 0.30%, 0.00%), (MMM, 756, 0.29%, 0.00%), (AMGN, 413, 0.29%, 0.00%), (CVS, 1,538, 0.28%, 0.00%), (TJX, 789, 0.27%, 0.00%), (GILD, 957, 0.27%, 0.00%), (INTC, 3,744, 0.26%, 0.00%), (LOW, 397, 0.26%, 0.00%), (EMR, 792, 0.26%, 0.00%), (PFE, 4,350, 0.26%, 0.00%), (MO, 1,537, 0.25%, 0.00%), (DHR, 493, 0.23%, 0.00%), (ELV, 283, 0.22%, 0.00%), (CMCSA, 2,522, 0.20%, 0.00%), (MDLZ, 1,213, 0.19%, 0.00%), (BMY, 1,557, 0.17%, 0.00%), (UPS, 776, 0.16%, 0.00%), (PYPL, 916, 0.15%, 0.00%), (USB, 1,176, 0.15%, 0.00%), (FDX, 239, 0.14%, 0.00%), (CL, 675, 0.13%, 0.00%), (TGT, 326, 0.07%, 0.00%), (SC28181B, nan, nan%, 0.00%), (SC28183B, nan, nan%, 0.00%), (SP28182B, nan, nan%, 0.00%), (SP28185B, nan, nan%, 0.00%), (SP28184B, nan, nan%, 0.00%), (XP28185B, nan, nan%, 0.00%)</t>
  </si>
  <si>
    <t>(AVGO, 4,409, 3.47%, 0.00%), (META, 1,566, 2.76%, 0.00%), (GOOGL, 4,198, 2.41%, 0.00%), (BRK/B, 1,822, 2.05%, 0.00%), (TSLA, 2,096, 2.00%, 0.00%), (GOOG, 3,420, 1.97%, 0.00%), (LIN, 1,565, 1.71%, 0.00%), (CSCO, 11,065, 1.71%, 0.00%), (JPM, 2,308, 1.65%, 0.00%), (XOM, 5,586, 1.43%, 0.00%), (AMT, 3,176, 1.40%, 0.00%), (V, 1,718, 1.34%, 0.00%), (ORCL, 1,644, 1.14%, 0.00%), (LLY, 658, 1.13%, 0.00%), (GE, 1,634, 1.10%, 0.00%), (CB, 1,753, 1.09%, 0.00%), (MA, 815, 1.08%, 0.00%), (WM, 1,963, 0.97%, 0.00%), (UNH, 1,223, 0.94%, 0.00%), (PLTR, 2,097, 0.86%, 0.00%), (NFLX, 307, 0.85%, 0.00%), (NEE, 5,043, 0.82%, 0.00%), (JNJ, 2,010, 0.81%, 0.00%), (WMT, 3,346, 0.78%, 0.00%), (CAT, 729, 0.76%, 0.00%), (CVX, 2,124, 0.76%, 0.00%), (PG, 2,115, 0.75%, 0.00%), (ABBV, 1,475, 0.75%, 0.00%), (COST, 342, 0.74%, 0.00%), (RTX, 2,010, 0.72%, 0.00%), (HD, 756, 0.72%, 0.00%), (ABT, 2,306, 0.71%, 0.00%), (MCD, 999, 0.69%, 0.00%), (BAC, 5,471, 0.65%, 0.00%), (KO, 3,824, 0.58%, 0.00%), (BKNG, 46, 0.57%, 0.00%), (PM, 1,534, 0.57%, 0.00%), (IBM, 946, 0.57%, 0.00%), (GS, 312, 0.57%, 0.00%), (SO, 2,687, 0.56%, 0.00%), (BA, 1,129, 0.55%, 0.00%), (AMD, 1,532, 0.55%, 0.00%), (CRM, 978, 0.55%, 0.00%), (UBER, 2,431, 0.54%, 0.00%), (NKE, 3,267, 0.53%, 0.00%), (DUK, 1,895, 0.52%, 0.00%), (WFC, 2,729, 0.52%, 0.00%), (ETN, 597, 0.51%, 0.00%), (MET, 2,719, 0.49%, 0.00%), (ISRG, 473, 0.47%, 0.00%), (HON, 982, 0.47%, 0.00%), (NOW, 211, 0.46%, 0.00%), (MS, 1,233, 0.45%, 0.00%), (INTU, 287, 0.44%, 0.00%), (PEP, 1,353, 0.44%, 0.00%), (T, 6,512, 0.43%, 0.00%), (AXP, 553, 0.43%, 0.00%), (DE, 384, 0.41%, 0.00%), (QCOM, 1,049, 0.40%, 0.00%), (MRK, 2,112, 0.39%, 0.00%), (VZ, 3,820, 0.38%, 0.00%), (BLK, 145, 0.38%, 0.00%), (ADBE, 450, 0.37%, 0.00%), (MDT, 1,705, 0.37%, 0.00%), (SPGI, 316, 0.36%, 0.00%), (C, 1,550, 0.36%, 0.00%), (TXN, 861, 0.35%, 0.00%), (UNP, 700, 0.35%, 0.00%), (ACN, 639, 0.35%, 0.00%), (TMO, 319, 0.35%, 0.00%), (COP, 1,644, 0.34%, 0.00%), (LMT, 319, 0.34%, 0.00%), (DIS, 1,301, 0.34%, 0.00%), (AMAT, 778, 0.33%, 0.00%), (SCHW, 1,486, 0.32%, 0.00%), (SBUX, 1,581, 0.30%, 0.00%), (MMM, 822, 0.29%, 0.00%), (AMGN, 449, 0.29%, 0.00%), (CVS, 1,673, 0.29%, 0.00%), (TJX, 859, 0.27%, 0.00%), (GILD, 1,040, 0.27%, 0.00%), (INTC, 4,072, 0.26%, 0.00%), (LOW, 432, 0.26%, 0.00%), (EMR, 861, 0.26%, 0.00%), (PFE, 4,731, 0.26%, 0.00%), (MO, 1,672, 0.25%, 0.00%), (DHR, 537, 0.24%, 0.00%), (ELV, 308, 0.22%, 0.00%), (CMCSA, 2,743, 0.20%, 0.00%), (MDLZ, 1,319, 0.19%, 0.00%), (BMY, 1,693, 0.17%, 0.00%), (UPS, 844, 0.16%, 0.00%), (PYPL, 997, 0.15%, 0.00%), (USB, 1,279, 0.15%, 0.00%), (FDX, 260, 0.14%, 0.00%), (CL, 734, 0.14%, 0.00%), (TGT, 355, 0.07%, 0.00%), (SC13481B, nan, nan%, 0.00%), (SC13483B, nan, nan%, 0.00%), (SP13482B, nan, nan%, 0.00%), (SP13485B, nan, nan%, 0.00%), (SP13484B, nan, nan%, 0.00%), (XP13485B, nan, nan%, 0.00%)</t>
  </si>
  <si>
    <t>(AVGO, 8,288, 3.59%, 0.00%), (META, 2,944, 2.86%, 0.00%), (GOOGL, 7,891, 2.49%, 0.00%), (BRK/B, 3,425, 2.12%, 0.00%), (TSLA, 3,940, 2.07%, 0.00%), (GOOG, 6,428, 2.04%, 0.00%), (LIN, 2,943, 1.77%, 0.00%), (CSCO, 20,798, 1.77%, 0.00%), (JPM, 4,337, 1.70%, 0.00%), (XOM, 10,499, 1.48%, 0.00%), (AMT, 5,970, 1.45%, 0.00%), (V, 3,229, 1.38%, 0.00%), (ORCL, 3,090, 1.18%, 0.00%), (LLY, 1,236, 1.17%, 0.00%), (GE, 3,072, 1.14%, 0.00%), (CB, 3,295, 1.13%, 0.00%), (MA, 1,532, 1.12%, 0.00%), (WM, 3,690, 1.00%, 0.00%), (UNH, 2,300, 0.97%, 0.00%), (PLTR, 3,941, 0.89%, 0.00%), (NFLX, 577, 0.88%, 0.00%), (NEE, 9,480, 0.85%, 0.00%), (JNJ, 3,778, 0.84%, 0.00%), (WMT, 6,289, 0.81%, 0.00%), (CAT, 1,370, 0.79%, 0.00%), (CVX, 3,992, 0.78%, 0.00%), (PG, 3,975, 0.78%, 0.00%), (ABBV, 2,773, 0.77%, 0.00%), (COST, 642, 0.77%, 0.00%), (RTX, 3,778, 0.75%, 0.00%), (HD, 1,421, 0.74%, 0.00%), (ABT, 4,334, 0.74%, 0.00%), (MCD, 1,878, 0.71%, 0.00%), (BAC, 10,284, 0.67%, 0.00%), (KO, 7,188, 0.60%, 0.00%), (BKNG, 87, 0.59%, 0.00%), (GS, 587, 0.59%, 0.00%), (PM, 2,883, 0.59%, 0.00%), (IBM, 1,778, 0.59%, 0.00%), (SO, 5,051, 0.58%, 0.00%), (BA, 2,122, 0.57%, 0.00%), (AMD, 2,880, 0.57%, 0.00%), (CRM, 1,838, 0.57%, 0.00%), (UBER, 4,570, 0.56%, 0.00%), (NKE, 6,141, 0.55%, 0.00%), (DUK, 3,561, 0.54%, 0.00%), (WFC, 5,129, 0.54%, 0.00%), (ETN, 1,122, 0.53%, 0.00%), (MET, 5,112, 0.51%, 0.00%), (ISRG, 890, 0.49%, 0.00%), (HON, 1,846, 0.49%, 0.00%), (NOW, 396, 0.47%, 0.00%), (MS, 2,318, 0.46%, 0.00%), (INTU, 539, 0.46%, 0.00%), (PEP, 2,544, 0.45%, 0.00%), (T, 12,240, 0.45%, 0.00%), (AXP, 1,040, 0.44%, 0.00%), (DE, 722, 0.43%, 0.00%), (QCOM, 1,972, 0.41%, 0.00%), (MRK, 3,969, 0.41%, 0.00%), (VZ, 7,181, 0.39%, 0.00%), (BLK, 272, 0.39%, 0.00%), (ADBE, 846, 0.38%, 0.00%), (MDT, 3,205, 0.38%, 0.00%), (SPGI, 593, 0.38%, 0.00%), (C, 2,914, 0.37%, 0.00%), (TXN, 1,619, 0.36%, 0.00%), (UNP, 1,316, 0.36%, 0.00%), (TMO, 600, 0.36%, 0.00%), (ACN, 1,201, 0.36%, 0.00%), (COP, 3,090, 0.36%, 0.00%), (LMT, 599, 0.36%, 0.00%), (DIS, 2,446, 0.35%, 0.00%), (AMAT, 1,463, 0.34%, 0.00%), (SCHW, 2,794, 0.33%, 0.00%), (SBUX, 2,971, 0.31%, 0.00%), (MMM, 1,546, 0.30%, 0.00%), (AMGN, 843, 0.30%, 0.00%), (CVS, 3,144, 0.30%, 0.00%), (TJX, 1,614, 0.28%, 0.00%), (GILD, 1,956, 0.28%, 0.00%), (INTC, 7,654, 0.27%, 0.00%), (LOW, 812, 0.27%, 0.00%), (EMR, 1,618, 0.27%, 0.00%), (PFE, 8,893, 0.27%, 0.00%), (MO, 3,142, 0.26%, 0.00%), (DHR, 1,009, 0.24%, 0.00%), (ELV, 580, 0.23%, 0.00%), (CMCSA, 5,155, 0.20%, 0.00%), (MDLZ, 2,479, 0.20%, 0.00%), (BMY, 3,183, 0.18%, 0.00%), (UPS, 1,587, 0.17%, 0.00%), (PYPL, 1,873, 0.16%, 0.00%), (USB, 2,403, 0.15%, 0.00%), (FDX, 488, 0.14%, 0.00%), (CL, 1,379, 0.14%, 0.00%), (TGT, 667, 0.07%, 0.00%), (SC26771B, nan, nan%, 0.00%), (SC26773B, nan, nan%, 0.00%), (SP26772B, nan, nan%, 0.00%), (SP26775B, nan, nan%, 0.00%), (SP26774B, nan, nan%, 0.00%), (XP26775B, nan, nan%, 0.00%)</t>
  </si>
  <si>
    <t>* To be classified as a diversified company under the 1940 Act, at least 75% of the value of the fund's total assets must be invested in:</t>
  </si>
  <si>
    <t>* 1) cash and cash items (including receivables),</t>
  </si>
  <si>
    <t>* 2) government securities,</t>
  </si>
  <si>
    <t>* 3) securities of other investment companies, and</t>
  </si>
  <si>
    <t>* 4) other securities</t>
  </si>
  <si>
    <t xml:space="preserve">* </t>
  </si>
  <si>
    <t>* Compliance Conditions:</t>
  </si>
  <si>
    <t>* Condition 40 Act 1: 75% of the fund must be invested in diversified assets.</t>
  </si>
  <si>
    <t>* Condition 40 Act 2a: No single issuer in the 75% can exceed 5% of total assets.</t>
  </si>
  <si>
    <t>* Condition 40 Act 2b: No single issuer in the 75% can exceed 10% of the issuer's voting securities.</t>
  </si>
  <si>
    <t>condition_IRS_1</t>
  </si>
  <si>
    <t>condition_IRS_2_a_50</t>
  </si>
  <si>
    <t>condition_IRS_2_a_5</t>
  </si>
  <si>
    <t>condition_IRS_2_a_10</t>
  </si>
  <si>
    <t>condition_IRS_2_b</t>
  </si>
  <si>
    <t>total_assets</t>
  </si>
  <si>
    <t>qualifying_assets_value</t>
  </si>
  <si>
    <t>expenses</t>
  </si>
  <si>
    <t>five_pct_gross_assets</t>
  </si>
  <si>
    <t>sum_large_securities_weights</t>
  </si>
  <si>
    <t>large_securities_count</t>
  </si>
  <si>
    <t>large_securities</t>
  </si>
  <si>
    <t>bottom_50_largest_holding</t>
  </si>
  <si>
    <t>bottom_50_second_largest_holding</t>
  </si>
  <si>
    <t>FAIL</t>
  </si>
  <si>
    <t>PASS</t>
  </si>
  <si>
    <t>N/A (0.00%)</t>
  </si>
  <si>
    <t>PCAR (1.83%)</t>
  </si>
  <si>
    <t>CRM (1.82%)</t>
  </si>
  <si>
    <t>(NVDA, 7.59%), (MSFT, 7.11%), (AAPL, 6.06%)</t>
  </si>
  <si>
    <t>V (1.72%)</t>
  </si>
  <si>
    <t>LLY (1.45%)</t>
  </si>
  <si>
    <t>(NVDA, 7.50%), (MSFT, 7.03%), (AAPL, 5.99%)</t>
  </si>
  <si>
    <t>V (1.70%)</t>
  </si>
  <si>
    <t>LLY (1.43%)</t>
  </si>
  <si>
    <t>(AAPL, 0.00%), (SCHW, 0.00%), (SC26771B, 0.00%), (SC26773B, 0.00%), (SC28181B, 0.00%), (SC28183B, 0.00%), (SC31761B, 0.00%), (SC31763B, 0.00%), (SC8071B, 0.00%), (SC8073B, 0.00%), (SC9061B, 0.00%), (SC9063B, 0.00%), (SLM, 0.00%), (SC23471B, 0.00%), (SNA, 0.00%), (SO, 0.00%), (SP13482B, 0.00%), (SP13484B, 0.00%), (SP13485B, 0.00%), (SP13N62B, 0.00%), (SP13N64B, 0.00%), (SP13N65B, 0.00%), (SP22172B, 0.00%), (SP22174B, 0.00%), (SC23473B, 0.00%), (SC22173B, 0.00%), (SP23472B, 0.00%), (PM, 0.00%), (ODFL, 0.00%), (ORCL, 0.00%), (PAYC, 0.00%), (PCAR, 0.00%), (PEP, 0.00%), (PFE, 0.00%), (PG, 0.00%), (PGR, 0.00%), (PHM, 0.00%), (PLTR, 0.00%), (PNC, 0.00%), (SC22171B, 0.00%), (PYPL, 0.00%), (QCOM, 0.00%), (RJF, 0.00%), (ROST, 0.00%), (RTX, 0.00%), (SBUX, 0.00%), (SC13481B, 0.00%), (SC13483B, 0.00%), (SC13N61B, 0.00%), (SC13N63B, 0.00%), (SP22175B, 0.00%), (SP23474B, 0.00%), (NUE, 0.00%), (WMT, 0.00%), (UBER, 0.00%), (UNH, 0.00%), (UNM, 0.00%), (UNP, 0.00%), (UPS, 0.00%), (USB, 0.00%), (V, 0.00%), (VZ, 0.00%), (WFC, 0.00%), (WM, 0.00%), (WSM, 0.00%), (TSLA, 0.00%), (WTFC, 0.00%), (XOM, 0.00%), (XP13485B, 0.00%), (XP13N65B, 0.00%), (XP22175B, 0.00%), (XP23475B, 0.00%), (XP26775B, 0.00%), (XP28185B, 0.00%), (XP31765B, 0.00%), (XP8075B, 0.00%), (TXN, 0.00%), (TRV, 0.00%), (SP23475B, 0.00%), (SP8074B, 0.00%), (SP26772B, 0.00%), (SP26774B, 0.00%), (SP26775B, 0.00%), (SP28182B, 0.00%), (SP28184B, 0.00%), (SP28185B, 0.00%), (SP31762B, 0.00%), (SP31764B, 0.00%), (SP31765B, 0.00%), (SP8072B, 0.00%), (SP8075B, 0.00%), (TMO, 0.00%), (SP9062B, 0.00%), (SP9064B, 0.00%), (SP9065B, 0.00%), (SPGI, 0.00%), (SPX Index, 0.00%), (STT, 0.00%), (SYF, 0.00%), (T, 0.00%), (TGT, 0.00%), (TJX, 0.00%), (NVDA, 0.00%), (NTRS, 0.00%), (ABBV, 0.00%), (CSL, 0.00%), (CB, 0.00%), (CF, 0.00%), (CINF, 0.00%), (CL, 0.00%), (CMCSA, 0.00%), (COP, 0.00%), (COST, 0.00%), (CRBG, 0.00%), (CRM, 0.00%), (CSCO, 0.00%), (CTSH, 0.00%), (C, 0.00%), (CVS, 0.00%), (CVX, 0.00%), (DE, 0.00%), (DHI, 0.00%), (DHR, 0.00%), (DIS, 0.00%), (DOV, 0.00%), (DUK, 0.00%), (EA, 0.00%), (EBAY, 0.00%), (CAT, 0.00%), (BRK/B, 0.00%), (ELV, 0.00%), (AMGN, 0.00%), (ABT, 0.00%), (ACM, 0.00%), (ACN, 0.00%), (ADBE, 0.00%), (ADM, 0.00%), (ADP, 0.00%), (AFL, 0.00%), (ALL, 0.00%), (AMAT, 0.00%), (AMD, 0.00%), (AMP, 0.00%), (BMY, 0.00%), (AMT, 0.00%), (AMZN, 0.00%), (AVGO, 0.00%), (AXP, 0.00%), (BA, 0.00%), (BAC, 0.00%), (BK, 0.00%), (BKNG, 0.00%), (BKR, 0.00%), (BLK, 0.00%), (EG, 0.00%), (EMR, 0.00%), (NOW, 0.00%), (MLI, 0.00%), (LNC, 0.00%), (LOW, 0.00%), (LRCX, 0.00%), (MA, 0.00%), (MCD, 0.00%), (MCK, 0.00%), (MDLZ, 0.00%), (MDT, 0.00%), (MET, 0.00%), (META, 0.00%), (MMM, 0.00%), (LLY, 0.00%), (MO, 0.00%), (MPWR, 0.00%), (MRK, 0.00%), (MS, 0.00%), (MSFT, 0.00%), (MTB, 0.00%), (MTG, 0.00%), (NEE, 0.00%), (NFLX, 0.00%), (NKE, 0.00%), (LMT, 0.00%), (LIN, 0.00%), (EOG, 0.00%), (HD, 0.00%), (EQH, 0.00%), (ETN, 0.00%), (EWBC, 0.00%), (FANG, 0.00%), (FDX, 0.00%), (GE, 0.00%), (GEV, 0.00%), (GILD, 0.00%), (GOOGLE, 0.00%), (GS, 0.00%), (HIG, 0.00%), (LEN, 0.00%), (HON, 0.00%), (IBM, 0.00%), (INTC, 0.00%), (INTU, 0.00%), (ISRG, 0.00%), (JNJ, 0.00%), (JPM, 0.00%), (JXN, 0.00%), (KLAC, 0.00%), (KO, 0.00%), (XP9065B, 0.00%)</t>
  </si>
  <si>
    <t>(NVDA, 7.49%), (MSFT, 7.02%), (AAPL, 5.98%)</t>
  </si>
  <si>
    <t>(NVDA, 7.74%), (MSFT, 7.25%), (AAPL, 6.18%)</t>
  </si>
  <si>
    <t>TSLA (1.77%)</t>
  </si>
  <si>
    <t>V (1.75%)</t>
  </si>
  <si>
    <t>(NVDA, 7.44%), (MSFT, 6.97%), (AAPL, 5.94%)</t>
  </si>
  <si>
    <t>V (1.68%)</t>
  </si>
  <si>
    <t>LLY (1.42%)</t>
  </si>
  <si>
    <t>(NVDA, 7.42%), (MSFT, 6.95%), (AAPL, 5.93%)</t>
  </si>
  <si>
    <t>LLY (1.41%)</t>
  </si>
  <si>
    <t>(NVDA, 7.69%), (MSFT, 7.20%), (AAPL, 6.14%)</t>
  </si>
  <si>
    <t>TSLA (1.76%)</t>
  </si>
  <si>
    <t>V (1.74%)</t>
  </si>
  <si>
    <t>(NVDA, 7.54%), (MSFT, 7.07%), (AAPL, 6.03%)</t>
  </si>
  <si>
    <t>V (1.71%)</t>
  </si>
  <si>
    <t>LLY (1.44%)</t>
  </si>
  <si>
    <t>CTSH (1.82%)</t>
  </si>
  <si>
    <t>NVDA (1.80%)</t>
  </si>
  <si>
    <t>(NVDA, 7.63%), (MSFT, 7.07%), (AAPL, 6.09%)</t>
  </si>
  <si>
    <t>(NVDA, 7.55%), (MSFT, 6.99%), (AAPL, 6.02%)</t>
  </si>
  <si>
    <t>V (1.69%)</t>
  </si>
  <si>
    <t>(NVDA, 7.57%), (MSFT, 7.01%), (AAPL, 6.04%)</t>
  </si>
  <si>
    <t>(NVDA, 7.77%), (MSFT, 7.19%), (AAPL, 6.20%)</t>
  </si>
  <si>
    <t>XOM (1.82%)</t>
  </si>
  <si>
    <t>(NVDA, 7.49%), (MSFT, 6.94%), (AAPL, 5.97%)</t>
  </si>
  <si>
    <t>V (1.67%)</t>
  </si>
  <si>
    <t>(NVDA, 7.47%), (MSFT, 6.92%), (AAPL, 5.96%)</t>
  </si>
  <si>
    <t>(NVDA, 7.73%), (MSFT, 7.16%), (AAPL, 6.17%)</t>
  </si>
  <si>
    <t>V (1.73%)</t>
  </si>
  <si>
    <t>(NVDA, 7.59%), (MSFT, 7.03%), (AAPL, 6.05%)</t>
  </si>
  <si>
    <t>CTSH (1.80%)</t>
  </si>
  <si>
    <t>PCAR (1.79%)</t>
  </si>
  <si>
    <t>(NVDA, 7.61%), (MSFT, 7.07%), (AAPL, 5.96%)</t>
  </si>
  <si>
    <t>(NVDA, 7.53%), (MSFT, 6.99%), (AAPL, 5.89%)</t>
  </si>
  <si>
    <t>V (1.66%)</t>
  </si>
  <si>
    <t>(NVDA, 7.74%), (MSFT, 7.19%), (AAPL, 6.06%)</t>
  </si>
  <si>
    <t>XOM (1.80%)</t>
  </si>
  <si>
    <t>(NVDA, 7.46%), (MSFT, 6.94%), (AAPL, 5.84%)</t>
  </si>
  <si>
    <t>V (1.65%)</t>
  </si>
  <si>
    <t>(NVDA, 7.45%), (MSFT, 6.93%), (AAPL, 5.83%)</t>
  </si>
  <si>
    <t>(NVDA, 7.72%), (MSFT, 7.17%), (AAPL, 6.04%)</t>
  </si>
  <si>
    <t>(NVDA, 7.57%), (MSFT, 7.03%), (AAPL, 5.92%)</t>
  </si>
  <si>
    <t>PHM (1.83%)</t>
  </si>
  <si>
    <t>PCAR (1.80%)</t>
  </si>
  <si>
    <t>(NVDA, 7.94%), (MSFT, 7.13%), (AAPL, 5.99%)</t>
  </si>
  <si>
    <t>(NVDA, 7.85%), (MSFT, 7.05%), (AAPL, 5.93%)</t>
  </si>
  <si>
    <t>V (1.64%)</t>
  </si>
  <si>
    <t>LLY (1.40%)</t>
  </si>
  <si>
    <t>(NVDA, 8.07%), (MSFT, 7.25%), (AAPL, 6.09%)</t>
  </si>
  <si>
    <t>XOM (1.79%)</t>
  </si>
  <si>
    <t>(NVDA, 7.79%), (MSFT, 6.99%), (AAPL, 5.88%)</t>
  </si>
  <si>
    <t>V (1.63%)</t>
  </si>
  <si>
    <t>LLY (1.39%)</t>
  </si>
  <si>
    <t>(NVDA, 7.78%), (MSFT, 6.98%), (AAPL, 5.87%)</t>
  </si>
  <si>
    <t>(NVDA, 8.05%), (MSFT, 7.23%), (AAPL, 6.08%)</t>
  </si>
  <si>
    <t>XOM (1.78%)</t>
  </si>
  <si>
    <t>(NVDA, 7.89%), (MSFT, 7.09%), (AAPL, 5.96%)</t>
  </si>
  <si>
    <t>PHM (1.85%)</t>
  </si>
  <si>
    <t>(NVDA, 7.98%), (MSFT, 7.14%), (AAPL, 6.03%)</t>
  </si>
  <si>
    <t>(NVDA, 7.89%), (MSFT, 7.06%), (AAPL, 5.96%)</t>
  </si>
  <si>
    <t>(NVDA, 7.88%), (MSFT, 7.05%), (AAPL, 5.96%)</t>
  </si>
  <si>
    <t>(NVDA, 8.11%), (MSFT, 7.26%), (AAPL, 6.13%)</t>
  </si>
  <si>
    <t>(NVDA, 7.83%), (MSFT, 7.00%), (AAPL, 5.91%)</t>
  </si>
  <si>
    <t>(NVDA, 7.81%), (MSFT, 6.98%), (AAPL, 5.90%)</t>
  </si>
  <si>
    <t>(NVDA, 8.09%), (MSFT, 7.23%), (AAPL, 6.11%)</t>
  </si>
  <si>
    <t>XOM (1.77%)</t>
  </si>
  <si>
    <t>(NVDA, 7.93%), (MSFT, 7.09%), (AAPL, 5.99%)</t>
  </si>
  <si>
    <t>PHM (1.84%)</t>
  </si>
  <si>
    <t>(NVDA, 8.04%), (MSFT, 7.21%), (AAPL, 6.01%)</t>
  </si>
  <si>
    <t>XOM (1.74%)</t>
  </si>
  <si>
    <t>(NVDA, 7.95%), (MSFT, 7.13%), (AAPL, 5.95%)</t>
  </si>
  <si>
    <t>LLY (1.38%)</t>
  </si>
  <si>
    <t>(NVDA, 7.95%), (MSFT, 7.13%), (AAPL, 5.94%)</t>
  </si>
  <si>
    <t>(NVDA, 8.18%), (MSFT, 7.33%), (AAPL, 6.12%)</t>
  </si>
  <si>
    <t>(NVDA, 7.89%), (MSFT, 7.08%), (AAPL, 5.90%)</t>
  </si>
  <si>
    <t>LLY (1.37%)</t>
  </si>
  <si>
    <t>(NVDA, 7.87%), (MSFT, 7.06%), (AAPL, 5.89%)</t>
  </si>
  <si>
    <t>(NVDA, 8.15%), (MSFT, 7.31%), (AAPL, 6.10%)</t>
  </si>
  <si>
    <t>XOM (1.76%)</t>
  </si>
  <si>
    <t>(NVDA, 7.99%), (MSFT, 7.16%), (AAPL, 5.98%)</t>
  </si>
  <si>
    <t>(NVDA, 8.02%), (MSFT, 7.19%), (AAPL, 6.05%)</t>
  </si>
  <si>
    <t>XOM (1.68%)</t>
  </si>
  <si>
    <t>(NVDA, 7.93%), (MSFT, 7.11%), (AAPL, 5.99%)</t>
  </si>
  <si>
    <t>(NVDA, 7.92%), (MSFT, 7.11%), (AAPL, 5.98%)</t>
  </si>
  <si>
    <t>(NVDA, 8.15%), (MSFT, 7.31%), (AAPL, 6.15%)</t>
  </si>
  <si>
    <t>XOM (1.71%)</t>
  </si>
  <si>
    <t>(NVDA, 7.87%), (MSFT, 7.06%), (AAPL, 5.94%)</t>
  </si>
  <si>
    <t>(NVDA, 7.85%), (MSFT, 7.04%), (AAPL, 5.92%)</t>
  </si>
  <si>
    <t>(NVDA, 8.12%), (MSFT, 7.28%), (AAPL, 6.13%)</t>
  </si>
  <si>
    <t>XOM (1.70%)</t>
  </si>
  <si>
    <t>(NVDA, 7.97%), (MSFT, 7.14%), (AAPL, 6.01%)</t>
  </si>
  <si>
    <t>CTSH (1.83%)</t>
  </si>
  <si>
    <t>(NVDA, 7.96%), (MSFT, 7.14%), (AAPL, 6.07%)</t>
  </si>
  <si>
    <t>(NVDA, 7.88%), (MSFT, 7.07%), (AAPL, 6.01%)</t>
  </si>
  <si>
    <t>XOM (1.66%)</t>
  </si>
  <si>
    <t>(NVDA, 7.87%), (MSFT, 7.06%), (AAPL, 6.01%)</t>
  </si>
  <si>
    <t>(NVDA, 8.09%), (MSFT, 7.26%), (AAPL, 6.17%)</t>
  </si>
  <si>
    <t>(NVDA, 7.81%), (MSFT, 7.01%), (AAPL, 5.96%)</t>
  </si>
  <si>
    <t>XOM (1.65%)</t>
  </si>
  <si>
    <t>(NVDA, 7.79%), (MSFT, 6.99%), (AAPL, 5.95%)</t>
  </si>
  <si>
    <t>XOM (1.64%)</t>
  </si>
  <si>
    <t>(NVDA, 8.07%), (MSFT, 7.24%), (AAPL, 6.16%)</t>
  </si>
  <si>
    <t>(NVDA, 7.91%), (MSFT, 7.10%), (AAPL, 6.04%)</t>
  </si>
  <si>
    <t>XOM (1.67%)</t>
  </si>
  <si>
    <t>CB (1.84%)</t>
  </si>
  <si>
    <t>(NVDA, 7.75%), (MSFT, 7.09%), (AAPL, 6.08%)</t>
  </si>
  <si>
    <t>(NVDA, 7.67%), (MSFT, 7.02%), (AAPL, 6.02%)</t>
  </si>
  <si>
    <t>(NVDA, 7.66%), (MSFT, 7.01%), (AAPL, 6.01%)</t>
  </si>
  <si>
    <t>(NVDA, 7.88%), (MSFT, 7.21%), (AAPL, 6.18%)</t>
  </si>
  <si>
    <t>(NVDA, 7.61%), (MSFT, 6.96%), (AAPL, 5.97%)</t>
  </si>
  <si>
    <t>(NVDA, 7.59%), (MSFT, 6.95%), (AAPL, 5.96%)</t>
  </si>
  <si>
    <t>(NVDA, 6.94%), (MSFT, 6.35%)</t>
  </si>
  <si>
    <t>WM (1.10%)</t>
  </si>
  <si>
    <t>GE (1.05%)</t>
  </si>
  <si>
    <t>(NVDA, 7.70%), (MSFT, 7.05%), (AAPL, 6.04%)</t>
  </si>
  <si>
    <t>KLAC (1.85%)</t>
  </si>
  <si>
    <t>(NVDA, 7.77%), (MSFT, 7.00%), (AAPL, 6.03%)</t>
  </si>
  <si>
    <t>(NVDA, 7.70%), (MSFT, 6.94%), (AAPL, 5.98%)</t>
  </si>
  <si>
    <t>(NVDA, 7.69%), (MSFT, 6.93%), (AAPL, 5.97%)</t>
  </si>
  <si>
    <t>(NVDA, 7.90%), (MSFT, 7.12%), (AAPL, 6.14%)</t>
  </si>
  <si>
    <t>(NVDA, 7.64%), (MSFT, 6.88%), (AAPL, 5.93%)</t>
  </si>
  <si>
    <t>(NVDA, 7.62%), (MSFT, 6.87%), (AAPL, 5.92%)</t>
  </si>
  <si>
    <t>(NVDA, 6.97%), (MSFT, 6.28%)</t>
  </si>
  <si>
    <t>GE (1.06%)</t>
  </si>
  <si>
    <t>(NVDA, 7.72%), (MSFT, 6.96%), (AAPL, 6.00%)</t>
  </si>
  <si>
    <t>PCAR (1.89%)</t>
  </si>
  <si>
    <t>(NVDA, 7.91%), (MSFT, 7.09%), (AAPL, 6.07%)</t>
  </si>
  <si>
    <t>XOM (1.69%)</t>
  </si>
  <si>
    <t>(NVDA, 7.84%), (MSFT, 7.02%), (AAPL, 6.02%)</t>
  </si>
  <si>
    <t>(NVDA, 7.83%), (MSFT, 7.02%), (AAPL, 6.01%)</t>
  </si>
  <si>
    <t>(NVDA, 8.04%), (MSFT, 7.21%), (AAPL, 6.18%)</t>
  </si>
  <si>
    <t>XOM (1.72%)</t>
  </si>
  <si>
    <t>(NVDA, 7.78%), (MSFT, 6.97%), (AAPL, 5.97%)</t>
  </si>
  <si>
    <t>(NVDA, 7.76%), (MSFT, 6.95%), (AAPL, 5.96%)</t>
  </si>
  <si>
    <t>(NVDA, 8.00%), (MSFT, 7.17%), (AAPL, 6.14%)</t>
  </si>
  <si>
    <t>(NVDA, 7.87%), (MSFT, 7.05%), (AAPL, 6.04%)</t>
  </si>
  <si>
    <t>PCAR (1.87%)</t>
  </si>
  <si>
    <t>(NVDA, 7.99%), (MSFT, 7.14%), (AAPL, 6.06%)</t>
  </si>
  <si>
    <t>(NVDA, 7.92%), (MSFT, 7.08%), (AAPL, 6.01%)</t>
  </si>
  <si>
    <t>(NVDA, 7.92%), (MSFT, 7.07%), (AAPL, 6.00%)</t>
  </si>
  <si>
    <t>(NVDA, 8.13%), (MSFT, 7.26%), (AAPL, 6.16%)</t>
  </si>
  <si>
    <t>XOM (1.73%)</t>
  </si>
  <si>
    <t>(NVDA, 7.86%), (MSFT, 7.03%), (AAPL, 5.96%)</t>
  </si>
  <si>
    <t>(NVDA, 7.84%), (MSFT, 7.01%), (AAPL, 5.94%)</t>
  </si>
  <si>
    <t>(NVDA, 8.08%), (MSFT, 7.22%), (AAPL, 6.13%)</t>
  </si>
  <si>
    <t>(NVDA, 7.95%), (MSFT, 7.10%), (AAPL, 6.02%)</t>
  </si>
  <si>
    <t>PCAR (1.85%)</t>
  </si>
  <si>
    <t>ROST (1.82%)</t>
  </si>
  <si>
    <t>(NVDA, 7.99%), (MSFT, 7.10%), (AAPL, 6.04%)</t>
  </si>
  <si>
    <t>(NVDA, 7.92%), (MSFT, 7.03%), (AAPL, 5.98%)</t>
  </si>
  <si>
    <t>LLY (1.46%)</t>
  </si>
  <si>
    <t>(NVDA, 1357.07%), (MSFT, 1216.55%), (AAPL, 1022.23%), (AMZN, 753.60%), (GOOGLE, 704.38%), (AVGO, 581.63%), (META, 553.96%), (BRK/B, 399.65%), (CSCO, 361.13%), (JPM, 356.23%), (V, 318.41%), (TSLA, 310.06%), (XOM, 300.11%), (LLY, 242.50%), (GE, 222.03%), (MA, 220.20%), (ORCL, 182.08%), (NEE, 163.11%), (JNJ, 161.42%), (UNH, 156.32%), (CRM, 153.86%), (PLTR, 150.53%), (PG, 150.46%), (CVX, 149.91%), (ABT, 148.80%), (WMT, 148.07%), (CAT, 143.42%), (COST, 142.24%), (RTX, 141.99%), (HD, 129.49%), (ABBV, 126.52%), (NKE, 125.70%), (NFLX, 123.60%), (AMD, 120.40%), (BAC, 119.78%), (BA, 119.18%), (KO, 118.64%), (SO, 115.18%), (IBM, 112.13%), (ACN, 110.69%), (PM, 109.57%), (AMAT, 108.62%), (QCOM, 106.00%), (AXP, 103.46%), (WFC, 103.41%), (HON, 100.82%), (UBER, 99.62%), (MCD, 98.31%), (ISRG, 93.76%), (ETN, 93.14%), (UNP, 93.00%), (PEP, 86.90%), (T, 81.35%), (MRK, 80.58%), (MS, 79.54%), (DE, 77.88%), (INTU, 76.84%), (GS, 76.74%), (TXN, 73.80%), (VZ, 73.23%), (COP, 72.08%), (MDT, 71.34%), (DIS, 70.75%), (SBUX, 67.81%), (C, 66.89%), (ADBE, 65.86%), (SCHW, 65.63%), (TMO, 60.79%), (EMR, 58.18%), (SPGI, 57.12%), (MMM, 56.81%), (AMGN, 53.86%), (LMT, 53.41%), (GILD, 53.23%), (PFE, 52.43%), (TJX, 49.11%), (CVS, 45.48%), (MO, 44.82%), (BLK, 43.69%), (DHR, 43.32%), (MDLZ, 41.67%), (LIN, 41.54%), (CMCSA, 41.53%), (AMT, 40.86%), (LOW, 39.25%), (UPS, 38.93%), (INTC, 38.57%), (BMY, 36.62%), (PYPL, 35.24%), (NOW, 35.07%), (CB, 30.75%), (CL, 28.98%), (USB, 26.70%), (WM, 25.37%), (FDX, 21.29%), (BKNG, 20.00%), (TGT, 14.96%), (DUK, 12.73%), (MET, 11.96%), (ELV, 8.09%)</t>
  </si>
  <si>
    <t>NVDA (1357.07%)</t>
  </si>
  <si>
    <t>MSFT (1216.55%)</t>
  </si>
  <si>
    <t>(NVDA, 196.14%), (MSFT, 175.83%), (AAPL, 147.74%), (AMZN, 108.92%), (GOOGLE, 101.80%), (AVGO, 84.06%), (META, 80.06%), (BRK/B, 57.76%), (CSCO, 52.19%), (JPM, 51.49%), (V, 46.02%), (TSLA, 44.81%), (XOM, 43.38%), (LLY, 35.05%), (GE, 32.09%), (MA, 31.83%), (ORCL, 26.32%), (NEE, 23.57%), (JNJ, 23.33%), (UNH, 22.59%), (CRM, 22.24%), (PLTR, 21.76%), (PG, 21.75%), (CVX, 21.67%), (ABT, 21.51%), (WMT, 21.40%), (CAT, 20.73%), (COST, 20.56%), (RTX, 20.52%), (HD, 18.72%), (ABBV, 18.29%), (NKE, 18.17%), (NFLX, 17.86%), (AMD, 17.40%), (BAC, 17.31%), (BA, 17.23%), (KO, 17.15%), (SO, 16.65%), (IBM, 16.21%), (ACN, 16.00%), (PM, 15.84%), (AMAT, 15.70%), (QCOM, 15.32%), (AXP, 14.95%), (WFC, 14.95%), (HON, 14.57%), (UBER, 14.40%), (MCD, 14.21%), (ISRG, 13.55%), (ETN, 13.46%), (UNP, 13.44%), (PEP, 12.56%), (T, 11.76%), (MRK, 11.65%), (MS, 11.50%), (DE, 11.26%), (INTU, 11.11%), (GS, 11.09%), (TXN, 10.67%), (VZ, 10.58%), (COP, 10.42%), (MDT, 10.31%), (DIS, 10.23%), (SBUX, 9.80%), (C, 9.67%), (ADBE, 9.52%), (SCHW, 9.48%), (TMO, 8.79%), (EMR, 8.41%), (SPGI, 8.26%), (MMM, 8.21%), (AMGN, 7.78%), (LMT, 7.72%), (GILD, 7.69%), (PFE, 7.58%), (TJX, 7.10%), (CVS, 6.57%), (MO, 6.48%), (BLK, 6.31%), (DHR, 6.26%), (MDLZ, 6.02%), (LIN, 6.00%), (CMCSA, 6.00%), (AMT, 5.91%)</t>
  </si>
  <si>
    <t>NVDA (196.14%)</t>
  </si>
  <si>
    <t>MSFT (175.83%)</t>
  </si>
  <si>
    <t>(NVDA, 8.13%), (MSFT, 7.21%), (AAPL, 6.14%)</t>
  </si>
  <si>
    <t>(NVDA, 7.86%), (MSFT, 6.98%), (AAPL, 5.94%)</t>
  </si>
  <si>
    <t>(NVDA, 7.85%), (MSFT, 6.97%)</t>
  </si>
  <si>
    <t>(NVDA, 8.10%), (MSFT, 7.19%), (AAPL, 6.12%)</t>
  </si>
  <si>
    <t>(NVDA, 7.96%), (MSFT, 7.06%), (AAPL, 6.01%)</t>
  </si>
  <si>
    <t>PCAR (1.84%)</t>
  </si>
  <si>
    <t>(NVDA, 8.04%), (MSFT, 7.11%), (AAPL, 5.97%)</t>
  </si>
  <si>
    <t>(NVDA, 7.96%), (MSFT, 7.04%), (AAPL, 5.92%)</t>
  </si>
  <si>
    <t>(NVDA, 7.90%), (MSFT, 6.98%)</t>
  </si>
  <si>
    <t>LLY (1.36%)</t>
  </si>
  <si>
    <t>(NVDA, 7.96%), (MSFT, 7.04%), (AAPL, 5.91%)</t>
  </si>
  <si>
    <t>(NVDA, 7.89%), (MSFT, 6.98%), (AAPL, 5.86%)</t>
  </si>
  <si>
    <t>(NVDA, 8.17%), (MSFT, 7.22%), (AAPL, 6.07%)</t>
  </si>
  <si>
    <t>(NVDA, 7.91%), (MSFT, 6.99%), (AAPL, 5.87%)</t>
  </si>
  <si>
    <t>(NVDA, 8.14%), (MSFT, 7.20%), (AAPL, 6.05%)</t>
  </si>
  <si>
    <t>XOM (1.75%)</t>
  </si>
  <si>
    <t>(NVDA, 8.00%), (MSFT, 7.07%), (AAPL, 5.94%)</t>
  </si>
  <si>
    <t>(NVDA, 8.22%), (MSFT, 7.13%), (AAPL, 5.90%)</t>
  </si>
  <si>
    <t>(NVDA, 8.15%), (MSFT, 7.06%), (AAPL, 5.84%)</t>
  </si>
  <si>
    <t>(NVDA, 8.09%), (MSFT, 7.01%)</t>
  </si>
  <si>
    <t>LLY (1.35%)</t>
  </si>
  <si>
    <t>(NVDA, 8.14%), (MSFT, 7.06%), (AAPL, 5.84%)</t>
  </si>
  <si>
    <t>(NVDA, 8.08%), (MSFT, 7.00%)</t>
  </si>
  <si>
    <t>(NVDA, 8.36%), (MSFT, 7.24%), (AAPL, 6.00%)</t>
  </si>
  <si>
    <t>(NVDA, 8.09%), (MSFT, 7.01%), (AAPL, 5.80%)</t>
  </si>
  <si>
    <t>(NVDA, 8.07%), (MSFT, 7.00%)</t>
  </si>
  <si>
    <t>(NVDA, 8.33%), (MSFT, 7.22%), (AAPL, 5.97%)</t>
  </si>
  <si>
    <t>(NVDA, 8.18%), (MSFT, 7.09%), (AAPL, 5.87%)</t>
  </si>
  <si>
    <t>PCAR (1.86%)</t>
  </si>
  <si>
    <t>ROST (1.81%)</t>
  </si>
  <si>
    <t>(NVDA, 8.37%), (MSFT, 7.50%), (AAPL, 5.95%)</t>
  </si>
  <si>
    <t>(NVDA, 8.29%), (MSFT, 7.43%), (AAPL, 5.89%)</t>
  </si>
  <si>
    <t>(NVDA, 8.17%), (MSFT, 7.32%)</t>
  </si>
  <si>
    <t>(NVDA, 8.28%), (MSFT, 7.43%), (AAPL, 5.88%)</t>
  </si>
  <si>
    <t>(NVDA, 8.15%), (MSFT, 7.30%)</t>
  </si>
  <si>
    <t>(NVDA, 8.51%), (MSFT, 7.63%), (AAPL, 6.05%)</t>
  </si>
  <si>
    <t>TSLA (1.85%)</t>
  </si>
  <si>
    <t>(NVDA, 8.22%), (MSFT, 7.37%), (AAPL, 5.84%)</t>
  </si>
  <si>
    <t>(NVDA, 8.20%), (MSFT, 7.35%)</t>
  </si>
  <si>
    <t>(NVDA, 8.47%), (MSFT, 7.59%), (AAPL, 6.02%)</t>
  </si>
  <si>
    <t>TSLA (1.84%)</t>
  </si>
  <si>
    <t>(NVDA, 8.32%), (MSFT, 7.46%), (AAPL, 5.91%)</t>
  </si>
  <si>
    <t>PCAR (1.82%)</t>
  </si>
  <si>
    <t>(NVDA, 8.14%), (MSFT, 7.42%), (AAPL, 5.83%)</t>
  </si>
  <si>
    <t>(NVDA, 8.04%), (MSFT, 7.33%), (AAPL, 5.76%)</t>
  </si>
  <si>
    <t>V (1.61%)</t>
  </si>
  <si>
    <t>(NVDA, 7.92%), (MSFT, 7.22%)</t>
  </si>
  <si>
    <t>V (1.59%)</t>
  </si>
  <si>
    <t>(NVDA, 8.04%), (MSFT, 7.33%), (AAPL, 5.75%)</t>
  </si>
  <si>
    <t>(NVDA, 7.89%), (MSFT, 7.20%)</t>
  </si>
  <si>
    <t>V (1.58%)</t>
  </si>
  <si>
    <t>(NVDA, 8.27%), (MSFT, 7.54%), (AAPL, 5.92%)</t>
  </si>
  <si>
    <t>(NVDA, 7.97%), (MSFT, 7.27%), (AAPL, 5.70%)</t>
  </si>
  <si>
    <t>V (1.60%)</t>
  </si>
  <si>
    <t>(NVDA, 7.95%), (MSFT, 7.26%)</t>
  </si>
  <si>
    <t>(NVDA, 8.23%), (MSFT, 7.51%)</t>
  </si>
  <si>
    <t>(NVDA, 8.09%), (MSFT, 7.38%), (AAPL, 5.79%)</t>
  </si>
  <si>
    <t>V (1.62%)</t>
  </si>
  <si>
    <t>ROST (1.84%)</t>
  </si>
  <si>
    <t>PCAR (1.81%)</t>
  </si>
  <si>
    <t>(NVDA, 8.17%), (MSFT, 7.49%), (AAPL, 5.87%)</t>
  </si>
  <si>
    <t>(NVDA, 8.08%), (MSFT, 7.41%), (AAPL, 5.80%)</t>
  </si>
  <si>
    <t>(NVDA, 8.01%), (MSFT, 7.35%)</t>
  </si>
  <si>
    <t>(NVDA, 8.02%), (MSFT, 7.35%)</t>
  </si>
  <si>
    <t>(NVDA, 8.30%), (MSFT, 7.61%), (AAPL, 5.96%)</t>
  </si>
  <si>
    <t>(NVDA, 8.02%), (MSFT, 7.35%), (AAPL, 5.76%)</t>
  </si>
  <si>
    <t>(NVDA, 8.00%), (MSFT, 7.34%)</t>
  </si>
  <si>
    <t>(NVDA, 8.26%), (MSFT, 7.58%)</t>
  </si>
  <si>
    <t>(NVDA, 8.12%), (MSFT, 7.45%), (AAPL, 5.83%)</t>
  </si>
  <si>
    <t>(NVDA, 8.23%), (MSFT, 7.47%), (AAPL, 5.81%)</t>
  </si>
  <si>
    <t>(NVDA, 8.14%), (MSFT, 7.39%), (AAPL, 5.75%)</t>
  </si>
  <si>
    <t>(NVDA, 8.07%), (MSFT, 7.32%)</t>
  </si>
  <si>
    <t>(NVDA, 8.36%), (MSFT, 7.59%), (AAPL, 5.91%)</t>
  </si>
  <si>
    <t>(NVDA, 8.07%), (MSFT, 7.33%), (AAPL, 5.70%)</t>
  </si>
  <si>
    <t>(NVDA, 8.06%), (MSFT, 7.31%)</t>
  </si>
  <si>
    <t>(NVDA, 8.32%), (MSFT, 7.56%)</t>
  </si>
  <si>
    <t>(NVDA, 8.18%), (MSFT, 7.42%), (AAPL, 5.78%)</t>
  </si>
  <si>
    <t>KLAC (1.86%)</t>
  </si>
  <si>
    <t>(NVDA, 8.28%), (MSFT, 7.35%), (AAPL, 6.07%)</t>
  </si>
  <si>
    <t>(NVDA, 8.20%), (MSFT, 7.27%), (AAPL, 6.01%)</t>
  </si>
  <si>
    <t>XOM (1.63%)</t>
  </si>
  <si>
    <t>(NVDA, 8.12%), (MSFT, 7.20%)</t>
  </si>
  <si>
    <t>LLY (1.33%)</t>
  </si>
  <si>
    <t>(NVDA, 8.19%), (MSFT, 7.26%), (AAPL, 6.00%)</t>
  </si>
  <si>
    <t>(NVDA, 8.14%), (MSFT, 7.21%), (AAPL, 5.96%)</t>
  </si>
  <si>
    <t>XOM (1.62%)</t>
  </si>
  <si>
    <t>(NVDA, 8.42%), (MSFT, 7.47%), (AAPL, 6.17%)</t>
  </si>
  <si>
    <t>AMT (1.87%)</t>
  </si>
  <si>
    <t>(NVDA, 8.11%), (MSFT, 7.19%), (AAPL, 5.94%)</t>
  </si>
  <si>
    <t>(NVDA, 8.38%), (MSFT, 7.43%), (AAPL, 6.13%)</t>
  </si>
  <si>
    <t>(NVDA, 8.23%), (MSFT, 7.30%), (AAPL, 6.03%)</t>
  </si>
  <si>
    <t>UNM (1.83%)</t>
  </si>
  <si>
    <t>(NVDA, 8.36%), (MSFT, 7.30%), (AAPL, 6.27%)</t>
  </si>
  <si>
    <t>(NVDA, 8.28%), (MSFT, 7.22%), (AAPL, 6.20%)</t>
  </si>
  <si>
    <t>V (1.57%)</t>
  </si>
  <si>
    <t>(NVDA, 8.19%), (MSFT, 7.15%), (AAPL, 6.14%)</t>
  </si>
  <si>
    <t>XOM (1.61%)</t>
  </si>
  <si>
    <t>V (1.55%)</t>
  </si>
  <si>
    <t>(NVDA, 8.26%), (MSFT, 7.21%), (AAPL, 6.20%)</t>
  </si>
  <si>
    <t>V (1.56%)</t>
  </si>
  <si>
    <t>(NVDA, 8.21%), (MSFT, 7.17%), (AAPL, 6.15%)</t>
  </si>
  <si>
    <t>(NVDA, 8.50%), (MSFT, 7.42%), (AAPL, 6.37%)</t>
  </si>
  <si>
    <t>JPM (1.87%)</t>
  </si>
  <si>
    <t>(NVDA, 8.21%), (MSFT, 7.16%), (AAPL, 6.15%)</t>
  </si>
  <si>
    <t>(NVDA, 8.18%), (MSFT, 7.14%), (AAPL, 6.13%)</t>
  </si>
  <si>
    <t>(NVDA, 8.45%), (MSFT, 7.38%), (AAPL, 6.34%)</t>
  </si>
  <si>
    <t>JPM (1.86%)</t>
  </si>
  <si>
    <t>(NVDA, 8.30%), (MSFT, 7.25%), (AAPL, 6.23%)</t>
  </si>
  <si>
    <t>UNM (1.84%)</t>
  </si>
  <si>
    <t>(NVDA, 8.32%), (MSFT, 7.20%), (AAPL, 6.36%)</t>
  </si>
  <si>
    <t>(NVDA, 8.24%), (MSFT, 7.13%), (AAPL, 6.30%)</t>
  </si>
  <si>
    <t>(NVDA, 8.19%), (MSFT, 7.08%), (AAPL, 6.26%)</t>
  </si>
  <si>
    <t>(NVDA, 8.19%), (MSFT, 7.09%), (AAPL, 6.26%)</t>
  </si>
  <si>
    <t>(NVDA, 8.46%), (MSFT, 7.32%), (AAPL, 6.47%)</t>
  </si>
  <si>
    <t>AMT (1.83%)</t>
  </si>
  <si>
    <t>(NVDA, 8.18%), (MSFT, 7.07%), (AAPL, 6.25%)</t>
  </si>
  <si>
    <t>XOM (1.60%)</t>
  </si>
  <si>
    <t>(NVDA, 8.16%), (MSFT, 7.06%), (AAPL, 6.24%)</t>
  </si>
  <si>
    <t>(NVDA, 8.43%), (MSFT, 7.29%), (AAPL, 6.44%)</t>
  </si>
  <si>
    <t>AMT (1.82%)</t>
  </si>
  <si>
    <t>(NVDA, 8.28%), (MSFT, 7.16%), (AAPL, 6.33%)</t>
  </si>
  <si>
    <t>UNM (1.85%)</t>
  </si>
  <si>
    <t>(NVDA, 8.28%), (MSFT, 7.26%), (AAPL, 6.42%)</t>
  </si>
  <si>
    <t>(NVDA, 8.20%), (MSFT, 7.20%), (AAPL, 6.36%)</t>
  </si>
  <si>
    <t>(NVDA, 8.15%), (MSFT, 7.15%), (AAPL, 6.32%)</t>
  </si>
  <si>
    <t>V (1.54%)</t>
  </si>
  <si>
    <t>(NVDA, 8.16%), (MSFT, 7.16%), (AAPL, 6.33%)</t>
  </si>
  <si>
    <t>(NVDA, 8.41%), (MSFT, 7.38%), (AAPL, 6.52%)</t>
  </si>
  <si>
    <t>AMT (1.80%)</t>
  </si>
  <si>
    <t>(NVDA, 8.15%), (MSFT, 7.15%), (AAPL, 6.31%)</t>
  </si>
  <si>
    <t>XOM (1.59%)</t>
  </si>
  <si>
    <t>(NVDA, 8.13%), (MSFT, 7.13%), (AAPL, 6.30%)</t>
  </si>
  <si>
    <t>(NVDA, 8.38%), (MSFT, 7.35%), (AAPL, 6.50%)</t>
  </si>
  <si>
    <t>(NVDA, 8.24%), (MSFT, 7.23%), (AAPL, 6.38%)</t>
  </si>
  <si>
    <t>(NVDA, 8.21%), (MSFT, 7.17%), (AAPL, 6.50%)</t>
  </si>
  <si>
    <t>(NVDA, 8.14%), (MSFT, 7.11%), (AAPL, 6.44%)</t>
  </si>
  <si>
    <t>(NVDA, 8.09%), (MSFT, 7.06%), (AAPL, 6.40%)</t>
  </si>
  <si>
    <t>(NVDA, 8.13%), (MSFT, 7.10%), (AAPL, 6.44%)</t>
  </si>
  <si>
    <t>(NVDA, 8.10%), (MSFT, 7.07%), (AAPL, 6.41%)</t>
  </si>
  <si>
    <t>(NVDA, 8.35%), (MSFT, 7.29%), (AAPL, 6.60%)</t>
  </si>
  <si>
    <t>AMT (1.78%)</t>
  </si>
  <si>
    <t>(NVDA, 8.08%), (MSFT, 7.06%), (AAPL, 6.39%)</t>
  </si>
  <si>
    <t>(NVDA, 8.06%), (MSFT, 7.04%), (AAPL, 6.38%)</t>
  </si>
  <si>
    <t>(NVDA, 8.31%), (MSFT, 7.26%), (AAPL, 6.58%)</t>
  </si>
  <si>
    <t>(NVDA, 8.17%), (MSFT, 7.13%), (AAPL, 6.46%)</t>
  </si>
  <si>
    <t>(NVDA, 8.22%), (MSFT, 7.15%), (AAPL, 6.48%)</t>
  </si>
  <si>
    <t>(NVDA, 8.15%), (MSFT, 7.09%), (AAPL, 6.42%)</t>
  </si>
  <si>
    <t>(NVDA, 8.10%), (MSFT, 7.05%), (AAPL, 6.38%)</t>
  </si>
  <si>
    <t>(NVDA, 8.11%), (MSFT, 7.06%), (AAPL, 6.39%)</t>
  </si>
  <si>
    <t>(NVDA, 8.36%), (MSFT, 7.27%), (AAPL, 6.59%)</t>
  </si>
  <si>
    <t>(NVDA, 8.09%), (MSFT, 7.04%), (AAPL, 6.38%)</t>
  </si>
  <si>
    <t>(NVDA, 8.07%), (MSFT, 7.02%), (AAPL, 6.36%)</t>
  </si>
  <si>
    <t>(NVDA, 8.32%), (MSFT, 7.24%), (AAPL, 6.56%)</t>
  </si>
  <si>
    <t>AMT (1.77%)</t>
  </si>
  <si>
    <t>(NVDA, 8.18%), (MSFT, 7.12%), (AAPL, 6.45%)</t>
  </si>
  <si>
    <t>AMAT (1.80%)</t>
  </si>
  <si>
    <t>UNM (1.80%)</t>
  </si>
  <si>
    <t>(NVDA, 8.16%), (MSFT, 7.13%), (AAPL, 6.45%)</t>
  </si>
  <si>
    <t>CB (1.30%)</t>
  </si>
  <si>
    <t>(NVDA, 8.09%), (MSFT, 7.07%), (AAPL, 6.40%)</t>
  </si>
  <si>
    <t>CB (1.29%)</t>
  </si>
  <si>
    <t>(NVDA, 8.04%), (MSFT, 7.02%), (AAPL, 6.36%)</t>
  </si>
  <si>
    <t>(NVDA, 8.05%), (MSFT, 7.03%), (AAPL, 6.36%)</t>
  </si>
  <si>
    <t>(NVDA, 8.29%), (MSFT, 7.25%), (AAPL, 6.56%)</t>
  </si>
  <si>
    <t>(NVDA, 8.03%), (MSFT, 7.01%), (AAPL, 6.35%)</t>
  </si>
  <si>
    <t>XOM (1.30%)</t>
  </si>
  <si>
    <t>(NVDA, 8.01%), (MSFT, 7.00%), (AAPL, 6.34%)</t>
  </si>
  <si>
    <t>CB (1.28%)</t>
  </si>
  <si>
    <t>MA (1.26%)</t>
  </si>
  <si>
    <t>(NVDA, 8.26%), (MSFT, 7.22%), (AAPL, 6.53%)</t>
  </si>
  <si>
    <t>(NVDA, 8.12%), (MSFT, 7.09%), (AAPL, 6.42%)</t>
  </si>
  <si>
    <t>LEN (1.80%)</t>
  </si>
  <si>
    <t>(MSFT, 8.99%), (NVDA, 8.22%), (AAPL, 6.42%)</t>
  </si>
  <si>
    <t>(MSFT, 8.93%), (NVDA, 8.14%), (AAPL, 6.36%)</t>
  </si>
  <si>
    <t>(MSFT, 8.72%), (NVDA, 8.10%), (AAPL, 6.33%)</t>
  </si>
  <si>
    <t>TSLA (1.39%)</t>
  </si>
  <si>
    <t>(MSFT, 8.89%), (NVDA, 8.13%), (AAPL, 6.35%)</t>
  </si>
  <si>
    <t>(MSFT, 8.97%), (NVDA, 8.11%), (AAPL, 6.34%)</t>
  </si>
  <si>
    <t>(MSFT, 9.24%), (NVDA, 8.33%), (AAPL, 6.52%)</t>
  </si>
  <si>
    <t>(MSFT, 8.91%), (NVDA, 8.08%), (AAPL, 6.31%)</t>
  </si>
  <si>
    <t>TSLA (1.40%)</t>
  </si>
  <si>
    <t>(MSFT, 8.56%), (NVDA, 8.05%), (AAPL, 6.30%)</t>
  </si>
  <si>
    <t>XOM (1.58%)</t>
  </si>
  <si>
    <t>(MSFT, 8.85%), (NVDA, 8.32%), (AAPL, 6.51%)</t>
  </si>
  <si>
    <t>(MSFT, 8.65%), (NVDA, 8.17%), (AAPL, 6.39%)</t>
  </si>
  <si>
    <t>UNM (1.79%)</t>
  </si>
  <si>
    <t>AMAT (1.79%)</t>
  </si>
  <si>
    <t>(NVDA, 7.97%), (MSFT, 7.01%), (AAPL, 6.45%)</t>
  </si>
  <si>
    <t>(NVDA, 7.89%), (MSFT, 6.94%), (AAPL, 6.38%)</t>
  </si>
  <si>
    <t>(NVDA, 7.85%), (MSFT, 6.91%), (AAPL, 6.35%)</t>
  </si>
  <si>
    <t>(NVDA, 7.88%), (MSFT, 6.93%), (AAPL, 6.38%)</t>
  </si>
  <si>
    <t>(NVDA, 7.86%), (MSFT, 6.91%), (AAPL, 6.36%)</t>
  </si>
  <si>
    <t>(NVDA, 8.09%), (MSFT, 7.11%), (AAPL, 6.54%)</t>
  </si>
  <si>
    <t>(NVDA, 7.83%), (MSFT, 6.89%), (AAPL, 6.33%)</t>
  </si>
  <si>
    <t>(NVDA, 7.81%), (MSFT, 6.87%), (AAPL, 6.32%)</t>
  </si>
  <si>
    <t>(NVDA, 8.07%), (MSFT, 7.10%), (AAPL, 6.53%)</t>
  </si>
  <si>
    <t>(NVDA, 7.93%), (MSFT, 6.98%), (AAPL, 6.41%)</t>
  </si>
  <si>
    <t>KLAC (1.79%)</t>
  </si>
  <si>
    <t>(NVDA, 7.97%), (MSFT, 6.96%), (AAPL, 6.33%)</t>
  </si>
  <si>
    <t>(NVDA, 7.91%), (MSFT, 6.91%), (AAPL, 6.28%)</t>
  </si>
  <si>
    <t>CB (1.33%)</t>
  </si>
  <si>
    <t>(NVDA, 7.86%), (MSFT, 6.87%), (AAPL, 6.24%)</t>
  </si>
  <si>
    <t>CB (1.32%)</t>
  </si>
  <si>
    <t>(NVDA, 7.90%), (MSFT, 6.90%), (AAPL, 6.27%)</t>
  </si>
  <si>
    <t>(NVDA, 7.88%), (MSFT, 6.88%), (AAPL, 6.25%)</t>
  </si>
  <si>
    <t>(NVDA, 8.10%), (MSFT, 7.08%), (AAPL, 6.44%)</t>
  </si>
  <si>
    <t>(NVDA, 7.85%), (MSFT, 6.86%), (AAPL, 6.23%)</t>
  </si>
  <si>
    <t>(NVDA, 7.84%), (MSFT, 6.85%), (AAPL, 6.23%)</t>
  </si>
  <si>
    <t>CB (1.31%)</t>
  </si>
  <si>
    <t>(NVDA, 8.09%), (MSFT, 7.07%), (AAPL, 6.43%)</t>
  </si>
  <si>
    <t>(NVDA, 7.95%), (MSFT, 6.94%), (AAPL, 6.31%)</t>
  </si>
  <si>
    <t>KLAC (1.78%)</t>
  </si>
  <si>
    <t>PCAR (1.78%)</t>
  </si>
  <si>
    <t>(NVDA, 7.97%), (MSFT, 6.96%), (AAPL, 6.31%)</t>
  </si>
  <si>
    <t>(NVDA, 7.91%), (MSFT, 6.90%), (AAPL, 6.26%)</t>
  </si>
  <si>
    <t>(NVDA, 7.86%), (MSFT, 6.87%), (AAPL, 6.23%)</t>
  </si>
  <si>
    <t>(NVDA, 7.89%), (MSFT, 6.89%), (AAPL, 6.25%)</t>
  </si>
  <si>
    <t>(NVDA, 7.87%), (MSFT, 6.87%), (AAPL, 6.23%)</t>
  </si>
  <si>
    <t>(NVDA, 8.10%), (MSFT, 7.08%), (AAPL, 6.42%)</t>
  </si>
  <si>
    <t>(NVDA, 7.84%), (MSFT, 6.85%), (AAPL, 6.21%)</t>
  </si>
  <si>
    <t>(NVDA, 7.84%), (MSFT, 6.84%), (AAPL, 6.21%)</t>
  </si>
  <si>
    <t>(NVDA, 8.09%), (MSFT, 7.07%), (AAPL, 6.41%)</t>
  </si>
  <si>
    <t>(NVDA, 7.95%), (MSFT, 6.94%), (AAPL, 6.29%)</t>
  </si>
  <si>
    <t>CB (1.78%)</t>
  </si>
  <si>
    <t>(NVDA, 8.03%), (MSFT, 6.93%), (AAPL, 6.33%)</t>
  </si>
  <si>
    <t>(NVDA, 7.98%), (MSFT, 6.89%), (AAPL, 6.29%)</t>
  </si>
  <si>
    <t>(NVDA, 7.93%), (MSFT, 6.85%), (AAPL, 6.26%)</t>
  </si>
  <si>
    <t>MA (1.30%)</t>
  </si>
  <si>
    <t>(NVDA, 7.97%), (MSFT, 6.88%), (AAPL, 6.28%)</t>
  </si>
  <si>
    <t>(NVDA, 7.95%), (MSFT, 6.87%), (AAPL, 6.27%)</t>
  </si>
  <si>
    <t>MA (1.31%)</t>
  </si>
  <si>
    <t>(NVDA, 8.17%), (MSFT, 7.05%), (AAPL, 6.44%)</t>
  </si>
  <si>
    <t>(NVDA, 7.92%), (MSFT, 6.84%), (AAPL, 6.24%)</t>
  </si>
  <si>
    <t>(NVDA, 7.91%), (MSFT, 6.83%), (AAPL, 6.24%)</t>
  </si>
  <si>
    <t>(NVDA, 8.15%), (MSFT, 7.04%), (AAPL, 6.43%)</t>
  </si>
  <si>
    <t>(NVDA, 8.01%), (MSFT, 6.92%), (AAPL, 6.32%)</t>
  </si>
  <si>
    <t>UNM (1.78%)</t>
  </si>
  <si>
    <t>(NVDA, 8.11%), (MSFT, 6.90%), (AAPL, 6.32%)</t>
  </si>
  <si>
    <t>(NVDA, 8.06%), (MSFT, 6.85%), (AAPL, 6.27%)</t>
  </si>
  <si>
    <t>(NVDA, 8.02%), (MSFT, 6.82%), (AAPL, 6.24%)</t>
  </si>
  <si>
    <t>MA (1.29%)</t>
  </si>
  <si>
    <t>(NVDA, 8.05%), (MSFT, 6.84%), (AAPL, 6.27%)</t>
  </si>
  <si>
    <t>(NVDA, 8.02%), (MSFT, 6.82%), (AAPL, 6.25%)</t>
  </si>
  <si>
    <t>(NVDA, 8.25%), (MSFT, 7.01%), (AAPL, 6.42%)</t>
  </si>
  <si>
    <t>(NVDA, 8.00%), (MSFT, 6.80%), (AAPL, 6.23%)</t>
  </si>
  <si>
    <t>(NVDA, 7.99%), (MSFT, 6.80%), (AAPL, 6.22%)</t>
  </si>
  <si>
    <t>(NVDA, 8.24%), (MSFT, 7.01%), (AAPL, 6.42%)</t>
  </si>
  <si>
    <t>(NVDA, 8.10%), (MSFT, 6.88%), (AAPL, 6.30%)</t>
  </si>
  <si>
    <t>SYF (1.80%)</t>
  </si>
  <si>
    <t>(NVDA, 8.17%), (MSFT, 6.84%), (AAPL, 6.35%)</t>
  </si>
  <si>
    <t>(NVDA, 8.12%), (MSFT, 6.80%), (AAPL, 6.31%)</t>
  </si>
  <si>
    <t>(NVDA, 8.08%), (MSFT, 6.76%), (AAPL, 6.28%)</t>
  </si>
  <si>
    <t>LLY (1.29%)</t>
  </si>
  <si>
    <t>(NVDA, 8.11%), (MSFT, 6.79%), (AAPL, 6.30%)</t>
  </si>
  <si>
    <t>(NVDA, 8.09%), (MSFT, 6.77%), (AAPL, 6.29%)</t>
  </si>
  <si>
    <t>(NVDA, 8.31%), (MSFT, 6.96%), (AAPL, 6.46%)</t>
  </si>
  <si>
    <t>(NVDA, 8.06%), (MSFT, 6.75%), (AAPL, 6.27%)</t>
  </si>
  <si>
    <t>(NVDA, 8.05%), (MSFT, 6.74%), (AAPL, 6.26%)</t>
  </si>
  <si>
    <t>(NVDA, 8.30%), (MSFT, 6.95%), (AAPL, 6.45%)</t>
  </si>
  <si>
    <t>(NVDA, 8.15%), (MSFT, 6.83%), (AAPL, 6.34%)</t>
  </si>
  <si>
    <t>(NVDA, 8.18%), (MSFT, 6.92%), (AAPL, 6.40%)</t>
  </si>
  <si>
    <t>(NVDA, 8.13%), (MSFT, 6.87%), (AAPL, 6.36%)</t>
  </si>
  <si>
    <t>(NVDA, 8.08%), (MSFT, 6.83%), (AAPL, 6.32%)</t>
  </si>
  <si>
    <t>(NVDA, 8.11%), (MSFT, 6.86%), (AAPL, 6.34%)</t>
  </si>
  <si>
    <t>(NVDA, 8.09%), (MSFT, 6.85%), (AAPL, 6.33%)</t>
  </si>
  <si>
    <t>(NVDA, 8.32%), (MSFT, 7.03%), (AAPL, 6.50%)</t>
  </si>
  <si>
    <t>(NVDA, 8.07%), (MSFT, 6.82%), (AAPL, 6.31%)</t>
  </si>
  <si>
    <t>(NVDA, 8.06%), (MSFT, 6.81%), (AAPL, 6.30%)</t>
  </si>
  <si>
    <t>(NVDA, 8.30%), (MSFT, 7.02%), (AAPL, 6.49%)</t>
  </si>
  <si>
    <t>(NVDA, 8.16%), (MSFT, 6.90%), (AAPL, 6.38%)</t>
  </si>
  <si>
    <t>AMAT (1.81%)</t>
  </si>
  <si>
    <t>KLAC (1.81%)</t>
  </si>
  <si>
    <t>(NVDA, 8.09%), (MSFT, 6.94%), (AAPL, 6.44%)</t>
  </si>
  <si>
    <t>(NVDA, 8.04%), (MSFT, 6.90%), (AAPL, 6.40%)</t>
  </si>
  <si>
    <t>(NVDA, 8.00%), (MSFT, 6.86%), (AAPL, 6.36%)</t>
  </si>
  <si>
    <t>(NVDA, 8.03%), (MSFT, 6.88%), (AAPL, 6.38%)</t>
  </si>
  <si>
    <t>(NVDA, 8.01%), (MSFT, 6.87%), (AAPL, 6.37%)</t>
  </si>
  <si>
    <t>(NVDA, 8.23%), (MSFT, 7.05%), (AAPL, 6.54%)</t>
  </si>
  <si>
    <t>AMT (1.76%)</t>
  </si>
  <si>
    <t>(NVDA, 7.99%), (MSFT, 6.85%), (AAPL, 6.35%)</t>
  </si>
  <si>
    <t>(NVDA, 7.97%), (MSFT, 6.83%), (AAPL, 6.34%)</t>
  </si>
  <si>
    <t>(NVDA, 8.21%), (MSFT, 7.04%), (AAPL, 6.53%)</t>
  </si>
  <si>
    <t>(NVDA, 8.07%), (MSFT, 6.92%), (AAPL, 6.42%)</t>
  </si>
  <si>
    <t>LEN (1.79%)</t>
  </si>
  <si>
    <t>(NVDA, 7.84%), (MSFT, 6.91%), (AAPL, 6.44%)</t>
  </si>
  <si>
    <t>(NVDA, 7.79%), (MSFT, 6.87%), (AAPL, 6.40%)</t>
  </si>
  <si>
    <t>(NVDA, 7.74%), (MSFT, 6.83%), (AAPL, 6.36%)</t>
  </si>
  <si>
    <t>(NVDA, 7.78%), (MSFT, 6.86%), (AAPL, 6.39%)</t>
  </si>
  <si>
    <t>(NVDA, 7.76%), (MSFT, 6.84%), (AAPL, 6.37%)</t>
  </si>
  <si>
    <t>(NVDA, 7.98%), (MSFT, 7.03%), (AAPL, 6.55%)</t>
  </si>
  <si>
    <t>(NVDA, 7.73%), (MSFT, 6.82%), (AAPL, 6.35%)</t>
  </si>
  <si>
    <t>(NVDA, 7.72%), (MSFT, 6.81%), (AAPL, 6.34%)</t>
  </si>
  <si>
    <t>(NVDA, 7.96%), (MSFT, 7.02%), (AAPL, 6.54%)</t>
  </si>
  <si>
    <t>(NVDA, 7.82%), (MSFT, 6.90%), (AAPL, 6.43%)</t>
  </si>
  <si>
    <t>(MSFT, 8.82%), (NVDA, 7.72%), (AAPL, 6.40%)</t>
  </si>
  <si>
    <t>AMT (1.73%)</t>
  </si>
  <si>
    <t>(MSFT, 8.78%), (NVDA, 7.67%), (AAPL, 6.35%)</t>
  </si>
  <si>
    <t>AMT (1.71%)</t>
  </si>
  <si>
    <t>(MSFT, 8.31%), (NVDA, 7.62%), (AAPL, 6.32%)</t>
  </si>
  <si>
    <t>AMT (1.70%)</t>
  </si>
  <si>
    <t>(MSFT, 8.36%), (NVDA, 7.65%), (AAPL, 6.34%)</t>
  </si>
  <si>
    <t>(MSFT, 8.70%), (NVDA, 7.63%), (AAPL, 6.32%)</t>
  </si>
  <si>
    <t>(MSFT, 8.96%), (NVDA, 7.85%), (AAPL, 6.51%)</t>
  </si>
  <si>
    <t>(MSFT, 8.65%), (NVDA, 7.61%), (AAPL, 6.30%)</t>
  </si>
  <si>
    <t>(MSFT, 8.27%), (NVDA, 7.60%), (AAPL, 6.30%)</t>
  </si>
  <si>
    <t>(MSFT, 8.55%), (NVDA, 7.84%), (AAPL, 6.50%)</t>
  </si>
  <si>
    <t>AMT (1.75%)</t>
  </si>
  <si>
    <t>(MSFT, 8.43%), (NVDA, 7.70%), (AAPL, 6.39%)</t>
  </si>
  <si>
    <t>AMT (1.72%)</t>
  </si>
  <si>
    <t>CB (1.79%)</t>
  </si>
  <si>
    <t>(NVDA, 7.70%), (MSFT, 6.91%), (AAPL, 6.63%)</t>
  </si>
  <si>
    <t>AMT (1.69%)</t>
  </si>
  <si>
    <t>(NVDA, 7.65%), (MSFT, 6.86%), (AAPL, 6.59%)</t>
  </si>
  <si>
    <t>AMT (1.68%)</t>
  </si>
  <si>
    <t>(NVDA, 7.60%), (MSFT, 6.82%), (AAPL, 6.55%)</t>
  </si>
  <si>
    <t>AMT (1.66%)</t>
  </si>
  <si>
    <t>(NVDA, 7.63%), (MSFT, 6.85%), (AAPL, 6.57%)</t>
  </si>
  <si>
    <t>AMT (1.67%)</t>
  </si>
  <si>
    <t>(NVDA, 7.61%), (MSFT, 6.83%), (AAPL, 6.55%)</t>
  </si>
  <si>
    <t>(NVDA, 7.83%), (MSFT, 7.03%), (AAPL, 6.74%)</t>
  </si>
  <si>
    <t>(NVDA, 7.59%), (MSFT, 6.81%), (AAPL, 6.53%)</t>
  </si>
  <si>
    <t>(NVDA, 7.58%), (MSFT, 6.80%), (AAPL, 6.53%)</t>
  </si>
  <si>
    <t>(NVDA, 7.82%), (MSFT, 7.02%), (AAPL, 6.73%)</t>
  </si>
  <si>
    <t>(NVDA, 7.68%), (MSFT, 6.89%), (AAPL, 6.61%)</t>
  </si>
  <si>
    <t>NVDA (1.83%)</t>
  </si>
  <si>
    <t>CB (1.80%)</t>
  </si>
  <si>
    <t>(NVDA, 7.73%), (MSFT, 6.93%), (AAPL, 6.65%)</t>
  </si>
  <si>
    <t>(NVDA, 7.64%), (MSFT, 6.85%), (AAPL, 6.58%)</t>
  </si>
  <si>
    <t>AMT (1.65%)</t>
  </si>
  <si>
    <t>(NVDA, 7.66%), (MSFT, 6.87%), (AAPL, 6.59%)</t>
  </si>
  <si>
    <t>(NVDA, 7.86%), (MSFT, 7.05%), (AAPL, 6.77%)</t>
  </si>
  <si>
    <t>(NVDA, 7.63%), (MSFT, 6.84%), (AAPL, 6.56%)</t>
  </si>
  <si>
    <t>(NVDA, 7.61%), (MSFT, 6.82%), (AAPL, 6.55%)</t>
  </si>
  <si>
    <t>(NVDA, 7.84%), (MSFT, 7.03%), (AAPL, 6.75%)</t>
  </si>
  <si>
    <t>(NVDA, 7.71%), (MSFT, 6.91%), (AAPL, 6.63%)</t>
  </si>
  <si>
    <t>(NVDA, 7.55%), (MSFT, 6.78%), (AAPL, 6.68%)</t>
  </si>
  <si>
    <t>(NVDA, 7.50%), (MSFT, 6.73%), (AAPL, 6.63%)</t>
  </si>
  <si>
    <t>(NVDA, 7.45%), (MSFT, 6.69%), (AAPL, 6.59%)</t>
  </si>
  <si>
    <t>(NVDA, 7.47%), (MSFT, 6.71%), (AAPL, 6.61%)</t>
  </si>
  <si>
    <t>(NVDA, 7.46%), (MSFT, 6.70%), (AAPL, 6.60%)</t>
  </si>
  <si>
    <t>(NVDA, 7.67%), (MSFT, 6.89%), (AAPL, 6.79%)</t>
  </si>
  <si>
    <t>AMT (1.74%)</t>
  </si>
  <si>
    <t>(NVDA, 7.44%), (MSFT, 6.68%), (AAPL, 6.58%)</t>
  </si>
  <si>
    <t>(NVDA, 7.42%), (MSFT, 6.67%), (AAPL, 6.56%)</t>
  </si>
  <si>
    <t>(NVDA, 7.65%), (MSFT, 6.87%), (AAPL, 6.77%)</t>
  </si>
  <si>
    <t>(NVDA, 7.52%), (MSFT, 6.76%), (AAPL, 6.65%)</t>
  </si>
  <si>
    <t>SYF (1.79%)</t>
  </si>
  <si>
    <t>(NVDA, 7.56%), (MSFT, 6.78%), (AAPL, 6.58%)</t>
  </si>
  <si>
    <t>(NVDA, 7.51%), (MSFT, 6.73%), (AAPL, 6.54%)</t>
  </si>
  <si>
    <t>(NVDA, 7.46%), (MSFT, 6.69%), (AAPL, 6.50%)</t>
  </si>
  <si>
    <t>AMT (1.63%)</t>
  </si>
  <si>
    <t>(NVDA, 7.49%), (MSFT, 6.72%), (AAPL, 6.52%)</t>
  </si>
  <si>
    <t>AMT (1.64%)</t>
  </si>
  <si>
    <t>(NVDA, 7.47%), (MSFT, 6.70%), (AAPL, 6.51%)</t>
  </si>
  <si>
    <t>(NVDA, 7.68%), (MSFT, 6.89%), (AAPL, 6.69%)</t>
  </si>
  <si>
    <t>LLY (1.76%)</t>
  </si>
  <si>
    <t>(NVDA, 7.45%), (MSFT, 6.68%), (AAPL, 6.49%)</t>
  </si>
  <si>
    <t>(NVDA, 7.44%), (MSFT, 6.67%), (AAPL, 6.48%)</t>
  </si>
  <si>
    <t>(NVDA, 7.67%), (MSFT, 6.88%), (AAPL, 6.68%)</t>
  </si>
  <si>
    <t>LLY (1.73%)</t>
  </si>
  <si>
    <t>(NVDA, 7.54%), (MSFT, 6.76%), (AAPL, 6.56%)</t>
  </si>
  <si>
    <t>LLY (1.62%)</t>
  </si>
  <si>
    <t>SYF (1.82%)</t>
  </si>
  <si>
    <t>ADP (1.82%)</t>
  </si>
  <si>
    <t>(NVDA, 7.64%), (MSFT, 6.76%), (AAPL, 6.46%)</t>
  </si>
  <si>
    <t>(NVDA, 7.60%), (MSFT, 6.72%), (AAPL, 6.42%)</t>
  </si>
  <si>
    <t>(NVDA, 7.55%), (MSFT, 6.68%), (AAPL, 6.39%)</t>
  </si>
  <si>
    <t>(NVDA, 7.58%), (MSFT, 6.70%), (AAPL, 6.41%)</t>
  </si>
  <si>
    <t>(NVDA, 7.57%), (MSFT, 6.69%), (AAPL, 6.40%)</t>
  </si>
  <si>
    <t>(NVDA, 7.77%), (MSFT, 6.87%), (AAPL, 6.57%)</t>
  </si>
  <si>
    <t>(NVDA, 7.54%), (MSFT, 6.67%), (AAPL, 6.38%)</t>
  </si>
  <si>
    <t>(NVDA, 7.53%), (MSFT, 6.66%), (AAPL, 6.37%)</t>
  </si>
  <si>
    <t>(NVDA, 7.76%), (MSFT, 6.87%), (AAPL, 6.56%)</t>
  </si>
  <si>
    <t>(NVDA, 7.62%), (MSFT, 6.74%), (AAPL, 6.45%)</t>
  </si>
  <si>
    <t>(NVDA, 7.92%), (MSFT, 6.77%), (AAPL, 6.24%)</t>
  </si>
  <si>
    <t>(NVDA, 7.87%), (MSFT, 6.73%), (AAPL, 6.20%)</t>
  </si>
  <si>
    <t>(NVDA, 7.82%), (MSFT, 6.69%), (AAPL, 6.16%)</t>
  </si>
  <si>
    <t>(NVDA, 7.85%), (MSFT, 6.71%), (AAPL, 6.19%)</t>
  </si>
  <si>
    <t>(NVDA, 7.84%), (MSFT, 6.71%), (AAPL, 6.18%)</t>
  </si>
  <si>
    <t>(NVDA, 8.05%), (MSFT, 6.89%), (AAPL, 6.35%)</t>
  </si>
  <si>
    <t>(NVDA, 7.82%), (MSFT, 6.68%), (AAPL, 6.16%)</t>
  </si>
  <si>
    <t>(NVDA, 7.80%), (MSFT, 6.67%), (AAPL, 6.14%)</t>
  </si>
  <si>
    <t>AMT (1.62%)</t>
  </si>
  <si>
    <t>V (1.53%)</t>
  </si>
  <si>
    <t>(NVDA, 8.03%), (MSFT, 6.87%), (AAPL, 6.33%)</t>
  </si>
  <si>
    <t>(NVDA, 7.89%), (MSFT, 6.75%), (AAPL, 6.22%)</t>
  </si>
  <si>
    <t>AMAT (1.85%)</t>
  </si>
  <si>
    <t>(NVDA, 7.87%), (MSFT, 6.75%), (AAPL, 6.30%)</t>
  </si>
  <si>
    <t>(NVDA, 7.83%), (MSFT, 6.71%), (AAPL, 6.27%)</t>
  </si>
  <si>
    <t>(NVDA, 7.78%), (MSFT, 6.67%), (AAPL, 6.23%)</t>
  </si>
  <si>
    <t>(NVDA, 7.81%), (MSFT, 6.69%), (AAPL, 6.25%)</t>
  </si>
  <si>
    <t>(NVDA, 7.80%), (MSFT, 6.69%), (AAPL, 6.24%)</t>
  </si>
  <si>
    <t>(NVDA, 8.01%), (MSFT, 6.86%), (AAPL, 6.40%)</t>
  </si>
  <si>
    <t>(NVDA, 7.78%), (MSFT, 6.66%), (AAPL, 6.22%)</t>
  </si>
  <si>
    <t>(NVDA, 7.76%), (MSFT, 6.65%), (AAPL, 6.21%)</t>
  </si>
  <si>
    <t>(NVDA, 7.99%), (MSFT, 6.85%), (AAPL, 6.39%)</t>
  </si>
  <si>
    <t>(NVDA, 7.84%), (MSFT, 6.72%), (AAPL, 6.28%)</t>
  </si>
  <si>
    <t>LEN (1.85%)</t>
  </si>
  <si>
    <t>AMAT (1.84%)</t>
  </si>
  <si>
    <t>(NVDA, 7.90%), (MSFT, 6.87%), (AAPL, 6.41%)</t>
  </si>
  <si>
    <t>(NVDA, 7.86%), (MSFT, 6.83%), (AAPL, 6.37%)</t>
  </si>
  <si>
    <t>(NVDA, 7.81%), (MSFT, 6.79%), (AAPL, 6.34%)</t>
  </si>
  <si>
    <t>(NVDA, 7.83%), (MSFT, 6.81%), (AAPL, 6.36%)</t>
  </si>
  <si>
    <t>(NVDA, 7.83%), (MSFT, 6.81%), (AAPL, 6.35%)</t>
  </si>
  <si>
    <t>(NVDA, 8.04%), (MSFT, 6.98%), (AAPL, 6.52%)</t>
  </si>
  <si>
    <t>(NVDA, 7.80%), (MSFT, 6.78%), (AAPL, 6.33%)</t>
  </si>
  <si>
    <t>(NVDA, 7.79%), (MSFT, 6.77%), (AAPL, 6.32%)</t>
  </si>
  <si>
    <t>(NVDA, 8.02%), (MSFT, 6.97%), (AAPL, 6.50%)</t>
  </si>
  <si>
    <t>(NVDA, 7.87%), (MSFT, 6.84%), (AAPL, 6.39%)</t>
  </si>
  <si>
    <t>SYF (1.81%)</t>
  </si>
  <si>
    <t>(NVDA, 7.81%), (MSFT, 6.86%), (AAPL, 6.41%)</t>
  </si>
  <si>
    <t>AMT (1.61%)</t>
  </si>
  <si>
    <t>MA (1.61%)</t>
  </si>
  <si>
    <t>(NVDA, 7.77%), (MSFT, 6.83%), (AAPL, 6.37%)</t>
  </si>
  <si>
    <t>AMT (1.60%)</t>
  </si>
  <si>
    <t>(NVDA, 7.74%), (MSFT, 6.80%), (AAPL, 6.35%)</t>
  </si>
  <si>
    <t>V (1.52%)</t>
  </si>
  <si>
    <t>(NVDA, 7.76%), (MSFT, 6.82%), (AAPL, 6.36%)</t>
  </si>
  <si>
    <t>(NVDA, 7.75%), (MSFT, 6.81%), (AAPL, 6.36%)</t>
  </si>
  <si>
    <t>(NVDA, 7.94%), (MSFT, 6.98%), (AAPL, 6.52%)</t>
  </si>
  <si>
    <t>MA (1.66%)</t>
  </si>
  <si>
    <t>(NVDA, 7.72%), (MSFT, 6.78%), (AAPL, 6.33%)</t>
  </si>
  <si>
    <t>AMT (1.59%)</t>
  </si>
  <si>
    <t>(NVDA, 7.71%), (MSFT, 6.78%), (AAPL, 6.33%)</t>
  </si>
  <si>
    <t>MA (1.57%)</t>
  </si>
  <si>
    <t>(NVDA, 7.93%), (MSFT, 6.97%), (AAPL, 6.51%)</t>
  </si>
  <si>
    <t>(NVDA, 7.79%), (MSFT, 6.85%), (AAPL, 6.40%)</t>
  </si>
  <si>
    <t>MA (1.58%)</t>
  </si>
  <si>
    <t>(NVDA, 7.68%), (MSFT, 6.78%), (AAPL, 6.45%)</t>
  </si>
  <si>
    <t>(NVDA, 7.64%), (MSFT, 6.74%), (AAPL, 6.41%)</t>
  </si>
  <si>
    <t>(NVDA, 7.61%), (MSFT, 6.71%), (AAPL, 6.39%)</t>
  </si>
  <si>
    <t>(NVDA, 7.63%), (MSFT, 6.73%), (AAPL, 6.40%)</t>
  </si>
  <si>
    <t>(NVDA, 7.62%), (MSFT, 6.72%), (AAPL, 6.39%)</t>
  </si>
  <si>
    <t>(NVDA, 7.81%), (MSFT, 6.89%), (AAPL, 6.55%)</t>
  </si>
  <si>
    <t>(NVDA, 7.59%), (MSFT, 6.69%), (AAPL, 6.37%)</t>
  </si>
  <si>
    <t>(NVDA, 7.58%), (MSFT, 6.69%), (AAPL, 6.36%)</t>
  </si>
  <si>
    <t>(NVDA, 7.67%), (MSFT, 6.76%), (AAPL, 6.43%)</t>
  </si>
  <si>
    <t>NVDA (1.81%)</t>
  </si>
  <si>
    <t>LEN (1.78%)</t>
  </si>
  <si>
    <t>(NVDA, 7.51%), (MSFT, 6.82%), (AAPL, 6.50%)</t>
  </si>
  <si>
    <t>(NVDA, 7.47%), (MSFT, 6.78%), (AAPL, 6.46%)</t>
  </si>
  <si>
    <t>(NVDA, 7.43%), (MSFT, 6.75%), (AAPL, 6.43%)</t>
  </si>
  <si>
    <t>(NVDA, 7.45%), (MSFT, 6.77%), (AAPL, 6.45%)</t>
  </si>
  <si>
    <t>(NVDA, 7.45%), (MSFT, 6.76%), (AAPL, 6.44%)</t>
  </si>
  <si>
    <t>(NVDA, 7.64%), (MSFT, 6.93%), (AAPL, 6.60%)</t>
  </si>
  <si>
    <t>(NVDA, 7.42%), (MSFT, 6.73%), (AAPL, 6.42%)</t>
  </si>
  <si>
    <t>(NVDA, 7.41%), (MSFT, 6.73%), (AAPL, 6.41%)</t>
  </si>
  <si>
    <t>(NVDA, 7.63%), (MSFT, 6.92%), (AAPL, 6.60%)</t>
  </si>
  <si>
    <t>(NVDA, 7.49%), (MSFT, 6.80%), (AAPL, 6.48%)</t>
  </si>
  <si>
    <t>(NVDA, 7.76%), (MSFT, 6.78%), (AAPL, 6.45%)</t>
  </si>
  <si>
    <t>(NVDA, 7.71%), (MSFT, 6.75%), (AAPL, 6.42%)</t>
  </si>
  <si>
    <t>(NVDA, 7.68%), (MSFT, 6.72%), (AAPL, 6.39%)</t>
  </si>
  <si>
    <t>(NVDA, 7.70%), (MSFT, 6.73%), (AAPL, 6.40%)</t>
  </si>
  <si>
    <t>(NVDA, 7.69%), (MSFT, 6.73%), (AAPL, 6.40%)</t>
  </si>
  <si>
    <t>(NVDA, 7.89%), (MSFT, 6.90%), (AAPL, 6.56%)</t>
  </si>
  <si>
    <t>(NVDA, 7.67%), (MSFT, 6.70%), (AAPL, 6.38%)</t>
  </si>
  <si>
    <t>(NVDA, 7.66%), (MSFT, 6.70%), (AAPL, 6.37%)</t>
  </si>
  <si>
    <t>V (1.51%)</t>
  </si>
  <si>
    <t>(NVDA, 7.88%), (MSFT, 6.89%), (AAPL, 6.55%)</t>
  </si>
  <si>
    <t>(NVDA, 7.74%), (MSFT, 6.77%), (AAPL, 6.44%)</t>
  </si>
  <si>
    <t>(NVDA, 7.74%), (MSFT, 6.88%), (AAPL, 6.63%)</t>
  </si>
  <si>
    <t>(NVDA, 7.70%), (MSFT, 6.84%), (AAPL, 6.59%)</t>
  </si>
  <si>
    <t>(NVDA, 7.67%), (MSFT, 6.81%), (AAPL, 6.56%)</t>
  </si>
  <si>
    <t>(NVDA, 7.68%), (MSFT, 6.83%), (AAPL, 6.58%)</t>
  </si>
  <si>
    <t>(NVDA, 7.68%), (MSFT, 6.82%), (AAPL, 6.58%)</t>
  </si>
  <si>
    <t>(NVDA, 7.87%), (MSFT, 6.99%), (AAPL, 6.74%)</t>
  </si>
  <si>
    <t>(NVDA, 7.65%), (MSFT, 6.80%), (AAPL, 6.55%)</t>
  </si>
  <si>
    <t>(NVDA, 7.64%), (MSFT, 6.79%), (AAPL, 6.54%)</t>
  </si>
  <si>
    <t>(NVDA, 7.86%), (MSFT, 6.98%), (AAPL, 6.73%)</t>
  </si>
  <si>
    <t>(NVDA, 7.72%), (MSFT, 6.86%), (AAPL, 6.61%)</t>
  </si>
  <si>
    <t>* IRS Condition 1: 90% of income must come from qualifying sources.</t>
  </si>
  <si>
    <t>* IRS Condition 2a: At least 50% of assets must be allocated to qualifying securities.</t>
  </si>
  <si>
    <t>* IRS Condition 2a5: for 50% of portfolio, no issuer is more than 5% of fund assets.</t>
  </si>
  <si>
    <t>* IRS Condition 2a10: for 50% of portfolio, fund doesn't hold more than 10% of any issuer's outstanding float.</t>
  </si>
  <si>
    <t>* IRS Condition 2b: No single issuer may constitute more than 25% of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</si>
</sst>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4.6" x14ac:dyDescent="0.4"/>
  <cols>
    <col min="1" max="3" width="6" customWidth="1"/>
    <col min="4" max="4" width="10" customWidth="1"/>
    <col min="5" max="5" width="8" customWidth="1"/>
    <col min="6" max="6" width="12" customWidth="1"/>
    <col min="7" max="7" width="11" customWidth="1"/>
    <col min="8" max="8" width="14" customWidth="1"/>
    <col min="9" max="9" width="18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2"/>
  <sheetViews>
    <sheetView tabSelected="1" zoomScale="85" zoomScaleNormal="85" workbookViewId="0">
      <selection activeCell="E1" sqref="E1"/>
    </sheetView>
  </sheetViews>
  <sheetFormatPr defaultRowHeight="14.6" x14ac:dyDescent="0.4"/>
  <cols>
    <col min="1" max="1" width="17.3828125" customWidth="1"/>
    <col min="2" max="2" width="8" customWidth="1"/>
    <col min="3" max="3" width="19" customWidth="1"/>
    <col min="4" max="4" width="21.23046875" bestFit="1" customWidth="1"/>
    <col min="5" max="6" width="23" bestFit="1" customWidth="1"/>
    <col min="7" max="7" width="20.84375" bestFit="1" customWidth="1"/>
    <col min="8" max="8" width="20.23046875" customWidth="1"/>
    <col min="9" max="9" width="30" customWidth="1"/>
    <col min="10" max="10" width="14" customWidth="1"/>
    <col min="11" max="11" width="10" customWidth="1"/>
    <col min="12" max="12" width="42" customWidth="1"/>
    <col min="13" max="13" width="41.3046875" customWidth="1"/>
    <col min="14" max="14" width="50" customWidth="1"/>
    <col min="15" max="15" width="42" customWidth="1"/>
    <col min="16" max="16" width="43" customWidth="1"/>
    <col min="17" max="17" width="50" customWidth="1"/>
    <col min="18" max="18" width="40" customWidth="1"/>
    <col min="19" max="19" width="20" customWidth="1"/>
    <col min="20" max="20" width="23" customWidth="1"/>
    <col min="21" max="21" width="7" customWidth="1"/>
  </cols>
  <sheetData>
    <row r="1" spans="1:21" x14ac:dyDescent="0.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</row>
    <row r="2" spans="1:21" x14ac:dyDescent="0.4">
      <c r="A2" s="2">
        <v>45839</v>
      </c>
      <c r="B2" t="s">
        <v>27</v>
      </c>
      <c r="C2" t="s">
        <v>28</v>
      </c>
      <c r="D2" s="3" t="str">
        <f t="shared" ref="D2:D35" si="0">IF(J2/H2&gt;=0.75,"PASS","FAIL")</f>
        <v>PASS</v>
      </c>
      <c r="E2" s="3" t="str">
        <f t="shared" ref="E2:E35" si="1">IF(L2=0,"PASS","FAIL")</f>
        <v>PASS</v>
      </c>
      <c r="F2" s="3" t="str">
        <f t="shared" ref="F2:F35" si="2">IF(R2="","",IF(R2&lt;=0.1,"PASS","FAIL"))</f>
        <v>PASS</v>
      </c>
      <c r="G2" s="3" t="str">
        <f t="shared" ref="G2:G35" si="3">IF(S2=0,"PASS",IF(S2&lt;=0.05*J2,"PASS","FAIL"))</f>
        <v>FAIL</v>
      </c>
      <c r="H2" s="3">
        <v>56630044.460000001</v>
      </c>
      <c r="I2" s="4">
        <v>0</v>
      </c>
      <c r="J2" s="3">
        <v>50716842.210000001</v>
      </c>
      <c r="K2" s="3">
        <v>3644.97</v>
      </c>
      <c r="L2" s="3">
        <v>0</v>
      </c>
      <c r="M2" t="s">
        <v>29</v>
      </c>
      <c r="N2" t="s">
        <v>40</v>
      </c>
      <c r="O2" s="4">
        <f>AVERAGE(O110:O155)</f>
        <v>0.26340554188703436</v>
      </c>
      <c r="P2" s="4">
        <v>1</v>
      </c>
      <c r="Q2" t="s">
        <v>41</v>
      </c>
      <c r="R2" s="4">
        <f>AVERAGE(R83,R92,R101,R110,R119,R128,R137)</f>
        <v>8.3956954604348945E-5</v>
      </c>
      <c r="S2" s="3">
        <f>AVERAGE(S83,S92,S101,S110,S119,S128,S137)</f>
        <v>10363757.864285713</v>
      </c>
      <c r="T2" s="4">
        <f>AVERAGE(T83,T92,T101,T110,T119,T128,T137)</f>
        <v>0.18719674418381133</v>
      </c>
    </row>
    <row r="3" spans="1:21" x14ac:dyDescent="0.4">
      <c r="A3" s="2">
        <v>45839</v>
      </c>
      <c r="B3" t="s">
        <v>30</v>
      </c>
      <c r="C3" t="s">
        <v>28</v>
      </c>
      <c r="D3" s="3" t="str">
        <f t="shared" si="0"/>
        <v>PASS</v>
      </c>
      <c r="E3" s="3" t="str">
        <f t="shared" si="1"/>
        <v>PASS</v>
      </c>
      <c r="F3" s="3" t="str">
        <f t="shared" si="2"/>
        <v>PASS</v>
      </c>
      <c r="G3" s="3" t="str">
        <f t="shared" si="3"/>
        <v>FAIL</v>
      </c>
      <c r="H3" s="3">
        <v>34670454.060000002</v>
      </c>
      <c r="I3" s="4">
        <v>0</v>
      </c>
      <c r="J3" s="3">
        <v>32113226.100000001</v>
      </c>
      <c r="K3" s="3">
        <v>2334.69</v>
      </c>
      <c r="L3" s="3">
        <v>0</v>
      </c>
      <c r="M3" t="s">
        <v>29</v>
      </c>
      <c r="N3" t="s">
        <v>42</v>
      </c>
      <c r="O3" s="4">
        <f>AVERAGE(O12,O21,O30,O39,O48)</f>
        <v>0.25308192352940451</v>
      </c>
      <c r="P3" s="4">
        <v>1</v>
      </c>
      <c r="Q3" t="s">
        <v>43</v>
      </c>
      <c r="R3" s="4">
        <f>AVERAGE(R12,R21,R30,R39)</f>
        <v>8.0360459169537167E-6</v>
      </c>
      <c r="S3" s="3">
        <f>AVERAGE(S12,S21,S30,S39)</f>
        <v>4779754.1649755873</v>
      </c>
      <c r="T3" s="4">
        <v>0</v>
      </c>
    </row>
    <row r="4" spans="1:21" x14ac:dyDescent="0.4">
      <c r="A4" s="2">
        <v>45839</v>
      </c>
      <c r="B4" t="s">
        <v>31</v>
      </c>
      <c r="C4" t="s">
        <v>28</v>
      </c>
      <c r="D4" s="3" t="str">
        <f t="shared" si="0"/>
        <v>PASS</v>
      </c>
      <c r="E4" s="3" t="str">
        <f t="shared" si="1"/>
        <v>PASS</v>
      </c>
      <c r="F4" s="3" t="str">
        <f t="shared" si="2"/>
        <v>PASS</v>
      </c>
      <c r="G4" s="3" t="str">
        <f t="shared" si="3"/>
        <v>FAIL</v>
      </c>
      <c r="H4" s="3">
        <v>23722047.390000001</v>
      </c>
      <c r="I4" s="4">
        <v>0</v>
      </c>
      <c r="J4" s="3">
        <v>21386376.52</v>
      </c>
      <c r="K4" s="3">
        <v>1554.94</v>
      </c>
      <c r="L4" s="3">
        <v>0</v>
      </c>
      <c r="M4" t="s">
        <v>29</v>
      </c>
      <c r="N4" t="s">
        <v>42</v>
      </c>
      <c r="O4" s="4">
        <f t="shared" ref="O4:O10" si="4">AVERAGE(O13,O22,O31,O40,O49)</f>
        <v>0.25114996378063487</v>
      </c>
      <c r="P4" s="4">
        <v>1</v>
      </c>
      <c r="Q4" t="s">
        <v>44</v>
      </c>
      <c r="R4" s="4">
        <f t="shared" ref="R4:S10" si="5">AVERAGE(R13,R22,R31,R40)</f>
        <v>6.5333450177171954E-6</v>
      </c>
      <c r="S4" s="3">
        <f t="shared" si="5"/>
        <v>4268866.7921289057</v>
      </c>
      <c r="T4" s="4">
        <v>0</v>
      </c>
    </row>
    <row r="5" spans="1:21" x14ac:dyDescent="0.4">
      <c r="A5" s="2">
        <v>45839</v>
      </c>
      <c r="B5" t="s">
        <v>33</v>
      </c>
      <c r="C5" t="s">
        <v>28</v>
      </c>
      <c r="D5" s="3" t="str">
        <f t="shared" si="0"/>
        <v>PASS</v>
      </c>
      <c r="E5" s="3" t="str">
        <f t="shared" si="1"/>
        <v>PASS</v>
      </c>
      <c r="F5" s="3" t="str">
        <f t="shared" si="2"/>
        <v>PASS</v>
      </c>
      <c r="G5" s="3" t="str">
        <f t="shared" si="3"/>
        <v>FAIL</v>
      </c>
      <c r="H5" s="3">
        <v>15400753.109999999</v>
      </c>
      <c r="I5" s="4">
        <v>0</v>
      </c>
      <c r="J5" s="3">
        <v>13534962.449999999</v>
      </c>
      <c r="K5" s="3">
        <v>984.5</v>
      </c>
      <c r="L5" s="3">
        <v>0</v>
      </c>
      <c r="M5" t="s">
        <v>29</v>
      </c>
      <c r="N5" t="s">
        <v>46</v>
      </c>
      <c r="O5" s="4">
        <f t="shared" si="4"/>
        <v>0.27677119854602905</v>
      </c>
      <c r="P5" s="4">
        <v>1</v>
      </c>
      <c r="Q5" t="s">
        <v>47</v>
      </c>
      <c r="R5" s="4">
        <f t="shared" si="5"/>
        <v>5.4225546934111526E-6</v>
      </c>
      <c r="S5" s="3">
        <f t="shared" si="5"/>
        <v>4251708.8318847651</v>
      </c>
      <c r="T5" s="4">
        <v>0</v>
      </c>
    </row>
    <row r="6" spans="1:21" x14ac:dyDescent="0.4">
      <c r="A6" s="2">
        <v>45839</v>
      </c>
      <c r="B6" t="s">
        <v>35</v>
      </c>
      <c r="C6" t="s">
        <v>28</v>
      </c>
      <c r="D6" s="3" t="str">
        <f t="shared" si="0"/>
        <v>PASS</v>
      </c>
      <c r="E6" s="3" t="str">
        <f t="shared" si="1"/>
        <v>PASS</v>
      </c>
      <c r="F6" s="3" t="str">
        <f t="shared" si="2"/>
        <v>PASS</v>
      </c>
      <c r="G6" s="3" t="str">
        <f t="shared" si="3"/>
        <v>FAIL</v>
      </c>
      <c r="H6" s="3">
        <v>136543055.68000001</v>
      </c>
      <c r="I6" s="4">
        <v>0</v>
      </c>
      <c r="J6" s="3">
        <v>119048287.95</v>
      </c>
      <c r="K6" s="3">
        <v>8653.2000000000007</v>
      </c>
      <c r="L6" s="3">
        <v>0</v>
      </c>
      <c r="M6" t="s">
        <v>29</v>
      </c>
      <c r="N6" t="s">
        <v>42</v>
      </c>
      <c r="O6" s="4">
        <f t="shared" si="4"/>
        <v>0.25681471223521501</v>
      </c>
      <c r="P6" s="4">
        <v>1</v>
      </c>
      <c r="Q6" t="s">
        <v>48</v>
      </c>
      <c r="R6" s="4">
        <f t="shared" si="5"/>
        <v>2.0587723915680738E-5</v>
      </c>
      <c r="S6" s="3">
        <f t="shared" si="5"/>
        <v>35278180.088417962</v>
      </c>
      <c r="T6" s="4">
        <v>0</v>
      </c>
    </row>
    <row r="7" spans="1:21" x14ac:dyDescent="0.4">
      <c r="A7" s="2">
        <v>45839</v>
      </c>
      <c r="B7" t="s">
        <v>36</v>
      </c>
      <c r="C7" t="s">
        <v>28</v>
      </c>
      <c r="D7" s="3" t="str">
        <f t="shared" si="0"/>
        <v>PASS</v>
      </c>
      <c r="E7" s="3" t="str">
        <f t="shared" si="1"/>
        <v>PASS</v>
      </c>
      <c r="F7" s="3" t="str">
        <f t="shared" si="2"/>
        <v>PASS</v>
      </c>
      <c r="G7" s="3" t="str">
        <f t="shared" si="3"/>
        <v>FAIL</v>
      </c>
      <c r="H7" s="3">
        <v>102314972.65000001</v>
      </c>
      <c r="I7" s="4">
        <v>0</v>
      </c>
      <c r="J7" s="3">
        <v>92056067.689999998</v>
      </c>
      <c r="K7" s="3">
        <v>6691.1</v>
      </c>
      <c r="L7" s="3">
        <v>0</v>
      </c>
      <c r="M7" t="s">
        <v>29</v>
      </c>
      <c r="N7" t="s">
        <v>42</v>
      </c>
      <c r="O7" s="4">
        <f t="shared" si="4"/>
        <v>0.24887940128508562</v>
      </c>
      <c r="P7" s="4">
        <v>1</v>
      </c>
      <c r="Q7" t="s">
        <v>49</v>
      </c>
      <c r="R7" s="4">
        <f t="shared" si="5"/>
        <v>1.6067783681112135E-5</v>
      </c>
      <c r="S7" s="3">
        <f t="shared" si="5"/>
        <v>19236311.857285157</v>
      </c>
      <c r="T7" s="4">
        <v>0</v>
      </c>
    </row>
    <row r="8" spans="1:21" x14ac:dyDescent="0.4">
      <c r="A8" s="2">
        <v>45839</v>
      </c>
      <c r="B8" t="s">
        <v>37</v>
      </c>
      <c r="C8" t="s">
        <v>28</v>
      </c>
      <c r="D8" s="3" t="str">
        <f t="shared" si="0"/>
        <v>PASS</v>
      </c>
      <c r="E8" s="3" t="str">
        <f t="shared" si="1"/>
        <v>PASS</v>
      </c>
      <c r="F8" s="3" t="str">
        <f t="shared" si="2"/>
        <v>PASS</v>
      </c>
      <c r="G8" s="3" t="str">
        <f t="shared" si="3"/>
        <v>FAIL</v>
      </c>
      <c r="H8" s="3">
        <v>40403372.140000001</v>
      </c>
      <c r="I8" s="4">
        <v>0</v>
      </c>
      <c r="J8" s="3">
        <v>34699227.520000003</v>
      </c>
      <c r="K8" s="3">
        <v>2522.54</v>
      </c>
      <c r="L8" s="3">
        <v>0</v>
      </c>
      <c r="M8" t="s">
        <v>29</v>
      </c>
      <c r="N8" t="s">
        <v>46</v>
      </c>
      <c r="O8" s="4">
        <f t="shared" si="4"/>
        <v>0.27625178926518446</v>
      </c>
      <c r="P8" s="4">
        <v>1</v>
      </c>
      <c r="Q8" t="s">
        <v>50</v>
      </c>
      <c r="R8" s="4">
        <f t="shared" si="5"/>
        <v>7.8637485614750475E-6</v>
      </c>
      <c r="S8" s="3">
        <f t="shared" si="5"/>
        <v>11080732.540136719</v>
      </c>
      <c r="T8" s="4">
        <v>0</v>
      </c>
    </row>
    <row r="9" spans="1:21" x14ac:dyDescent="0.4">
      <c r="A9" s="2">
        <v>45839</v>
      </c>
      <c r="B9" t="s">
        <v>38</v>
      </c>
      <c r="C9" t="s">
        <v>28</v>
      </c>
      <c r="D9" s="3" t="str">
        <f t="shared" si="0"/>
        <v>PASS</v>
      </c>
      <c r="E9" s="3" t="str">
        <f t="shared" si="1"/>
        <v>PASS</v>
      </c>
      <c r="F9" s="3" t="str">
        <f t="shared" si="2"/>
        <v>PASS</v>
      </c>
      <c r="G9" s="3" t="str">
        <f t="shared" si="3"/>
        <v>FAIL</v>
      </c>
      <c r="H9" s="3">
        <v>48917423.100000001</v>
      </c>
      <c r="I9" s="4">
        <v>0</v>
      </c>
      <c r="J9" s="3">
        <v>41086423.909999996</v>
      </c>
      <c r="K9" s="3">
        <v>2986.97</v>
      </c>
      <c r="L9" s="3">
        <v>0</v>
      </c>
      <c r="M9" t="s">
        <v>29</v>
      </c>
      <c r="N9" t="s">
        <v>46</v>
      </c>
      <c r="O9" s="4">
        <f t="shared" si="4"/>
        <v>0.28388578370466067</v>
      </c>
      <c r="P9" s="4">
        <v>1</v>
      </c>
      <c r="Q9" t="s">
        <v>51</v>
      </c>
      <c r="R9" s="4">
        <f t="shared" si="5"/>
        <v>9.2024957300297164E-6</v>
      </c>
      <c r="S9" s="3">
        <f t="shared" si="5"/>
        <v>16693150.712661132</v>
      </c>
      <c r="T9" s="4">
        <v>0</v>
      </c>
    </row>
    <row r="10" spans="1:21" x14ac:dyDescent="0.4">
      <c r="A10" s="2">
        <v>45839</v>
      </c>
      <c r="B10" t="s">
        <v>39</v>
      </c>
      <c r="C10" t="s">
        <v>28</v>
      </c>
      <c r="D10" s="3" t="str">
        <f t="shared" si="0"/>
        <v>PASS</v>
      </c>
      <c r="E10" s="3" t="str">
        <f t="shared" si="1"/>
        <v>PASS</v>
      </c>
      <c r="F10" s="3" t="str">
        <f t="shared" si="2"/>
        <v>PASS</v>
      </c>
      <c r="G10" s="3" t="str">
        <f t="shared" si="3"/>
        <v>FAIL</v>
      </c>
      <c r="H10" s="3">
        <v>78560583.510000005</v>
      </c>
      <c r="I10" s="4">
        <v>0</v>
      </c>
      <c r="J10" s="3">
        <v>69792249.980000004</v>
      </c>
      <c r="K10" s="3">
        <v>5073.47</v>
      </c>
      <c r="L10" s="3">
        <v>0</v>
      </c>
      <c r="M10" t="s">
        <v>29</v>
      </c>
      <c r="N10" t="s">
        <v>42</v>
      </c>
      <c r="O10" s="4">
        <f t="shared" si="4"/>
        <v>0.25137926887904571</v>
      </c>
      <c r="P10" s="4">
        <v>1</v>
      </c>
      <c r="Q10" t="s">
        <v>52</v>
      </c>
      <c r="R10" s="4">
        <f t="shared" si="5"/>
        <v>1.3149602854337467E-5</v>
      </c>
      <c r="S10" s="3">
        <f t="shared" si="5"/>
        <v>17764248.779218748</v>
      </c>
      <c r="T10" s="4">
        <v>0</v>
      </c>
    </row>
    <row r="11" spans="1:21" x14ac:dyDescent="0.4">
      <c r="A11" s="2">
        <v>45840</v>
      </c>
      <c r="B11" t="s">
        <v>27</v>
      </c>
      <c r="C11" t="s">
        <v>28</v>
      </c>
      <c r="D11" s="3" t="str">
        <f t="shared" si="0"/>
        <v>PASS</v>
      </c>
      <c r="E11" s="3" t="str">
        <f t="shared" si="1"/>
        <v>PASS</v>
      </c>
      <c r="F11" s="3" t="str">
        <f t="shared" si="2"/>
        <v>PASS</v>
      </c>
      <c r="G11" s="3" t="str">
        <f t="shared" si="3"/>
        <v>FAIL</v>
      </c>
      <c r="H11" s="3">
        <v>56439343.659999996</v>
      </c>
      <c r="I11" s="4">
        <v>0</v>
      </c>
      <c r="J11" s="3">
        <v>50630326.969999999</v>
      </c>
      <c r="K11" s="3">
        <v>3682.86</v>
      </c>
      <c r="L11" s="3">
        <v>0</v>
      </c>
      <c r="M11" t="s">
        <v>29</v>
      </c>
      <c r="N11" t="s">
        <v>40</v>
      </c>
      <c r="O11" s="4">
        <f>AVERAGE(O92:O128)</f>
        <v>0.2637642730979507</v>
      </c>
      <c r="P11" s="4">
        <v>1</v>
      </c>
      <c r="Q11" t="s">
        <v>41</v>
      </c>
      <c r="R11" s="4">
        <f>AVERAGE(R92,R101,R110,R119,R128,R137,R146)</f>
        <v>8.3956954604348945E-5</v>
      </c>
      <c r="S11" s="3">
        <f>AVERAGE(S92,S101,S110,S119,S128,S137,S146)</f>
        <v>10332202.071428571</v>
      </c>
      <c r="T11" s="4">
        <f>AVERAGE(T92,T101,T110,T119,T128,T137,T146)</f>
        <v>0.18627647601338584</v>
      </c>
    </row>
    <row r="12" spans="1:21" x14ac:dyDescent="0.4">
      <c r="A12" s="2">
        <v>45840</v>
      </c>
      <c r="B12" t="s">
        <v>30</v>
      </c>
      <c r="C12" t="s">
        <v>28</v>
      </c>
      <c r="D12" s="3" t="str">
        <f t="shared" si="0"/>
        <v>PASS</v>
      </c>
      <c r="E12" s="3" t="str">
        <f t="shared" si="1"/>
        <v>PASS</v>
      </c>
      <c r="F12" s="3" t="str">
        <f t="shared" si="2"/>
        <v>PASS</v>
      </c>
      <c r="G12" s="3" t="str">
        <f t="shared" si="3"/>
        <v>FAIL</v>
      </c>
      <c r="H12" s="3">
        <v>34722874.920000002</v>
      </c>
      <c r="I12" s="4">
        <v>0</v>
      </c>
      <c r="J12" s="3">
        <v>32163420.710000001</v>
      </c>
      <c r="K12" s="3">
        <v>2332.2199999999998</v>
      </c>
      <c r="L12" s="3">
        <v>0</v>
      </c>
      <c r="M12" t="s">
        <v>29</v>
      </c>
      <c r="N12" t="s">
        <v>42</v>
      </c>
      <c r="O12" s="4">
        <f>AVERAGE(O21,O30,O39,O48,O57)</f>
        <v>0.25277190987731185</v>
      </c>
      <c r="P12" s="4">
        <v>1</v>
      </c>
      <c r="Q12" t="s">
        <v>43</v>
      </c>
      <c r="R12" s="4">
        <f>AVERAGE(R21,R30,R39,R48)</f>
        <v>7.6515306503830473E-6</v>
      </c>
      <c r="S12" s="3">
        <f>AVERAGE(S21,S30,S39,S48)</f>
        <v>4779722.6499804696</v>
      </c>
      <c r="T12" s="4">
        <v>0</v>
      </c>
    </row>
    <row r="13" spans="1:21" x14ac:dyDescent="0.4">
      <c r="A13" s="2">
        <v>45840</v>
      </c>
      <c r="B13" t="s">
        <v>31</v>
      </c>
      <c r="C13" t="s">
        <v>28</v>
      </c>
      <c r="D13" s="3" t="str">
        <f t="shared" si="0"/>
        <v>PASS</v>
      </c>
      <c r="E13" s="3" t="str">
        <f t="shared" si="1"/>
        <v>PASS</v>
      </c>
      <c r="F13" s="3" t="str">
        <f t="shared" si="2"/>
        <v>PASS</v>
      </c>
      <c r="G13" s="3" t="str">
        <f t="shared" si="3"/>
        <v>FAIL</v>
      </c>
      <c r="H13" s="3">
        <v>23748411.390000001</v>
      </c>
      <c r="I13" s="4">
        <v>0</v>
      </c>
      <c r="J13" s="3">
        <v>21411257.989999998</v>
      </c>
      <c r="K13" s="3">
        <v>1553.42</v>
      </c>
      <c r="L13" s="3">
        <v>0</v>
      </c>
      <c r="M13" t="s">
        <v>29</v>
      </c>
      <c r="N13" t="s">
        <v>42</v>
      </c>
      <c r="O13" s="4">
        <f t="shared" ref="O13:O19" si="6">AVERAGE(O22,O31,O40,O49,O58)</f>
        <v>0.2507177913142159</v>
      </c>
      <c r="P13" s="4">
        <v>1</v>
      </c>
      <c r="Q13" t="s">
        <v>44</v>
      </c>
      <c r="R13" s="4">
        <f t="shared" ref="R13:S19" si="7">AVERAGE(R22,R31,R40,R49)</f>
        <v>6.0315520935899057E-6</v>
      </c>
      <c r="S13" s="3">
        <f t="shared" si="7"/>
        <v>4268746.9357031249</v>
      </c>
      <c r="T13" s="4">
        <v>0</v>
      </c>
    </row>
    <row r="14" spans="1:21" x14ac:dyDescent="0.4">
      <c r="A14" s="2">
        <v>45840</v>
      </c>
      <c r="B14" t="s">
        <v>33</v>
      </c>
      <c r="C14" t="s">
        <v>28</v>
      </c>
      <c r="D14" s="3" t="str">
        <f t="shared" si="0"/>
        <v>PASS</v>
      </c>
      <c r="E14" s="3" t="str">
        <f t="shared" si="1"/>
        <v>PASS</v>
      </c>
      <c r="F14" s="3" t="str">
        <f t="shared" si="2"/>
        <v>PASS</v>
      </c>
      <c r="G14" s="3" t="str">
        <f t="shared" si="3"/>
        <v>FAIL</v>
      </c>
      <c r="H14" s="3">
        <v>15417710.720000001</v>
      </c>
      <c r="I14" s="4">
        <v>0</v>
      </c>
      <c r="J14" s="3">
        <v>13550972.470000001</v>
      </c>
      <c r="K14" s="3">
        <v>983.39</v>
      </c>
      <c r="L14" s="3">
        <v>0</v>
      </c>
      <c r="M14" t="s">
        <v>29</v>
      </c>
      <c r="N14" t="s">
        <v>46</v>
      </c>
      <c r="O14" s="4">
        <f t="shared" si="6"/>
        <v>0.27777500305341263</v>
      </c>
      <c r="P14" s="4">
        <v>1</v>
      </c>
      <c r="Q14" t="s">
        <v>47</v>
      </c>
      <c r="R14" s="4">
        <f t="shared" si="7"/>
        <v>4.846858728499959E-6</v>
      </c>
      <c r="S14" s="3">
        <f t="shared" si="7"/>
        <v>4251028.085507812</v>
      </c>
      <c r="T14" s="4">
        <v>0</v>
      </c>
    </row>
    <row r="15" spans="1:21" x14ac:dyDescent="0.4">
      <c r="A15" s="2">
        <v>45840</v>
      </c>
      <c r="B15" t="s">
        <v>35</v>
      </c>
      <c r="C15" t="s">
        <v>28</v>
      </c>
      <c r="D15" s="3" t="str">
        <f t="shared" si="0"/>
        <v>PASS</v>
      </c>
      <c r="E15" s="3" t="str">
        <f t="shared" si="1"/>
        <v>PASS</v>
      </c>
      <c r="F15" s="3" t="str">
        <f t="shared" si="2"/>
        <v>PASS</v>
      </c>
      <c r="G15" s="3" t="str">
        <f t="shared" si="3"/>
        <v>FAIL</v>
      </c>
      <c r="H15" s="3">
        <v>136477480.15000001</v>
      </c>
      <c r="I15" s="4">
        <v>0</v>
      </c>
      <c r="J15" s="3">
        <v>119233278.31999999</v>
      </c>
      <c r="K15" s="3">
        <v>8643.7800000000007</v>
      </c>
      <c r="L15" s="3">
        <v>0</v>
      </c>
      <c r="M15" t="s">
        <v>29</v>
      </c>
      <c r="N15" t="s">
        <v>42</v>
      </c>
      <c r="O15" s="4">
        <f t="shared" si="6"/>
        <v>0.25662704724464552</v>
      </c>
      <c r="P15" s="4">
        <v>1</v>
      </c>
      <c r="Q15" t="s">
        <v>48</v>
      </c>
      <c r="R15" s="4">
        <f t="shared" si="7"/>
        <v>2.1095226072968807E-5</v>
      </c>
      <c r="S15" s="3">
        <f t="shared" si="7"/>
        <v>35272634.632734373</v>
      </c>
      <c r="T15" s="4">
        <v>0</v>
      </c>
    </row>
    <row r="16" spans="1:21" x14ac:dyDescent="0.4">
      <c r="A16" s="2">
        <v>45840</v>
      </c>
      <c r="B16" t="s">
        <v>36</v>
      </c>
      <c r="C16" t="s">
        <v>28</v>
      </c>
      <c r="D16" s="3" t="str">
        <f t="shared" si="0"/>
        <v>PASS</v>
      </c>
      <c r="E16" s="3" t="str">
        <f t="shared" si="1"/>
        <v>PASS</v>
      </c>
      <c r="F16" s="3" t="str">
        <f t="shared" si="2"/>
        <v>PASS</v>
      </c>
      <c r="G16" s="3" t="str">
        <f t="shared" si="3"/>
        <v>FAIL</v>
      </c>
      <c r="H16" s="3">
        <v>102410707.72</v>
      </c>
      <c r="I16" s="4">
        <v>0</v>
      </c>
      <c r="J16" s="3">
        <v>92145435.049999997</v>
      </c>
      <c r="K16" s="3">
        <v>6684.2</v>
      </c>
      <c r="L16" s="3">
        <v>0</v>
      </c>
      <c r="M16" t="s">
        <v>29</v>
      </c>
      <c r="N16" t="s">
        <v>42</v>
      </c>
      <c r="O16" s="4">
        <f t="shared" si="6"/>
        <v>0.24848749432749834</v>
      </c>
      <c r="P16" s="4">
        <v>1</v>
      </c>
      <c r="Q16" t="s">
        <v>49</v>
      </c>
      <c r="R16" s="4">
        <f t="shared" si="7"/>
        <v>1.628733956388555E-5</v>
      </c>
      <c r="S16" s="3">
        <f t="shared" si="7"/>
        <v>19240648.153828125</v>
      </c>
      <c r="T16" s="4">
        <v>0</v>
      </c>
    </row>
    <row r="17" spans="1:20" x14ac:dyDescent="0.4">
      <c r="A17" s="2">
        <v>45840</v>
      </c>
      <c r="B17" t="s">
        <v>37</v>
      </c>
      <c r="C17" t="s">
        <v>28</v>
      </c>
      <c r="D17" s="3" t="str">
        <f t="shared" si="0"/>
        <v>PASS</v>
      </c>
      <c r="E17" s="3" t="str">
        <f t="shared" si="1"/>
        <v>PASS</v>
      </c>
      <c r="F17" s="3" t="str">
        <f t="shared" si="2"/>
        <v>PASS</v>
      </c>
      <c r="G17" s="3" t="str">
        <f t="shared" si="3"/>
        <v>FAIL</v>
      </c>
      <c r="H17" s="3">
        <v>40444067.530000001</v>
      </c>
      <c r="I17" s="4">
        <v>0</v>
      </c>
      <c r="J17" s="3">
        <v>34737497.219999999</v>
      </c>
      <c r="K17" s="3">
        <v>2519.94</v>
      </c>
      <c r="L17" s="3">
        <v>0</v>
      </c>
      <c r="M17" t="s">
        <v>29</v>
      </c>
      <c r="N17" t="s">
        <v>46</v>
      </c>
      <c r="O17" s="4">
        <f t="shared" si="6"/>
        <v>0.27673091082849471</v>
      </c>
      <c r="P17" s="4">
        <v>1</v>
      </c>
      <c r="Q17" t="s">
        <v>50</v>
      </c>
      <c r="R17" s="4">
        <f t="shared" si="7"/>
        <v>7.5820474224261116E-6</v>
      </c>
      <c r="S17" s="3">
        <f t="shared" si="7"/>
        <v>11080515.772109374</v>
      </c>
      <c r="T17" s="4">
        <v>0</v>
      </c>
    </row>
    <row r="18" spans="1:20" x14ac:dyDescent="0.4">
      <c r="A18" s="2">
        <v>45840</v>
      </c>
      <c r="B18" t="s">
        <v>38</v>
      </c>
      <c r="C18" t="s">
        <v>28</v>
      </c>
      <c r="D18" s="3" t="str">
        <f t="shared" si="0"/>
        <v>PASS</v>
      </c>
      <c r="E18" s="3" t="str">
        <f t="shared" si="1"/>
        <v>PASS</v>
      </c>
      <c r="F18" s="3" t="str">
        <f t="shared" si="2"/>
        <v>PASS</v>
      </c>
      <c r="G18" s="3" t="str">
        <f t="shared" si="3"/>
        <v>FAIL</v>
      </c>
      <c r="H18" s="3">
        <v>48894485.57</v>
      </c>
      <c r="I18" s="4">
        <v>0</v>
      </c>
      <c r="J18" s="3">
        <v>41150754.32</v>
      </c>
      <c r="K18" s="3">
        <v>2983.54</v>
      </c>
      <c r="L18" s="3">
        <v>0</v>
      </c>
      <c r="M18" t="s">
        <v>29</v>
      </c>
      <c r="N18" t="s">
        <v>46</v>
      </c>
      <c r="O18" s="4">
        <f t="shared" si="6"/>
        <v>0.28474322545840569</v>
      </c>
      <c r="P18" s="4">
        <v>1</v>
      </c>
      <c r="Q18" t="s">
        <v>51</v>
      </c>
      <c r="R18" s="4">
        <f t="shared" si="7"/>
        <v>8.9478246131069705E-6</v>
      </c>
      <c r="S18" s="3">
        <f t="shared" si="7"/>
        <v>16688554.512128906</v>
      </c>
      <c r="T18" s="4">
        <v>0</v>
      </c>
    </row>
    <row r="19" spans="1:20" x14ac:dyDescent="0.4">
      <c r="A19" s="2">
        <v>45840</v>
      </c>
      <c r="B19" t="s">
        <v>39</v>
      </c>
      <c r="C19" t="s">
        <v>28</v>
      </c>
      <c r="D19" s="3" t="str">
        <f t="shared" si="0"/>
        <v>PASS</v>
      </c>
      <c r="E19" s="3" t="str">
        <f t="shared" si="1"/>
        <v>PASS</v>
      </c>
      <c r="F19" s="3" t="str">
        <f t="shared" si="2"/>
        <v>PASS</v>
      </c>
      <c r="G19" s="3" t="str">
        <f t="shared" si="3"/>
        <v>FAIL</v>
      </c>
      <c r="H19" s="3">
        <v>78672552.829999998</v>
      </c>
      <c r="I19" s="4">
        <v>0</v>
      </c>
      <c r="J19" s="3">
        <v>69899339.340000004</v>
      </c>
      <c r="K19" s="3">
        <v>5067.82</v>
      </c>
      <c r="L19" s="3">
        <v>0</v>
      </c>
      <c r="M19" t="s">
        <v>29</v>
      </c>
      <c r="N19" t="s">
        <v>42</v>
      </c>
      <c r="O19" s="4">
        <f t="shared" si="6"/>
        <v>0.25113531314522813</v>
      </c>
      <c r="P19" s="4">
        <v>1</v>
      </c>
      <c r="Q19" t="s">
        <v>52</v>
      </c>
      <c r="R19" s="4">
        <f t="shared" si="7"/>
        <v>1.3162444187540193E-5</v>
      </c>
      <c r="S19" s="3">
        <f t="shared" si="7"/>
        <v>17762011.499375001</v>
      </c>
      <c r="T19" s="4">
        <v>0</v>
      </c>
    </row>
    <row r="20" spans="1:20" x14ac:dyDescent="0.4">
      <c r="A20" s="2">
        <v>45841</v>
      </c>
      <c r="B20" t="s">
        <v>27</v>
      </c>
      <c r="C20" t="s">
        <v>28</v>
      </c>
      <c r="D20" s="3" t="str">
        <f t="shared" si="0"/>
        <v>PASS</v>
      </c>
      <c r="E20" s="3" t="str">
        <f t="shared" si="1"/>
        <v>PASS</v>
      </c>
      <c r="F20" s="3" t="str">
        <f t="shared" si="2"/>
        <v>PASS</v>
      </c>
      <c r="G20" s="3" t="str">
        <f t="shared" si="3"/>
        <v>FAIL</v>
      </c>
      <c r="H20" s="3">
        <v>55725283.299999997</v>
      </c>
      <c r="I20" s="4">
        <v>0</v>
      </c>
      <c r="J20" s="3">
        <v>50526708.100000001</v>
      </c>
      <c r="K20" s="3">
        <v>14706.32</v>
      </c>
      <c r="L20" s="3">
        <v>0</v>
      </c>
      <c r="M20" t="s">
        <v>29</v>
      </c>
      <c r="N20" t="s">
        <v>40</v>
      </c>
      <c r="O20" s="4">
        <f>AVERAGE(O101:O137)</f>
        <v>0.26331800841245945</v>
      </c>
      <c r="P20" s="4">
        <v>1</v>
      </c>
      <c r="Q20" t="s">
        <v>41</v>
      </c>
      <c r="R20" s="4">
        <f>AVERAGE(R101,R110,R119,R128,R137,R146,R155)</f>
        <v>8.5632229660555326E-5</v>
      </c>
      <c r="S20" s="3">
        <f>AVERAGE(S101,S110,S119,S128,S137,S146,S155)</f>
        <v>10279671.704285713</v>
      </c>
      <c r="T20" s="4">
        <f>AVERAGE(T101,T110,T119,T128,T137,T146,T155)</f>
        <v>0.18502473793564067</v>
      </c>
    </row>
    <row r="21" spans="1:20" x14ac:dyDescent="0.4">
      <c r="A21" s="2">
        <v>45841</v>
      </c>
      <c r="B21" t="s">
        <v>30</v>
      </c>
      <c r="C21" t="s">
        <v>28</v>
      </c>
      <c r="D21" s="3" t="str">
        <f t="shared" si="0"/>
        <v>PASS</v>
      </c>
      <c r="E21" s="3" t="str">
        <f t="shared" si="1"/>
        <v>PASS</v>
      </c>
      <c r="F21" s="3" t="str">
        <f t="shared" si="2"/>
        <v>PASS</v>
      </c>
      <c r="G21" s="3" t="str">
        <f t="shared" si="3"/>
        <v>FAIL</v>
      </c>
      <c r="H21" s="3">
        <v>34844474.310000002</v>
      </c>
      <c r="I21" s="4">
        <v>0</v>
      </c>
      <c r="J21" s="3">
        <v>32282393.440000001</v>
      </c>
      <c r="K21" s="3">
        <v>9343.44</v>
      </c>
      <c r="L21" s="3">
        <v>0</v>
      </c>
      <c r="M21" t="s">
        <v>29</v>
      </c>
      <c r="N21" t="s">
        <v>42</v>
      </c>
      <c r="O21" s="4">
        <f>AVERAGE(O30,O39,O48,O57,O66)</f>
        <v>0.25428552005027488</v>
      </c>
      <c r="P21" s="4">
        <v>1</v>
      </c>
      <c r="Q21" t="s">
        <v>43</v>
      </c>
      <c r="R21" s="4">
        <f>AVERAGE(R30,R39,R48,R57)</f>
        <v>7.3439184371265111E-6</v>
      </c>
      <c r="S21" s="3">
        <f>AVERAGE(S30,S39,S48,S57)</f>
        <v>4780517.3639843762</v>
      </c>
      <c r="T21" s="4">
        <v>0</v>
      </c>
    </row>
    <row r="22" spans="1:20" x14ac:dyDescent="0.4">
      <c r="A22" s="2">
        <v>45841</v>
      </c>
      <c r="B22" t="s">
        <v>31</v>
      </c>
      <c r="C22" t="s">
        <v>28</v>
      </c>
      <c r="D22" s="3" t="str">
        <f t="shared" si="0"/>
        <v>PASS</v>
      </c>
      <c r="E22" s="3" t="str">
        <f t="shared" si="1"/>
        <v>PASS</v>
      </c>
      <c r="F22" s="3" t="str">
        <f t="shared" si="2"/>
        <v>PASS</v>
      </c>
      <c r="G22" s="3" t="str">
        <f t="shared" si="3"/>
        <v>FAIL</v>
      </c>
      <c r="H22" s="3">
        <v>23811981.359999999</v>
      </c>
      <c r="I22" s="4">
        <v>0</v>
      </c>
      <c r="J22" s="3">
        <v>21472802.27</v>
      </c>
      <c r="K22" s="3">
        <v>6220.92</v>
      </c>
      <c r="L22" s="3">
        <v>0</v>
      </c>
      <c r="M22" t="s">
        <v>29</v>
      </c>
      <c r="N22" t="s">
        <v>42</v>
      </c>
      <c r="O22" s="4">
        <f t="shared" ref="O22:O28" si="8">AVERAGE(O31,O40,O49,O58,O67)</f>
        <v>0.25291369627552118</v>
      </c>
      <c r="P22" s="4">
        <v>1</v>
      </c>
      <c r="Q22" t="s">
        <v>44</v>
      </c>
      <c r="R22" s="4">
        <f t="shared" ref="R22:S28" si="9">AVERAGE(R31,R40,R49,R58)</f>
        <v>5.6301177542880729E-6</v>
      </c>
      <c r="S22" s="3">
        <f t="shared" si="9"/>
        <v>4269358.9265624993</v>
      </c>
      <c r="T22" s="4">
        <v>0</v>
      </c>
    </row>
    <row r="23" spans="1:20" x14ac:dyDescent="0.4">
      <c r="A23" s="2">
        <v>45841</v>
      </c>
      <c r="B23" t="s">
        <v>33</v>
      </c>
      <c r="C23" t="s">
        <v>28</v>
      </c>
      <c r="D23" s="3" t="str">
        <f t="shared" si="0"/>
        <v>PASS</v>
      </c>
      <c r="E23" s="3" t="str">
        <f t="shared" si="1"/>
        <v>PASS</v>
      </c>
      <c r="F23" s="3" t="str">
        <f t="shared" si="2"/>
        <v>PASS</v>
      </c>
      <c r="G23" s="3" t="str">
        <f t="shared" si="3"/>
        <v>FAIL</v>
      </c>
      <c r="H23" s="3">
        <v>15460727.779999999</v>
      </c>
      <c r="I23" s="4">
        <v>0</v>
      </c>
      <c r="J23" s="3">
        <v>13592575.73</v>
      </c>
      <c r="K23" s="3">
        <v>3938.2</v>
      </c>
      <c r="L23" s="3">
        <v>0</v>
      </c>
      <c r="M23" t="s">
        <v>29</v>
      </c>
      <c r="N23" t="s">
        <v>46</v>
      </c>
      <c r="O23" s="4">
        <f t="shared" si="8"/>
        <v>0.27559944988941354</v>
      </c>
      <c r="P23" s="4">
        <v>1</v>
      </c>
      <c r="Q23" t="s">
        <v>47</v>
      </c>
      <c r="R23" s="4">
        <f t="shared" si="9"/>
        <v>4.3880108229816543E-6</v>
      </c>
      <c r="S23" s="3">
        <f t="shared" si="9"/>
        <v>4252222.1364062494</v>
      </c>
      <c r="T23" s="4">
        <v>0</v>
      </c>
    </row>
    <row r="24" spans="1:20" x14ac:dyDescent="0.4">
      <c r="A24" s="2">
        <v>45841</v>
      </c>
      <c r="B24" t="s">
        <v>35</v>
      </c>
      <c r="C24" t="s">
        <v>28</v>
      </c>
      <c r="D24" s="3" t="str">
        <f t="shared" si="0"/>
        <v>PASS</v>
      </c>
      <c r="E24" s="3" t="str">
        <f t="shared" si="1"/>
        <v>PASS</v>
      </c>
      <c r="F24" s="3" t="str">
        <f t="shared" si="2"/>
        <v>PASS</v>
      </c>
      <c r="G24" s="3" t="str">
        <f t="shared" si="3"/>
        <v>FAIL</v>
      </c>
      <c r="H24" s="3">
        <v>136891485.50999999</v>
      </c>
      <c r="I24" s="4">
        <v>0</v>
      </c>
      <c r="J24" s="3">
        <v>119634593.2</v>
      </c>
      <c r="K24" s="3">
        <v>34628.839999999997</v>
      </c>
      <c r="L24" s="3">
        <v>0</v>
      </c>
      <c r="M24" t="s">
        <v>29</v>
      </c>
      <c r="N24" t="s">
        <v>42</v>
      </c>
      <c r="O24" s="4">
        <f t="shared" si="8"/>
        <v>0.25736228998124028</v>
      </c>
      <c r="P24" s="4">
        <v>1</v>
      </c>
      <c r="Q24" t="s">
        <v>48</v>
      </c>
      <c r="R24" s="4">
        <f t="shared" si="9"/>
        <v>2.1490120167130037E-5</v>
      </c>
      <c r="S24" s="3">
        <f t="shared" si="9"/>
        <v>35286929.712187499</v>
      </c>
      <c r="T24" s="4">
        <v>0</v>
      </c>
    </row>
    <row r="25" spans="1:20" x14ac:dyDescent="0.4">
      <c r="A25" s="2">
        <v>45841</v>
      </c>
      <c r="B25" t="s">
        <v>36</v>
      </c>
      <c r="C25" t="s">
        <v>28</v>
      </c>
      <c r="D25" s="3" t="str">
        <f t="shared" si="0"/>
        <v>PASS</v>
      </c>
      <c r="E25" s="3" t="str">
        <f t="shared" si="1"/>
        <v>PASS</v>
      </c>
      <c r="F25" s="3" t="str">
        <f t="shared" si="2"/>
        <v>PASS</v>
      </c>
      <c r="G25" s="3" t="str">
        <f t="shared" si="3"/>
        <v>FAIL</v>
      </c>
      <c r="H25" s="3">
        <v>102636930.90000001</v>
      </c>
      <c r="I25" s="4">
        <v>0</v>
      </c>
      <c r="J25" s="3">
        <v>92363332.189999998</v>
      </c>
      <c r="K25" s="3">
        <v>26762.76</v>
      </c>
      <c r="L25" s="3">
        <v>0</v>
      </c>
      <c r="M25" t="s">
        <v>29</v>
      </c>
      <c r="N25" t="s">
        <v>42</v>
      </c>
      <c r="O25" s="4">
        <f t="shared" si="8"/>
        <v>0.25051680993717912</v>
      </c>
      <c r="P25" s="4">
        <v>1</v>
      </c>
      <c r="Q25" t="s">
        <v>49</v>
      </c>
      <c r="R25" s="4">
        <f t="shared" si="9"/>
        <v>1.6462984270104283E-5</v>
      </c>
      <c r="S25" s="3">
        <f t="shared" si="9"/>
        <v>19236391.299062498</v>
      </c>
      <c r="T25" s="4">
        <v>0</v>
      </c>
    </row>
    <row r="26" spans="1:20" x14ac:dyDescent="0.4">
      <c r="A26" s="2">
        <v>45841</v>
      </c>
      <c r="B26" t="s">
        <v>37</v>
      </c>
      <c r="C26" t="s">
        <v>28</v>
      </c>
      <c r="D26" s="3" t="str">
        <f t="shared" si="0"/>
        <v>PASS</v>
      </c>
      <c r="E26" s="3" t="str">
        <f t="shared" si="1"/>
        <v>PASS</v>
      </c>
      <c r="F26" s="3" t="str">
        <f t="shared" si="2"/>
        <v>PASS</v>
      </c>
      <c r="G26" s="3" t="str">
        <f t="shared" si="3"/>
        <v>FAIL</v>
      </c>
      <c r="H26" s="3">
        <v>40545149.350000001</v>
      </c>
      <c r="I26" s="4">
        <v>0</v>
      </c>
      <c r="J26" s="3">
        <v>34834447.75</v>
      </c>
      <c r="K26" s="3">
        <v>10090.879999999999</v>
      </c>
      <c r="L26" s="3">
        <v>0</v>
      </c>
      <c r="M26" t="s">
        <v>29</v>
      </c>
      <c r="N26" t="s">
        <v>46</v>
      </c>
      <c r="O26" s="4">
        <f t="shared" si="8"/>
        <v>0.27432134257934293</v>
      </c>
      <c r="P26" s="4">
        <v>1</v>
      </c>
      <c r="Q26" t="s">
        <v>50</v>
      </c>
      <c r="R26" s="4">
        <f t="shared" si="9"/>
        <v>7.3566865111869623E-6</v>
      </c>
      <c r="S26" s="3">
        <f t="shared" si="9"/>
        <v>11081287.709687501</v>
      </c>
      <c r="T26" s="4">
        <v>0</v>
      </c>
    </row>
    <row r="27" spans="1:20" x14ac:dyDescent="0.4">
      <c r="A27" s="2">
        <v>45841</v>
      </c>
      <c r="B27" t="s">
        <v>38</v>
      </c>
      <c r="C27" t="s">
        <v>28</v>
      </c>
      <c r="D27" s="3" t="str">
        <f t="shared" si="0"/>
        <v>PASS</v>
      </c>
      <c r="E27" s="3" t="str">
        <f t="shared" si="1"/>
        <v>PASS</v>
      </c>
      <c r="F27" s="3" t="str">
        <f t="shared" si="2"/>
        <v>PASS</v>
      </c>
      <c r="G27" s="3" t="str">
        <f t="shared" si="3"/>
        <v>FAIL</v>
      </c>
      <c r="H27" s="3">
        <v>49057601.939999998</v>
      </c>
      <c r="I27" s="4">
        <v>0</v>
      </c>
      <c r="J27" s="3">
        <v>41308790.659999996</v>
      </c>
      <c r="K27" s="3">
        <v>11952.84</v>
      </c>
      <c r="L27" s="3">
        <v>0</v>
      </c>
      <c r="M27" t="s">
        <v>29</v>
      </c>
      <c r="N27" t="s">
        <v>46</v>
      </c>
      <c r="O27" s="4">
        <f t="shared" si="8"/>
        <v>0.28039662153051093</v>
      </c>
      <c r="P27" s="4">
        <v>1</v>
      </c>
      <c r="Q27" t="s">
        <v>51</v>
      </c>
      <c r="R27" s="4">
        <f t="shared" si="9"/>
        <v>8.744087719568774E-6</v>
      </c>
      <c r="S27" s="3">
        <f t="shared" si="9"/>
        <v>16695848.965703126</v>
      </c>
      <c r="T27" s="4">
        <v>0</v>
      </c>
    </row>
    <row r="28" spans="1:20" x14ac:dyDescent="0.4">
      <c r="A28" s="2">
        <v>45841</v>
      </c>
      <c r="B28" t="s">
        <v>39</v>
      </c>
      <c r="C28" t="s">
        <v>28</v>
      </c>
      <c r="D28" s="3" t="str">
        <f t="shared" si="0"/>
        <v>PASS</v>
      </c>
      <c r="E28" s="3" t="str">
        <f t="shared" si="1"/>
        <v>PASS</v>
      </c>
      <c r="F28" s="3" t="str">
        <f t="shared" si="2"/>
        <v>PASS</v>
      </c>
      <c r="G28" s="3" t="str">
        <f t="shared" si="3"/>
        <v>FAIL</v>
      </c>
      <c r="H28" s="3">
        <v>78944570.549999997</v>
      </c>
      <c r="I28" s="4">
        <v>0</v>
      </c>
      <c r="J28" s="3">
        <v>70162542.590000004</v>
      </c>
      <c r="K28" s="3">
        <v>20302.36</v>
      </c>
      <c r="L28" s="3">
        <v>0</v>
      </c>
      <c r="M28" t="s">
        <v>29</v>
      </c>
      <c r="N28" t="s">
        <v>42</v>
      </c>
      <c r="O28" s="4">
        <f t="shared" si="8"/>
        <v>0.25228228755071652</v>
      </c>
      <c r="P28" s="4">
        <v>1</v>
      </c>
      <c r="Q28" t="s">
        <v>52</v>
      </c>
      <c r="R28" s="4">
        <f t="shared" si="9"/>
        <v>1.3171008387691723E-5</v>
      </c>
      <c r="S28" s="3">
        <f t="shared" si="9"/>
        <v>17767712.147499997</v>
      </c>
      <c r="T28" s="4">
        <v>0</v>
      </c>
    </row>
    <row r="29" spans="1:20" x14ac:dyDescent="0.4">
      <c r="A29" s="2">
        <v>45845</v>
      </c>
      <c r="B29" t="s">
        <v>27</v>
      </c>
      <c r="C29" t="s">
        <v>28</v>
      </c>
      <c r="D29" s="3" t="str">
        <f t="shared" si="0"/>
        <v>PASS</v>
      </c>
      <c r="E29" s="3" t="str">
        <f t="shared" si="1"/>
        <v>PASS</v>
      </c>
      <c r="F29" s="3" t="str">
        <f t="shared" si="2"/>
        <v>PASS</v>
      </c>
      <c r="G29" s="3" t="str">
        <f t="shared" si="3"/>
        <v>FAIL</v>
      </c>
      <c r="H29" s="3">
        <v>55604661.090000004</v>
      </c>
      <c r="I29" s="4">
        <v>0</v>
      </c>
      <c r="J29" s="3">
        <v>50361358.310000002</v>
      </c>
      <c r="K29" s="3">
        <v>3669.06</v>
      </c>
      <c r="L29" s="3">
        <v>0</v>
      </c>
      <c r="M29" t="s">
        <v>29</v>
      </c>
      <c r="N29" t="s">
        <v>40</v>
      </c>
      <c r="O29" s="4">
        <f>AVERAGE(O110:O146)</f>
        <v>0.26334477191792677</v>
      </c>
      <c r="P29" s="4">
        <v>1</v>
      </c>
      <c r="Q29" t="s">
        <v>41</v>
      </c>
      <c r="R29" s="4">
        <f>AVERAGE(R110,R119,R128,R137,R146,R155,R164)</f>
        <v>8.7245312606577216E-5</v>
      </c>
      <c r="S29" s="3">
        <f>AVERAGE(S110,S119,S128,S137,S146,S155,S164)</f>
        <v>10269931.655714286</v>
      </c>
      <c r="T29" s="4">
        <f>AVERAGE(T110,T119,T128,T137,T146,T155,T164)</f>
        <v>0.18465280257763889</v>
      </c>
    </row>
    <row r="30" spans="1:20" x14ac:dyDescent="0.4">
      <c r="A30" s="2">
        <v>45845</v>
      </c>
      <c r="B30" t="s">
        <v>30</v>
      </c>
      <c r="C30" t="s">
        <v>28</v>
      </c>
      <c r="D30" s="3" t="str">
        <f t="shared" si="0"/>
        <v>PASS</v>
      </c>
      <c r="E30" s="3" t="str">
        <f t="shared" si="1"/>
        <v>PASS</v>
      </c>
      <c r="F30" s="3" t="str">
        <f t="shared" si="2"/>
        <v>PASS</v>
      </c>
      <c r="G30" s="3" t="str">
        <f t="shared" si="3"/>
        <v>FAIL</v>
      </c>
      <c r="H30" s="3">
        <v>34747693.200000003</v>
      </c>
      <c r="I30" s="4">
        <v>0</v>
      </c>
      <c r="J30" s="3">
        <v>32197416.920000002</v>
      </c>
      <c r="K30" s="3">
        <v>2344.5</v>
      </c>
      <c r="L30" s="3">
        <v>0</v>
      </c>
      <c r="M30" t="s">
        <v>29</v>
      </c>
      <c r="N30" t="s">
        <v>42</v>
      </c>
      <c r="O30" s="4">
        <f>AVERAGE(O39,O48,O57,O66,O75)</f>
        <v>0.25364170413934628</v>
      </c>
      <c r="P30" s="4">
        <v>1</v>
      </c>
      <c r="Q30" t="s">
        <v>43</v>
      </c>
      <c r="R30" s="4">
        <f>AVERAGE(R39,R48,R57,R66)</f>
        <v>8.8492244239451186E-6</v>
      </c>
      <c r="S30" s="3">
        <f>AVERAGE(S39,S48,S57,S66)</f>
        <v>4780743.1721875016</v>
      </c>
      <c r="T30" s="4">
        <v>0</v>
      </c>
    </row>
    <row r="31" spans="1:20" x14ac:dyDescent="0.4">
      <c r="A31" s="2">
        <v>45845</v>
      </c>
      <c r="B31" t="s">
        <v>31</v>
      </c>
      <c r="C31" t="s">
        <v>28</v>
      </c>
      <c r="D31" s="3" t="str">
        <f t="shared" si="0"/>
        <v>PASS</v>
      </c>
      <c r="E31" s="3" t="str">
        <f t="shared" si="1"/>
        <v>PASS</v>
      </c>
      <c r="F31" s="3" t="str">
        <f t="shared" si="2"/>
        <v>PASS</v>
      </c>
      <c r="G31" s="3" t="str">
        <f t="shared" si="3"/>
        <v>FAIL</v>
      </c>
      <c r="H31" s="3">
        <v>23767256.859999999</v>
      </c>
      <c r="I31" s="4">
        <v>0</v>
      </c>
      <c r="J31" s="3">
        <v>21437073.870000001</v>
      </c>
      <c r="K31" s="3">
        <v>1559.69</v>
      </c>
      <c r="L31" s="3">
        <v>0</v>
      </c>
      <c r="M31" t="s">
        <v>29</v>
      </c>
      <c r="N31" t="s">
        <v>42</v>
      </c>
      <c r="O31" s="4">
        <f t="shared" ref="O31:O37" si="10">AVERAGE(O40,O49,O58,O67,O76)</f>
        <v>0.25204255387251884</v>
      </c>
      <c r="P31" s="4">
        <v>1</v>
      </c>
      <c r="Q31" t="s">
        <v>44</v>
      </c>
      <c r="R31" s="4">
        <f t="shared" ref="R31:S37" si="11">AVERAGE(R40,R49,R58,R67)</f>
        <v>7.5938723481044276E-6</v>
      </c>
      <c r="S31" s="3">
        <f t="shared" si="11"/>
        <v>4269494.5812499998</v>
      </c>
      <c r="T31" s="4">
        <v>0</v>
      </c>
    </row>
    <row r="32" spans="1:20" x14ac:dyDescent="0.4">
      <c r="A32" s="2">
        <v>45845</v>
      </c>
      <c r="B32" t="s">
        <v>33</v>
      </c>
      <c r="C32" t="s">
        <v>28</v>
      </c>
      <c r="D32" s="3" t="str">
        <f t="shared" si="0"/>
        <v>PASS</v>
      </c>
      <c r="E32" s="3" t="str">
        <f t="shared" si="1"/>
        <v>PASS</v>
      </c>
      <c r="F32" s="3" t="str">
        <f t="shared" si="2"/>
        <v>PASS</v>
      </c>
      <c r="G32" s="3" t="str">
        <f t="shared" si="3"/>
        <v>FAIL</v>
      </c>
      <c r="H32" s="3">
        <v>15426847.99</v>
      </c>
      <c r="I32" s="4">
        <v>0</v>
      </c>
      <c r="J32" s="3">
        <v>13562433.949999999</v>
      </c>
      <c r="K32" s="3">
        <v>987.57</v>
      </c>
      <c r="L32" s="3">
        <v>0</v>
      </c>
      <c r="M32" t="s">
        <v>29</v>
      </c>
      <c r="N32" t="s">
        <v>46</v>
      </c>
      <c r="O32" s="4">
        <f t="shared" si="10"/>
        <v>0.27648018132848129</v>
      </c>
      <c r="P32" s="4">
        <v>1</v>
      </c>
      <c r="Q32" t="s">
        <v>47</v>
      </c>
      <c r="R32" s="4">
        <f t="shared" si="11"/>
        <v>6.6374381564429373E-6</v>
      </c>
      <c r="S32" s="3">
        <f t="shared" si="11"/>
        <v>4252308.0531249996</v>
      </c>
      <c r="T32" s="4">
        <v>0</v>
      </c>
    </row>
    <row r="33" spans="1:20" x14ac:dyDescent="0.4">
      <c r="A33" s="2">
        <v>45845</v>
      </c>
      <c r="B33" t="s">
        <v>35</v>
      </c>
      <c r="C33" t="s">
        <v>28</v>
      </c>
      <c r="D33" s="3" t="str">
        <f t="shared" si="0"/>
        <v>PASS</v>
      </c>
      <c r="E33" s="3" t="str">
        <f t="shared" si="1"/>
        <v>PASS</v>
      </c>
      <c r="F33" s="3" t="str">
        <f t="shared" si="2"/>
        <v>PASS</v>
      </c>
      <c r="G33" s="3" t="str">
        <f t="shared" si="3"/>
        <v>FAIL</v>
      </c>
      <c r="H33" s="3">
        <v>136555744.58000001</v>
      </c>
      <c r="I33" s="4">
        <v>0</v>
      </c>
      <c r="J33" s="3">
        <v>119349777.22</v>
      </c>
      <c r="K33" s="3">
        <v>8686.35</v>
      </c>
      <c r="L33" s="3">
        <v>0</v>
      </c>
      <c r="M33" t="s">
        <v>29</v>
      </c>
      <c r="N33" t="s">
        <v>42</v>
      </c>
      <c r="O33" s="4">
        <f t="shared" si="10"/>
        <v>0.25690881410778738</v>
      </c>
      <c r="P33" s="4">
        <v>1</v>
      </c>
      <c r="Q33" t="s">
        <v>48</v>
      </c>
      <c r="R33" s="4">
        <f t="shared" si="11"/>
        <v>1.953697927497905E-5</v>
      </c>
      <c r="S33" s="3">
        <f t="shared" si="11"/>
        <v>35289000.053749993</v>
      </c>
      <c r="T33" s="4">
        <v>0</v>
      </c>
    </row>
    <row r="34" spans="1:20" x14ac:dyDescent="0.4">
      <c r="A34" s="2">
        <v>45845</v>
      </c>
      <c r="B34" t="s">
        <v>36</v>
      </c>
      <c r="C34" t="s">
        <v>28</v>
      </c>
      <c r="D34" s="3" t="str">
        <f t="shared" si="0"/>
        <v>PASS</v>
      </c>
      <c r="E34" s="3" t="str">
        <f t="shared" si="1"/>
        <v>PASS</v>
      </c>
      <c r="F34" s="3" t="str">
        <f t="shared" si="2"/>
        <v>PASS</v>
      </c>
      <c r="G34" s="3" t="str">
        <f t="shared" si="3"/>
        <v>FAIL</v>
      </c>
      <c r="H34" s="3">
        <v>102477420.83</v>
      </c>
      <c r="I34" s="4">
        <v>0</v>
      </c>
      <c r="J34" s="3">
        <v>92236078.019999996</v>
      </c>
      <c r="K34" s="3">
        <v>6706.51</v>
      </c>
      <c r="L34" s="3">
        <v>0</v>
      </c>
      <c r="M34" t="s">
        <v>29</v>
      </c>
      <c r="N34" t="s">
        <v>42</v>
      </c>
      <c r="O34" s="4">
        <f t="shared" si="10"/>
        <v>0.24971099024817539</v>
      </c>
      <c r="P34" s="4">
        <v>1</v>
      </c>
      <c r="Q34" t="s">
        <v>49</v>
      </c>
      <c r="R34" s="4">
        <f t="shared" si="11"/>
        <v>1.5608786326063026E-5</v>
      </c>
      <c r="S34" s="3">
        <f t="shared" si="11"/>
        <v>19236848.76125</v>
      </c>
      <c r="T34" s="4">
        <v>0</v>
      </c>
    </row>
    <row r="35" spans="1:20" x14ac:dyDescent="0.4">
      <c r="A35" s="2">
        <v>45845</v>
      </c>
      <c r="B35" t="s">
        <v>37</v>
      </c>
      <c r="C35" t="s">
        <v>28</v>
      </c>
      <c r="D35" s="3" t="str">
        <f t="shared" si="0"/>
        <v>PASS</v>
      </c>
      <c r="E35" s="3" t="str">
        <f t="shared" si="1"/>
        <v>PASS</v>
      </c>
      <c r="F35" s="3" t="str">
        <f t="shared" si="2"/>
        <v>PASS</v>
      </c>
      <c r="G35" s="3" t="str">
        <f t="shared" si="3"/>
        <v>FAIL</v>
      </c>
      <c r="H35" s="3">
        <v>40464457.259999998</v>
      </c>
      <c r="I35" s="4">
        <v>0</v>
      </c>
      <c r="J35" s="3">
        <v>34761319.310000002</v>
      </c>
      <c r="K35" s="3">
        <v>2529.7600000000002</v>
      </c>
      <c r="L35" s="3">
        <v>0</v>
      </c>
      <c r="M35" t="s">
        <v>29</v>
      </c>
      <c r="N35" t="s">
        <v>46</v>
      </c>
      <c r="O35" s="4">
        <f t="shared" si="10"/>
        <v>0.27497575000908947</v>
      </c>
      <c r="P35" s="4">
        <v>1</v>
      </c>
      <c r="Q35" t="s">
        <v>50</v>
      </c>
      <c r="R35" s="4">
        <f t="shared" si="11"/>
        <v>8.4598750214761223E-6</v>
      </c>
      <c r="S35" s="3">
        <f t="shared" si="11"/>
        <v>11081432.58375</v>
      </c>
      <c r="T35" s="4">
        <v>0</v>
      </c>
    </row>
    <row r="36" spans="1:20" x14ac:dyDescent="0.4">
      <c r="A36" s="2">
        <v>45845</v>
      </c>
      <c r="B36" t="s">
        <v>38</v>
      </c>
      <c r="C36" t="s">
        <v>28</v>
      </c>
      <c r="D36" s="3" t="str">
        <f t="shared" ref="D36:D87" si="12">IF(J36/H36&gt;=0.75,"PASS","FAIL")</f>
        <v>PASS</v>
      </c>
      <c r="E36" s="3" t="str">
        <f t="shared" ref="E36:E87" si="13">IF(L36=0,"PASS","FAIL")</f>
        <v>PASS</v>
      </c>
      <c r="F36" s="3" t="str">
        <f t="shared" ref="F36:F87" si="14">IF(R36="","",IF(R36&lt;=0.1,"PASS","FAIL"))</f>
        <v>PASS</v>
      </c>
      <c r="G36" s="3" t="str">
        <f t="shared" ref="G36:G87" si="15">IF(S36=0,"PASS",IF(S36&lt;=0.05*J36,"PASS","FAIL"))</f>
        <v>FAIL</v>
      </c>
      <c r="H36" s="3">
        <v>48916880.200000003</v>
      </c>
      <c r="I36" s="4">
        <v>0</v>
      </c>
      <c r="J36" s="3">
        <v>41180752.390000001</v>
      </c>
      <c r="K36" s="3">
        <v>2999.68</v>
      </c>
      <c r="L36" s="3">
        <v>0</v>
      </c>
      <c r="M36" t="s">
        <v>29</v>
      </c>
      <c r="N36" t="s">
        <v>46</v>
      </c>
      <c r="O36" s="4">
        <f t="shared" si="10"/>
        <v>0.28168603162501399</v>
      </c>
      <c r="P36" s="4">
        <v>1</v>
      </c>
      <c r="Q36" t="s">
        <v>51</v>
      </c>
      <c r="R36" s="4">
        <f t="shared" si="11"/>
        <v>9.7417961525436436E-6</v>
      </c>
      <c r="S36" s="3">
        <f t="shared" si="11"/>
        <v>16696198.821562499</v>
      </c>
      <c r="T36" s="4">
        <v>0</v>
      </c>
    </row>
    <row r="37" spans="1:20" x14ac:dyDescent="0.4">
      <c r="A37" s="2">
        <v>45845</v>
      </c>
      <c r="B37" t="s">
        <v>39</v>
      </c>
      <c r="C37" t="s">
        <v>28</v>
      </c>
      <c r="D37" s="3" t="str">
        <f t="shared" si="12"/>
        <v>PASS</v>
      </c>
      <c r="E37" s="3" t="str">
        <f t="shared" si="13"/>
        <v>PASS</v>
      </c>
      <c r="F37" s="3" t="str">
        <f t="shared" si="14"/>
        <v>PASS</v>
      </c>
      <c r="G37" s="3" t="str">
        <f t="shared" si="15"/>
        <v>FAIL</v>
      </c>
      <c r="H37" s="3">
        <v>78723430.109999999</v>
      </c>
      <c r="I37" s="4">
        <v>0</v>
      </c>
      <c r="J37" s="3">
        <v>69958207.769999996</v>
      </c>
      <c r="K37" s="3">
        <v>5094.7</v>
      </c>
      <c r="L37" s="3">
        <v>0</v>
      </c>
      <c r="M37" t="s">
        <v>29</v>
      </c>
      <c r="N37" t="s">
        <v>42</v>
      </c>
      <c r="O37" s="4">
        <f t="shared" si="10"/>
        <v>0.25175708405154035</v>
      </c>
      <c r="P37" s="4">
        <v>1</v>
      </c>
      <c r="Q37" t="s">
        <v>52</v>
      </c>
      <c r="R37" s="4">
        <f t="shared" si="11"/>
        <v>1.3127714909386474E-5</v>
      </c>
      <c r="S37" s="3">
        <f t="shared" si="11"/>
        <v>17768527.43</v>
      </c>
      <c r="T37" s="4">
        <v>0</v>
      </c>
    </row>
    <row r="38" spans="1:20" x14ac:dyDescent="0.4">
      <c r="A38" s="2">
        <v>45846</v>
      </c>
      <c r="B38" t="s">
        <v>27</v>
      </c>
      <c r="C38" t="s">
        <v>28</v>
      </c>
      <c r="D38" s="3" t="str">
        <f t="shared" si="12"/>
        <v>PASS</v>
      </c>
      <c r="E38" s="3" t="str">
        <f t="shared" si="13"/>
        <v>PASS</v>
      </c>
      <c r="F38" s="3" t="str">
        <f t="shared" si="14"/>
        <v>PASS</v>
      </c>
      <c r="G38" s="3" t="str">
        <f t="shared" si="15"/>
        <v>FAIL</v>
      </c>
      <c r="H38" s="3">
        <v>55653828.789999999</v>
      </c>
      <c r="I38" s="4">
        <v>0</v>
      </c>
      <c r="J38" s="3">
        <v>50406869.640000001</v>
      </c>
      <c r="K38" s="3">
        <v>3657.05</v>
      </c>
      <c r="L38" s="3">
        <v>0</v>
      </c>
      <c r="M38" t="s">
        <v>29</v>
      </c>
      <c r="N38" t="s">
        <v>40</v>
      </c>
      <c r="O38" s="4">
        <f>AVERAGE(O119:O155)</f>
        <v>0.26321226090593824</v>
      </c>
      <c r="P38" s="4">
        <v>1</v>
      </c>
      <c r="Q38" t="s">
        <v>41</v>
      </c>
      <c r="R38" s="4">
        <f>AVERAGE(R119,R128,R137,R146,R155,R164,R173)</f>
        <v>7.222497675502306E-5</v>
      </c>
      <c r="S38" s="3">
        <f>AVERAGE(S119,S128,S137,S146,S155,S164,S173)</f>
        <v>10911740.721428573</v>
      </c>
      <c r="T38" s="4">
        <f>AVERAGE(T119,T128,T137,T146,T155,T164,T173)</f>
        <v>0.20633802294507814</v>
      </c>
    </row>
    <row r="39" spans="1:20" x14ac:dyDescent="0.4">
      <c r="A39" s="2">
        <v>45846</v>
      </c>
      <c r="B39" t="s">
        <v>30</v>
      </c>
      <c r="C39" t="s">
        <v>28</v>
      </c>
      <c r="D39" s="3" t="str">
        <f t="shared" si="12"/>
        <v>PASS</v>
      </c>
      <c r="E39" s="3" t="str">
        <f t="shared" si="13"/>
        <v>PASS</v>
      </c>
      <c r="F39" s="3" t="str">
        <f t="shared" si="14"/>
        <v>PASS</v>
      </c>
      <c r="G39" s="3" t="str">
        <f t="shared" si="15"/>
        <v>FAIL</v>
      </c>
      <c r="H39" s="3">
        <v>34668064.659999996</v>
      </c>
      <c r="I39" s="4">
        <v>0</v>
      </c>
      <c r="J39" s="3">
        <v>32115450.760000002</v>
      </c>
      <c r="K39" s="3">
        <v>2338.33</v>
      </c>
      <c r="L39" s="3">
        <v>0</v>
      </c>
      <c r="M39" t="s">
        <v>29</v>
      </c>
      <c r="N39" t="s">
        <v>42</v>
      </c>
      <c r="O39" s="4">
        <f>AVERAGE(O48,O57,O66,O75,O84)</f>
        <v>0.2537538444088675</v>
      </c>
      <c r="P39" s="4">
        <v>1</v>
      </c>
      <c r="Q39" t="s">
        <v>43</v>
      </c>
      <c r="R39" s="4">
        <f>AVERAGE(R48,R57,R66,R75)</f>
        <v>8.299510156360193E-6</v>
      </c>
      <c r="S39" s="3">
        <f>AVERAGE(S48,S57,S66,S75)</f>
        <v>4778033.4737500008</v>
      </c>
      <c r="T39" s="4">
        <v>0</v>
      </c>
    </row>
    <row r="40" spans="1:20" x14ac:dyDescent="0.4">
      <c r="A40" s="2">
        <v>45846</v>
      </c>
      <c r="B40" t="s">
        <v>31</v>
      </c>
      <c r="C40" t="s">
        <v>28</v>
      </c>
      <c r="D40" s="3" t="str">
        <f t="shared" si="12"/>
        <v>PASS</v>
      </c>
      <c r="E40" s="3" t="str">
        <f t="shared" si="13"/>
        <v>PASS</v>
      </c>
      <c r="F40" s="3" t="str">
        <f t="shared" si="14"/>
        <v>PASS</v>
      </c>
      <c r="G40" s="3" t="str">
        <f t="shared" si="15"/>
        <v>FAIL</v>
      </c>
      <c r="H40" s="3">
        <v>23711914</v>
      </c>
      <c r="I40" s="4">
        <v>0</v>
      </c>
      <c r="J40" s="3">
        <v>21380174.620000001</v>
      </c>
      <c r="K40" s="3">
        <v>1557.1</v>
      </c>
      <c r="L40" s="3">
        <v>0</v>
      </c>
      <c r="M40" t="s">
        <v>29</v>
      </c>
      <c r="N40" t="s">
        <v>42</v>
      </c>
      <c r="O40" s="4">
        <f t="shared" ref="O40:O46" si="16">AVERAGE(O49,O58,O67,O76,O85)</f>
        <v>0.25193852744079648</v>
      </c>
      <c r="P40" s="4">
        <v>1</v>
      </c>
      <c r="Q40" t="s">
        <v>44</v>
      </c>
      <c r="R40" s="4">
        <f t="shared" ref="R40:S46" si="17">AVERAGE(R49,R58,R67,R76)</f>
        <v>6.8778378748863789E-6</v>
      </c>
      <c r="S40" s="3">
        <f t="shared" si="17"/>
        <v>4267866.7249999996</v>
      </c>
      <c r="T40" s="4">
        <v>0</v>
      </c>
    </row>
    <row r="41" spans="1:20" x14ac:dyDescent="0.4">
      <c r="A41" s="2">
        <v>45846</v>
      </c>
      <c r="B41" t="s">
        <v>33</v>
      </c>
      <c r="C41" t="s">
        <v>28</v>
      </c>
      <c r="D41" s="3" t="str">
        <f t="shared" si="12"/>
        <v>PASS</v>
      </c>
      <c r="E41" s="3" t="str">
        <f t="shared" si="13"/>
        <v>PASS</v>
      </c>
      <c r="F41" s="3" t="str">
        <f t="shared" si="14"/>
        <v>PASS</v>
      </c>
      <c r="G41" s="3" t="str">
        <f t="shared" si="15"/>
        <v>FAIL</v>
      </c>
      <c r="H41" s="3">
        <v>15388358.51</v>
      </c>
      <c r="I41" s="4">
        <v>0</v>
      </c>
      <c r="J41" s="3">
        <v>13525674.789999999</v>
      </c>
      <c r="K41" s="3">
        <v>985.38</v>
      </c>
      <c r="L41" s="3">
        <v>0</v>
      </c>
      <c r="M41" t="s">
        <v>29</v>
      </c>
      <c r="N41" t="s">
        <v>46</v>
      </c>
      <c r="O41" s="4">
        <f t="shared" si="16"/>
        <v>0.27234023599231372</v>
      </c>
      <c r="P41" s="4">
        <v>1</v>
      </c>
      <c r="Q41" t="s">
        <v>47</v>
      </c>
      <c r="R41" s="4">
        <f t="shared" si="17"/>
        <v>5.8179110657200615E-6</v>
      </c>
      <c r="S41" s="3">
        <f t="shared" si="17"/>
        <v>4251277.0524999993</v>
      </c>
      <c r="T41" s="4">
        <v>0</v>
      </c>
    </row>
    <row r="42" spans="1:20" x14ac:dyDescent="0.4">
      <c r="A42" s="2">
        <v>45846</v>
      </c>
      <c r="B42" t="s">
        <v>35</v>
      </c>
      <c r="C42" t="s">
        <v>28</v>
      </c>
      <c r="D42" s="3" t="str">
        <f t="shared" si="12"/>
        <v>PASS</v>
      </c>
      <c r="E42" s="3" t="str">
        <f t="shared" si="13"/>
        <v>PASS</v>
      </c>
      <c r="F42" s="3" t="str">
        <f t="shared" si="14"/>
        <v>PASS</v>
      </c>
      <c r="G42" s="3" t="str">
        <f t="shared" si="15"/>
        <v>FAIL</v>
      </c>
      <c r="H42" s="3">
        <v>136276948.97999999</v>
      </c>
      <c r="I42" s="4">
        <v>0</v>
      </c>
      <c r="J42" s="3">
        <v>119062316.5</v>
      </c>
      <c r="K42" s="3">
        <v>8665.67</v>
      </c>
      <c r="L42" s="3">
        <v>0</v>
      </c>
      <c r="M42" t="s">
        <v>29</v>
      </c>
      <c r="N42" t="s">
        <v>42</v>
      </c>
      <c r="O42" s="4">
        <f t="shared" si="16"/>
        <v>0.25718447818768342</v>
      </c>
      <c r="P42" s="4">
        <v>1</v>
      </c>
      <c r="Q42" t="s">
        <v>48</v>
      </c>
      <c r="R42" s="4">
        <f t="shared" si="17"/>
        <v>2.0228570147645045E-5</v>
      </c>
      <c r="S42" s="3">
        <f t="shared" si="17"/>
        <v>35264155.954999998</v>
      </c>
      <c r="T42" s="4">
        <v>0</v>
      </c>
    </row>
    <row r="43" spans="1:20" x14ac:dyDescent="0.4">
      <c r="A43" s="2">
        <v>45846</v>
      </c>
      <c r="B43" t="s">
        <v>36</v>
      </c>
      <c r="C43" t="s">
        <v>28</v>
      </c>
      <c r="D43" s="3" t="str">
        <f t="shared" si="12"/>
        <v>PASS</v>
      </c>
      <c r="E43" s="3" t="str">
        <f t="shared" si="13"/>
        <v>PASS</v>
      </c>
      <c r="F43" s="3" t="str">
        <f t="shared" si="14"/>
        <v>PASS</v>
      </c>
      <c r="G43" s="3" t="str">
        <f t="shared" si="15"/>
        <v>FAIL</v>
      </c>
      <c r="H43" s="3">
        <v>102246271.92</v>
      </c>
      <c r="I43" s="4">
        <v>0</v>
      </c>
      <c r="J43" s="3">
        <v>91998232.519999996</v>
      </c>
      <c r="K43" s="3">
        <v>6697.27</v>
      </c>
      <c r="L43" s="3">
        <v>0</v>
      </c>
      <c r="M43" t="s">
        <v>29</v>
      </c>
      <c r="N43" t="s">
        <v>42</v>
      </c>
      <c r="O43" s="4">
        <f t="shared" si="16"/>
        <v>0.24965392380972079</v>
      </c>
      <c r="P43" s="4">
        <v>1</v>
      </c>
      <c r="Q43" t="s">
        <v>49</v>
      </c>
      <c r="R43" s="4">
        <f t="shared" si="17"/>
        <v>1.5912024564395676E-5</v>
      </c>
      <c r="S43" s="3">
        <f t="shared" si="17"/>
        <v>19231359.215</v>
      </c>
      <c r="T43" s="4">
        <v>0</v>
      </c>
    </row>
    <row r="44" spans="1:20" x14ac:dyDescent="0.4">
      <c r="A44" s="2">
        <v>45846</v>
      </c>
      <c r="B44" t="s">
        <v>37</v>
      </c>
      <c r="C44" t="s">
        <v>28</v>
      </c>
      <c r="D44" s="3" t="str">
        <f t="shared" si="12"/>
        <v>PASS</v>
      </c>
      <c r="E44" s="3" t="str">
        <f t="shared" si="13"/>
        <v>PASS</v>
      </c>
      <c r="F44" s="3" t="str">
        <f t="shared" si="14"/>
        <v>PASS</v>
      </c>
      <c r="G44" s="3" t="str">
        <f t="shared" si="15"/>
        <v>FAIL</v>
      </c>
      <c r="H44" s="3">
        <v>40374740.659999996</v>
      </c>
      <c r="I44" s="4">
        <v>0</v>
      </c>
      <c r="J44" s="3">
        <v>34669078.939999998</v>
      </c>
      <c r="K44" s="3">
        <v>2524.4499999999998</v>
      </c>
      <c r="L44" s="3">
        <v>0</v>
      </c>
      <c r="M44" t="s">
        <v>29</v>
      </c>
      <c r="N44" t="s">
        <v>46</v>
      </c>
      <c r="O44" s="4">
        <f t="shared" si="16"/>
        <v>0.27630671560665798</v>
      </c>
      <c r="P44" s="4">
        <v>1</v>
      </c>
      <c r="Q44" t="s">
        <v>50</v>
      </c>
      <c r="R44" s="4">
        <f t="shared" si="17"/>
        <v>8.0563852908109954E-6</v>
      </c>
      <c r="S44" s="3">
        <f t="shared" si="17"/>
        <v>11079694.095000001</v>
      </c>
      <c r="T44" s="4">
        <v>0</v>
      </c>
    </row>
    <row r="45" spans="1:20" x14ac:dyDescent="0.4">
      <c r="A45" s="2">
        <v>45846</v>
      </c>
      <c r="B45" t="s">
        <v>38</v>
      </c>
      <c r="C45" t="s">
        <v>28</v>
      </c>
      <c r="D45" s="3" t="str">
        <f t="shared" si="12"/>
        <v>PASS</v>
      </c>
      <c r="E45" s="3" t="str">
        <f t="shared" si="13"/>
        <v>PASS</v>
      </c>
      <c r="F45" s="3" t="str">
        <f t="shared" si="14"/>
        <v>PASS</v>
      </c>
      <c r="G45" s="3" t="str">
        <f t="shared" si="15"/>
        <v>FAIL</v>
      </c>
      <c r="H45" s="3">
        <v>48820055.969999999</v>
      </c>
      <c r="I45" s="4">
        <v>0</v>
      </c>
      <c r="J45" s="3">
        <v>41080938.32</v>
      </c>
      <c r="K45" s="3">
        <v>2990.39</v>
      </c>
      <c r="L45" s="3">
        <v>0</v>
      </c>
      <c r="M45" t="s">
        <v>29</v>
      </c>
      <c r="N45" t="s">
        <v>46</v>
      </c>
      <c r="O45" s="4">
        <f t="shared" si="16"/>
        <v>0.2835856824657067</v>
      </c>
      <c r="P45" s="4">
        <v>1</v>
      </c>
      <c r="Q45" t="s">
        <v>51</v>
      </c>
      <c r="R45" s="4">
        <f t="shared" si="17"/>
        <v>9.3762744348994742E-6</v>
      </c>
      <c r="S45" s="3">
        <f t="shared" si="17"/>
        <v>16692000.55125</v>
      </c>
      <c r="T45" s="4">
        <v>0</v>
      </c>
    </row>
    <row r="46" spans="1:20" x14ac:dyDescent="0.4">
      <c r="A46" s="2">
        <v>45846</v>
      </c>
      <c r="B46" t="s">
        <v>39</v>
      </c>
      <c r="C46" t="s">
        <v>28</v>
      </c>
      <c r="D46" s="3" t="str">
        <f t="shared" si="12"/>
        <v>PASS</v>
      </c>
      <c r="E46" s="3" t="str">
        <f t="shared" si="13"/>
        <v>PASS</v>
      </c>
      <c r="F46" s="3" t="str">
        <f t="shared" si="14"/>
        <v>PASS</v>
      </c>
      <c r="G46" s="3" t="str">
        <f t="shared" si="15"/>
        <v>FAIL</v>
      </c>
      <c r="H46" s="3">
        <v>78549789.030000001</v>
      </c>
      <c r="I46" s="4">
        <v>0</v>
      </c>
      <c r="J46" s="3">
        <v>69779487.530000001</v>
      </c>
      <c r="K46" s="3">
        <v>5079.87</v>
      </c>
      <c r="L46" s="3">
        <v>0</v>
      </c>
      <c r="M46" t="s">
        <v>29</v>
      </c>
      <c r="N46" t="s">
        <v>42</v>
      </c>
      <c r="O46" s="4">
        <f t="shared" si="16"/>
        <v>0.25197634872208741</v>
      </c>
      <c r="P46" s="4">
        <v>1</v>
      </c>
      <c r="Q46" t="s">
        <v>52</v>
      </c>
      <c r="R46" s="4">
        <f t="shared" si="17"/>
        <v>1.3137243932731475E-5</v>
      </c>
      <c r="S46" s="3">
        <f t="shared" si="17"/>
        <v>17758744.039999999</v>
      </c>
      <c r="T46" s="4">
        <v>0</v>
      </c>
    </row>
    <row r="47" spans="1:20" x14ac:dyDescent="0.4">
      <c r="A47" s="2">
        <v>45847</v>
      </c>
      <c r="B47" t="s">
        <v>27</v>
      </c>
      <c r="C47" t="s">
        <v>28</v>
      </c>
      <c r="D47" s="3" t="str">
        <f t="shared" si="12"/>
        <v>PASS</v>
      </c>
      <c r="E47" s="3" t="str">
        <f t="shared" si="13"/>
        <v>PASS</v>
      </c>
      <c r="F47" s="3" t="str">
        <f t="shared" si="14"/>
        <v>PASS</v>
      </c>
      <c r="G47" s="3" t="str">
        <f t="shared" si="15"/>
        <v>FAIL</v>
      </c>
      <c r="H47" s="3">
        <v>55728246.5</v>
      </c>
      <c r="I47" s="4">
        <v>0</v>
      </c>
      <c r="J47" s="3">
        <v>50477627.670000002</v>
      </c>
      <c r="K47" s="3">
        <v>3660.36</v>
      </c>
      <c r="L47" s="3">
        <v>0</v>
      </c>
      <c r="M47" t="s">
        <v>29</v>
      </c>
      <c r="N47" t="s">
        <v>40</v>
      </c>
      <c r="O47" s="4">
        <v>0.26259420899603458</v>
      </c>
      <c r="P47" s="4">
        <v>0.73740579100396542</v>
      </c>
      <c r="Q47" t="s">
        <v>41</v>
      </c>
      <c r="R47" s="4">
        <v>1.115989392290674E-4</v>
      </c>
      <c r="S47" s="3">
        <v>10402904.199999999</v>
      </c>
      <c r="T47" s="4">
        <v>0.186672017394267</v>
      </c>
    </row>
    <row r="48" spans="1:20" x14ac:dyDescent="0.4">
      <c r="A48" s="2">
        <v>45847</v>
      </c>
      <c r="B48" t="s">
        <v>30</v>
      </c>
      <c r="C48" t="s">
        <v>28</v>
      </c>
      <c r="D48" s="3" t="str">
        <f t="shared" si="12"/>
        <v>PASS</v>
      </c>
      <c r="E48" s="3" t="str">
        <f t="shared" si="13"/>
        <v>PASS</v>
      </c>
      <c r="F48" s="3" t="str">
        <f t="shared" si="14"/>
        <v>PASS</v>
      </c>
      <c r="G48" s="3" t="str">
        <f t="shared" si="15"/>
        <v>FAIL</v>
      </c>
      <c r="H48" s="3">
        <v>34819587.170000002</v>
      </c>
      <c r="I48" s="4">
        <v>0</v>
      </c>
      <c r="J48" s="3">
        <v>32264641.600000001</v>
      </c>
      <c r="K48" s="3">
        <v>2332.38</v>
      </c>
      <c r="L48" s="3">
        <v>0</v>
      </c>
      <c r="M48" t="s">
        <v>29</v>
      </c>
      <c r="N48" t="s">
        <v>42</v>
      </c>
      <c r="O48" s="4">
        <v>0.25095663917122202</v>
      </c>
      <c r="P48" s="4">
        <v>0.74904336082877798</v>
      </c>
      <c r="Q48" t="s">
        <v>43</v>
      </c>
      <c r="R48" s="4">
        <v>6.1134695841003664E-6</v>
      </c>
      <c r="S48" s="3">
        <v>4779596.5900000008</v>
      </c>
      <c r="T48" s="4">
        <v>0.13726746864242051</v>
      </c>
    </row>
    <row r="49" spans="1:20" x14ac:dyDescent="0.4">
      <c r="A49" s="2">
        <v>45847</v>
      </c>
      <c r="B49" t="s">
        <v>31</v>
      </c>
      <c r="C49" t="s">
        <v>28</v>
      </c>
      <c r="D49" s="3" t="str">
        <f t="shared" si="12"/>
        <v>PASS</v>
      </c>
      <c r="E49" s="3" t="str">
        <f t="shared" si="13"/>
        <v>PASS</v>
      </c>
      <c r="F49" s="3" t="str">
        <f t="shared" si="14"/>
        <v>PASS</v>
      </c>
      <c r="G49" s="3" t="str">
        <f t="shared" si="15"/>
        <v>FAIL</v>
      </c>
      <c r="H49" s="3">
        <v>23807626.629999999</v>
      </c>
      <c r="I49" s="4">
        <v>0</v>
      </c>
      <c r="J49" s="3">
        <v>21474334.989999998</v>
      </c>
      <c r="K49" s="3">
        <v>1552.97</v>
      </c>
      <c r="L49" s="3">
        <v>0</v>
      </c>
      <c r="M49" t="s">
        <v>29</v>
      </c>
      <c r="N49" t="s">
        <v>42</v>
      </c>
      <c r="O49" s="4">
        <v>0.2481372500001221</v>
      </c>
      <c r="P49" s="4">
        <v>0.7518627499998779</v>
      </c>
      <c r="Q49" t="s">
        <v>44</v>
      </c>
      <c r="R49" s="4">
        <v>4.0243803970807433E-6</v>
      </c>
      <c r="S49" s="3">
        <v>4268267.51</v>
      </c>
      <c r="T49" s="4">
        <v>0.17928152084767471</v>
      </c>
    </row>
    <row r="50" spans="1:20" x14ac:dyDescent="0.4">
      <c r="A50" s="2">
        <v>45847</v>
      </c>
      <c r="B50" t="s">
        <v>33</v>
      </c>
      <c r="C50" t="s">
        <v>28</v>
      </c>
      <c r="D50" s="3" t="str">
        <f t="shared" si="12"/>
        <v>PASS</v>
      </c>
      <c r="E50" s="3" t="str">
        <f t="shared" si="13"/>
        <v>PASS</v>
      </c>
      <c r="F50" s="3" t="str">
        <f t="shared" si="14"/>
        <v>PASS</v>
      </c>
      <c r="G50" s="3" t="str">
        <f t="shared" si="15"/>
        <v>FAIL</v>
      </c>
      <c r="H50" s="3">
        <v>15451111.109999999</v>
      </c>
      <c r="I50" s="4">
        <v>0</v>
      </c>
      <c r="J50" s="3">
        <v>13587445.390000001</v>
      </c>
      <c r="K50" s="3">
        <v>982.71</v>
      </c>
      <c r="L50" s="3">
        <v>0</v>
      </c>
      <c r="M50" t="s">
        <v>29</v>
      </c>
      <c r="N50" t="s">
        <v>46</v>
      </c>
      <c r="O50" s="4">
        <v>0.28166112246652419</v>
      </c>
      <c r="P50" s="4">
        <v>0.71833887753347581</v>
      </c>
      <c r="Q50" t="s">
        <v>47</v>
      </c>
      <c r="R50" s="4">
        <v>2.5440748688551829E-6</v>
      </c>
      <c r="S50" s="3">
        <v>4248305.0999999996</v>
      </c>
      <c r="T50" s="4">
        <v>0.27495143033762048</v>
      </c>
    </row>
    <row r="51" spans="1:20" x14ac:dyDescent="0.4">
      <c r="A51" s="2">
        <v>45847</v>
      </c>
      <c r="B51" t="s">
        <v>35</v>
      </c>
      <c r="C51" t="s">
        <v>28</v>
      </c>
      <c r="D51" s="3" t="str">
        <f t="shared" si="12"/>
        <v>PASS</v>
      </c>
      <c r="E51" s="3" t="str">
        <f t="shared" si="13"/>
        <v>PASS</v>
      </c>
      <c r="F51" s="3" t="str">
        <f t="shared" si="14"/>
        <v>PASS</v>
      </c>
      <c r="G51" s="3" t="str">
        <f t="shared" si="15"/>
        <v>FAIL</v>
      </c>
      <c r="H51" s="3">
        <v>136853639.97</v>
      </c>
      <c r="I51" s="4">
        <v>0</v>
      </c>
      <c r="J51" s="3">
        <v>119630363.23999999</v>
      </c>
      <c r="K51" s="3">
        <v>8644.7999999999993</v>
      </c>
      <c r="L51" s="3">
        <v>0</v>
      </c>
      <c r="M51" t="s">
        <v>29</v>
      </c>
      <c r="N51" t="s">
        <v>42</v>
      </c>
      <c r="O51" s="4">
        <v>0.25599093165471848</v>
      </c>
      <c r="P51" s="4">
        <v>0.74400906834528147</v>
      </c>
      <c r="Q51" t="s">
        <v>48</v>
      </c>
      <c r="R51" s="4">
        <v>2.312523470212109E-5</v>
      </c>
      <c r="S51" s="3">
        <v>35250452.810000002</v>
      </c>
      <c r="T51" s="4">
        <v>0.25757775107572828</v>
      </c>
    </row>
    <row r="52" spans="1:20" x14ac:dyDescent="0.4">
      <c r="A52" s="2">
        <v>45847</v>
      </c>
      <c r="B52" t="s">
        <v>36</v>
      </c>
      <c r="C52" t="s">
        <v>28</v>
      </c>
      <c r="D52" s="3" t="str">
        <f t="shared" si="12"/>
        <v>PASS</v>
      </c>
      <c r="E52" s="3" t="str">
        <f t="shared" si="13"/>
        <v>PASS</v>
      </c>
      <c r="F52" s="3" t="str">
        <f t="shared" si="14"/>
        <v>PASS</v>
      </c>
      <c r="G52" s="3" t="str">
        <f t="shared" si="15"/>
        <v>FAIL</v>
      </c>
      <c r="H52" s="3">
        <v>102650184.27</v>
      </c>
      <c r="I52" s="4">
        <v>0</v>
      </c>
      <c r="J52" s="3">
        <v>92395465.549999997</v>
      </c>
      <c r="K52" s="3">
        <v>6680</v>
      </c>
      <c r="L52" s="3">
        <v>0</v>
      </c>
      <c r="M52" t="s">
        <v>29</v>
      </c>
      <c r="N52" t="s">
        <v>42</v>
      </c>
      <c r="O52" s="4">
        <v>0.2460277881028545</v>
      </c>
      <c r="P52" s="4">
        <v>0.75397221189714547</v>
      </c>
      <c r="Q52" t="s">
        <v>49</v>
      </c>
      <c r="R52" s="4">
        <v>1.716556309497922E-5</v>
      </c>
      <c r="S52" s="3">
        <v>19257993.34</v>
      </c>
      <c r="T52" s="4">
        <v>0.1876079763222426</v>
      </c>
    </row>
    <row r="53" spans="1:20" x14ac:dyDescent="0.4">
      <c r="A53" s="2">
        <v>45847</v>
      </c>
      <c r="B53" t="s">
        <v>37</v>
      </c>
      <c r="C53" t="s">
        <v>28</v>
      </c>
      <c r="D53" s="3" t="str">
        <f t="shared" si="12"/>
        <v>PASS</v>
      </c>
      <c r="E53" s="3" t="str">
        <f t="shared" si="13"/>
        <v>PASS</v>
      </c>
      <c r="F53" s="3" t="str">
        <f t="shared" si="14"/>
        <v>PASS</v>
      </c>
      <c r="G53" s="3" t="str">
        <f t="shared" si="15"/>
        <v>FAIL</v>
      </c>
      <c r="H53" s="3">
        <v>40535610.719999999</v>
      </c>
      <c r="I53" s="4">
        <v>0</v>
      </c>
      <c r="J53" s="3">
        <v>34827431.93</v>
      </c>
      <c r="K53" s="3">
        <v>2517.75</v>
      </c>
      <c r="L53" s="3">
        <v>0</v>
      </c>
      <c r="M53" t="s">
        <v>29</v>
      </c>
      <c r="N53" t="s">
        <v>46</v>
      </c>
      <c r="O53" s="4">
        <v>0.27892422730233729</v>
      </c>
      <c r="P53" s="4">
        <v>0.72107577269766265</v>
      </c>
      <c r="Q53" t="s">
        <v>50</v>
      </c>
      <c r="R53" s="4">
        <v>6.4552428662303649E-6</v>
      </c>
      <c r="S53" s="3">
        <v>11079648.699999999</v>
      </c>
      <c r="T53" s="4">
        <v>0.27333123895758588</v>
      </c>
    </row>
    <row r="54" spans="1:20" x14ac:dyDescent="0.4">
      <c r="A54" s="2">
        <v>45847</v>
      </c>
      <c r="B54" t="s">
        <v>38</v>
      </c>
      <c r="C54" t="s">
        <v>28</v>
      </c>
      <c r="D54" s="3" t="str">
        <f t="shared" si="12"/>
        <v>PASS</v>
      </c>
      <c r="E54" s="3" t="str">
        <f t="shared" si="13"/>
        <v>PASS</v>
      </c>
      <c r="F54" s="3" t="str">
        <f t="shared" si="14"/>
        <v>PASS</v>
      </c>
      <c r="G54" s="3" t="str">
        <f t="shared" si="15"/>
        <v>FAIL</v>
      </c>
      <c r="H54" s="3">
        <v>49024745.530000001</v>
      </c>
      <c r="I54" s="4">
        <v>0</v>
      </c>
      <c r="J54" s="3">
        <v>41282645.289999999</v>
      </c>
      <c r="K54" s="3">
        <v>2983.14</v>
      </c>
      <c r="L54" s="3">
        <v>0</v>
      </c>
      <c r="M54" t="s">
        <v>29</v>
      </c>
      <c r="N54" t="s">
        <v>46</v>
      </c>
      <c r="O54" s="4">
        <v>0.2890173574436658</v>
      </c>
      <c r="P54" s="4">
        <v>0.71098264255633414</v>
      </c>
      <c r="Q54" t="s">
        <v>51</v>
      </c>
      <c r="R54" s="4">
        <v>7.9291401454159866E-6</v>
      </c>
      <c r="S54" s="3">
        <v>16670169.710000001</v>
      </c>
      <c r="T54" s="4">
        <v>0.340035823333319</v>
      </c>
    </row>
    <row r="55" spans="1:20" x14ac:dyDescent="0.4">
      <c r="A55" s="2">
        <v>45847</v>
      </c>
      <c r="B55" t="s">
        <v>39</v>
      </c>
      <c r="C55" t="s">
        <v>28</v>
      </c>
      <c r="D55" s="3" t="str">
        <f t="shared" si="12"/>
        <v>PASS</v>
      </c>
      <c r="E55" s="3" t="str">
        <f t="shared" si="13"/>
        <v>PASS</v>
      </c>
      <c r="F55" s="3" t="str">
        <f t="shared" si="14"/>
        <v>PASS</v>
      </c>
      <c r="G55" s="3" t="str">
        <f t="shared" si="15"/>
        <v>FAIL</v>
      </c>
      <c r="H55" s="3">
        <v>78888122.010000005</v>
      </c>
      <c r="I55" s="4">
        <v>0</v>
      </c>
      <c r="J55" s="3">
        <v>70112754.329999998</v>
      </c>
      <c r="K55" s="3">
        <v>5066.8900000000003</v>
      </c>
      <c r="L55" s="3">
        <v>0</v>
      </c>
      <c r="M55" t="s">
        <v>29</v>
      </c>
      <c r="N55" t="s">
        <v>42</v>
      </c>
      <c r="O55" s="4">
        <v>0.24974531092565619</v>
      </c>
      <c r="P55" s="4">
        <v>0.75025468907434378</v>
      </c>
      <c r="Q55" t="s">
        <v>52</v>
      </c>
      <c r="R55" s="4">
        <v>1.32138095203511E-5</v>
      </c>
      <c r="S55" s="3">
        <v>17753062.379999999</v>
      </c>
      <c r="T55" s="4">
        <v>0.22504100652503281</v>
      </c>
    </row>
    <row r="56" spans="1:20" x14ac:dyDescent="0.4">
      <c r="A56" s="2">
        <v>45848</v>
      </c>
      <c r="B56" t="s">
        <v>27</v>
      </c>
      <c r="C56" t="s">
        <v>28</v>
      </c>
      <c r="D56" s="3" t="str">
        <f t="shared" si="12"/>
        <v>PASS</v>
      </c>
      <c r="E56" s="3" t="str">
        <f t="shared" si="13"/>
        <v>PASS</v>
      </c>
      <c r="F56" s="3" t="str">
        <f t="shared" si="14"/>
        <v>PASS</v>
      </c>
      <c r="G56" s="3" t="str">
        <f t="shared" si="15"/>
        <v>FAIL</v>
      </c>
      <c r="H56" s="3">
        <v>55787421.93</v>
      </c>
      <c r="I56" s="4">
        <v>0</v>
      </c>
      <c r="J56" s="3">
        <v>50533138.289999999</v>
      </c>
      <c r="K56" s="3">
        <v>3665.49</v>
      </c>
      <c r="L56" s="3">
        <v>0</v>
      </c>
      <c r="M56" t="s">
        <v>29</v>
      </c>
      <c r="N56" t="s">
        <v>53</v>
      </c>
      <c r="O56" s="4">
        <v>0.26470246619626681</v>
      </c>
      <c r="P56" s="4">
        <v>0.73529753380373331</v>
      </c>
      <c r="Q56" t="s">
        <v>54</v>
      </c>
      <c r="R56" s="4">
        <v>6.2563928897243796E-5</v>
      </c>
      <c r="S56" s="3">
        <v>10409743.34</v>
      </c>
      <c r="T56" s="4">
        <v>0.1865966015253718</v>
      </c>
    </row>
    <row r="57" spans="1:20" x14ac:dyDescent="0.4">
      <c r="A57" s="2">
        <v>45848</v>
      </c>
      <c r="B57" t="s">
        <v>30</v>
      </c>
      <c r="C57" t="s">
        <v>28</v>
      </c>
      <c r="D57" s="3" t="str">
        <f t="shared" si="12"/>
        <v>PASS</v>
      </c>
      <c r="E57" s="3" t="str">
        <f t="shared" si="13"/>
        <v>PASS</v>
      </c>
      <c r="F57" s="3" t="str">
        <f t="shared" si="14"/>
        <v>PASS</v>
      </c>
      <c r="G57" s="3" t="str">
        <f t="shared" si="15"/>
        <v>FAIL</v>
      </c>
      <c r="H57" s="3">
        <v>34798134.640000001</v>
      </c>
      <c r="I57" s="4">
        <v>0</v>
      </c>
      <c r="J57" s="3">
        <v>32310269.559999999</v>
      </c>
      <c r="K57" s="3">
        <v>2343.21</v>
      </c>
      <c r="L57" s="3">
        <v>0</v>
      </c>
      <c r="M57" t="s">
        <v>29</v>
      </c>
      <c r="N57" t="s">
        <v>42</v>
      </c>
      <c r="O57" s="4">
        <v>0.25122184161684852</v>
      </c>
      <c r="P57" s="4">
        <v>0.74877815838315154</v>
      </c>
      <c r="Q57" t="s">
        <v>55</v>
      </c>
      <c r="R57" s="4">
        <v>6.1134695841003664E-6</v>
      </c>
      <c r="S57" s="3">
        <v>4783696.2200000007</v>
      </c>
      <c r="T57" s="4">
        <v>0.1374699037603356</v>
      </c>
    </row>
    <row r="58" spans="1:20" x14ac:dyDescent="0.4">
      <c r="A58" s="2">
        <v>45848</v>
      </c>
      <c r="B58" t="s">
        <v>31</v>
      </c>
      <c r="C58" t="s">
        <v>28</v>
      </c>
      <c r="D58" s="3" t="str">
        <f t="shared" si="12"/>
        <v>PASS</v>
      </c>
      <c r="E58" s="3" t="str">
        <f t="shared" si="13"/>
        <v>PASS</v>
      </c>
      <c r="F58" s="3" t="str">
        <f t="shared" si="14"/>
        <v>PASS</v>
      </c>
      <c r="G58" s="3" t="str">
        <f t="shared" si="15"/>
        <v>FAIL</v>
      </c>
      <c r="H58" s="3">
        <v>23779193.329999998</v>
      </c>
      <c r="I58" s="4">
        <v>0</v>
      </c>
      <c r="J58" s="3">
        <v>21490918.059999999</v>
      </c>
      <c r="K58" s="3">
        <v>1559.81</v>
      </c>
      <c r="L58" s="3">
        <v>0</v>
      </c>
      <c r="M58" t="s">
        <v>29</v>
      </c>
      <c r="N58" t="s">
        <v>42</v>
      </c>
      <c r="O58" s="4">
        <v>0.24855692898212101</v>
      </c>
      <c r="P58" s="4">
        <v>0.75144307101787899</v>
      </c>
      <c r="Q58" t="s">
        <v>56</v>
      </c>
      <c r="R58" s="4">
        <v>4.0243803970807433E-6</v>
      </c>
      <c r="S58" s="3">
        <v>4271806.8900000006</v>
      </c>
      <c r="T58" s="4">
        <v>0.17964473524047839</v>
      </c>
    </row>
    <row r="59" spans="1:20" x14ac:dyDescent="0.4">
      <c r="A59" s="2">
        <v>45848</v>
      </c>
      <c r="B59" t="s">
        <v>33</v>
      </c>
      <c r="C59" t="s">
        <v>28</v>
      </c>
      <c r="D59" s="3" t="str">
        <f t="shared" si="12"/>
        <v>PASS</v>
      </c>
      <c r="E59" s="3" t="str">
        <f t="shared" si="13"/>
        <v>PASS</v>
      </c>
      <c r="F59" s="3" t="str">
        <f t="shared" si="14"/>
        <v>PASS</v>
      </c>
      <c r="G59" s="3" t="str">
        <f t="shared" si="15"/>
        <v>FAIL</v>
      </c>
      <c r="H59" s="3">
        <v>15433779.5</v>
      </c>
      <c r="I59" s="4">
        <v>0</v>
      </c>
      <c r="J59" s="3">
        <v>13598616.18</v>
      </c>
      <c r="K59" s="3">
        <v>987.2</v>
      </c>
      <c r="L59" s="3">
        <v>0</v>
      </c>
      <c r="M59" t="s">
        <v>29</v>
      </c>
      <c r="N59" t="s">
        <v>46</v>
      </c>
      <c r="O59" s="4">
        <v>0.28279402559033029</v>
      </c>
      <c r="P59" s="4">
        <v>0.71720597440966971</v>
      </c>
      <c r="Q59" t="s">
        <v>57</v>
      </c>
      <c r="R59" s="4">
        <v>2.5526192009084332E-6</v>
      </c>
      <c r="S59" s="3">
        <v>4256998.3399999989</v>
      </c>
      <c r="T59" s="4">
        <v>0.27582345205851871</v>
      </c>
    </row>
    <row r="60" spans="1:20" x14ac:dyDescent="0.4">
      <c r="A60" s="2">
        <v>45848</v>
      </c>
      <c r="B60" t="s">
        <v>35</v>
      </c>
      <c r="C60" t="s">
        <v>28</v>
      </c>
      <c r="D60" s="3" t="str">
        <f t="shared" si="12"/>
        <v>PASS</v>
      </c>
      <c r="E60" s="3" t="str">
        <f t="shared" si="13"/>
        <v>PASS</v>
      </c>
      <c r="F60" s="3" t="str">
        <f t="shared" si="14"/>
        <v>PASS</v>
      </c>
      <c r="G60" s="3" t="str">
        <f t="shared" si="15"/>
        <v>FAIL</v>
      </c>
      <c r="H60" s="3">
        <v>137008555.46000001</v>
      </c>
      <c r="I60" s="4">
        <v>0</v>
      </c>
      <c r="J60" s="3">
        <v>119776593.23999999</v>
      </c>
      <c r="K60" s="3">
        <v>8686.0400000000009</v>
      </c>
      <c r="L60" s="3">
        <v>0</v>
      </c>
      <c r="M60" t="s">
        <v>29</v>
      </c>
      <c r="N60" t="s">
        <v>42</v>
      </c>
      <c r="O60" s="4">
        <v>0.25568872229179801</v>
      </c>
      <c r="P60" s="4">
        <v>0.74431127770820205</v>
      </c>
      <c r="Q60" t="s">
        <v>58</v>
      </c>
      <c r="R60" s="4">
        <v>2.3069696543774962E-5</v>
      </c>
      <c r="S60" s="3">
        <v>35344110.029999986</v>
      </c>
      <c r="T60" s="4">
        <v>0.25797009472389332</v>
      </c>
    </row>
    <row r="61" spans="1:20" x14ac:dyDescent="0.4">
      <c r="A61" s="2">
        <v>45848</v>
      </c>
      <c r="B61" t="s">
        <v>36</v>
      </c>
      <c r="C61" t="s">
        <v>28</v>
      </c>
      <c r="D61" s="3" t="str">
        <f t="shared" si="12"/>
        <v>PASS</v>
      </c>
      <c r="E61" s="3" t="str">
        <f t="shared" si="13"/>
        <v>PASS</v>
      </c>
      <c r="F61" s="3" t="str">
        <f t="shared" si="14"/>
        <v>PASS</v>
      </c>
      <c r="G61" s="3" t="str">
        <f t="shared" si="15"/>
        <v>FAIL</v>
      </c>
      <c r="H61" s="3">
        <v>102496999.77</v>
      </c>
      <c r="I61" s="4">
        <v>0</v>
      </c>
      <c r="J61" s="3">
        <v>92436005.760000005</v>
      </c>
      <c r="K61" s="3">
        <v>6708.84</v>
      </c>
      <c r="L61" s="3">
        <v>0</v>
      </c>
      <c r="M61" t="s">
        <v>29</v>
      </c>
      <c r="N61" t="s">
        <v>42</v>
      </c>
      <c r="O61" s="4">
        <v>0.24652795953956189</v>
      </c>
      <c r="P61" s="4">
        <v>0.75347204046043803</v>
      </c>
      <c r="Q61" t="s">
        <v>59</v>
      </c>
      <c r="R61" s="4">
        <v>1.716556309497922E-5</v>
      </c>
      <c r="S61" s="3">
        <v>19219363.879999999</v>
      </c>
      <c r="T61" s="4">
        <v>0.18751147763473711</v>
      </c>
    </row>
    <row r="62" spans="1:20" x14ac:dyDescent="0.4">
      <c r="A62" s="2">
        <v>45848</v>
      </c>
      <c r="B62" t="s">
        <v>37</v>
      </c>
      <c r="C62" t="s">
        <v>28</v>
      </c>
      <c r="D62" s="3" t="str">
        <f t="shared" si="12"/>
        <v>PASS</v>
      </c>
      <c r="E62" s="3" t="str">
        <f t="shared" si="13"/>
        <v>PASS</v>
      </c>
      <c r="F62" s="3" t="str">
        <f t="shared" si="14"/>
        <v>PASS</v>
      </c>
      <c r="G62" s="3" t="str">
        <f t="shared" si="15"/>
        <v>FAIL</v>
      </c>
      <c r="H62" s="3">
        <v>40484563.039999999</v>
      </c>
      <c r="I62" s="4">
        <v>0</v>
      </c>
      <c r="J62" s="3">
        <v>34849448.619999997</v>
      </c>
      <c r="K62" s="3">
        <v>2529.25</v>
      </c>
      <c r="L62" s="3">
        <v>0</v>
      </c>
      <c r="M62" t="s">
        <v>29</v>
      </c>
      <c r="N62" t="s">
        <v>46</v>
      </c>
      <c r="O62" s="4">
        <v>0.27912651864504601</v>
      </c>
      <c r="P62" s="4">
        <v>0.72087348135495399</v>
      </c>
      <c r="Q62" t="s">
        <v>60</v>
      </c>
      <c r="R62" s="4">
        <v>6.4552428662303649E-6</v>
      </c>
      <c r="S62" s="3">
        <v>11084375.460000001</v>
      </c>
      <c r="T62" s="4">
        <v>0.27379264163104078</v>
      </c>
    </row>
    <row r="63" spans="1:20" x14ac:dyDescent="0.4">
      <c r="A63" s="2">
        <v>45848</v>
      </c>
      <c r="B63" t="s">
        <v>38</v>
      </c>
      <c r="C63" t="s">
        <v>28</v>
      </c>
      <c r="D63" s="3" t="str">
        <f t="shared" si="12"/>
        <v>PASS</v>
      </c>
      <c r="E63" s="3" t="str">
        <f t="shared" si="13"/>
        <v>PASS</v>
      </c>
      <c r="F63" s="3" t="str">
        <f t="shared" si="14"/>
        <v>PASS</v>
      </c>
      <c r="G63" s="3" t="str">
        <f t="shared" si="15"/>
        <v>FAIL</v>
      </c>
      <c r="H63" s="3">
        <v>49081790.68</v>
      </c>
      <c r="I63" s="4">
        <v>0</v>
      </c>
      <c r="J63" s="3">
        <v>41336693.210000001</v>
      </c>
      <c r="K63" s="3">
        <v>2997.78</v>
      </c>
      <c r="L63" s="3">
        <v>0</v>
      </c>
      <c r="M63" t="s">
        <v>29</v>
      </c>
      <c r="N63" t="s">
        <v>46</v>
      </c>
      <c r="O63" s="4">
        <v>0.28903043422713098</v>
      </c>
      <c r="P63" s="4">
        <v>0.71096956577286896</v>
      </c>
      <c r="Q63" t="s">
        <v>61</v>
      </c>
      <c r="R63" s="4">
        <v>7.9291401454159866E-6</v>
      </c>
      <c r="S63" s="3">
        <v>16725026.779999999</v>
      </c>
      <c r="T63" s="4">
        <v>0.34075828424929833</v>
      </c>
    </row>
    <row r="64" spans="1:20" x14ac:dyDescent="0.4">
      <c r="A64" s="2">
        <v>45848</v>
      </c>
      <c r="B64" t="s">
        <v>39</v>
      </c>
      <c r="C64" t="s">
        <v>28</v>
      </c>
      <c r="D64" s="3" t="str">
        <f t="shared" si="12"/>
        <v>PASS</v>
      </c>
      <c r="E64" s="3" t="str">
        <f t="shared" si="13"/>
        <v>PASS</v>
      </c>
      <c r="F64" s="3" t="str">
        <f t="shared" si="14"/>
        <v>PASS</v>
      </c>
      <c r="G64" s="3" t="str">
        <f t="shared" si="15"/>
        <v>FAIL</v>
      </c>
      <c r="H64" s="3">
        <v>78824433.579999998</v>
      </c>
      <c r="I64" s="4">
        <v>0</v>
      </c>
      <c r="J64" s="3">
        <v>70194769.760000005</v>
      </c>
      <c r="K64" s="3">
        <v>5091.09</v>
      </c>
      <c r="L64" s="3">
        <v>0</v>
      </c>
      <c r="M64" t="s">
        <v>29</v>
      </c>
      <c r="N64" t="s">
        <v>42</v>
      </c>
      <c r="O64" s="4">
        <v>0.24991553447614009</v>
      </c>
      <c r="P64" s="4">
        <v>0.75008446552385988</v>
      </c>
      <c r="Q64" t="s">
        <v>62</v>
      </c>
      <c r="R64" s="4">
        <v>1.320526518829785E-5</v>
      </c>
      <c r="S64" s="3">
        <v>17790514.739999998</v>
      </c>
      <c r="T64" s="4">
        <v>0.22569797120006149</v>
      </c>
    </row>
    <row r="65" spans="1:20" x14ac:dyDescent="0.4">
      <c r="A65" s="2">
        <v>45849</v>
      </c>
      <c r="B65" t="s">
        <v>27</v>
      </c>
      <c r="C65" t="s">
        <v>28</v>
      </c>
      <c r="D65" s="3" t="str">
        <f t="shared" si="12"/>
        <v>PASS</v>
      </c>
      <c r="E65" s="3" t="str">
        <f t="shared" si="13"/>
        <v>PASS</v>
      </c>
      <c r="F65" s="3" t="str">
        <f t="shared" si="14"/>
        <v>PASS</v>
      </c>
      <c r="G65" s="3" t="str">
        <f t="shared" si="15"/>
        <v>FAIL</v>
      </c>
      <c r="H65" s="3">
        <v>55580213.079999998</v>
      </c>
      <c r="I65" s="4">
        <v>0</v>
      </c>
      <c r="J65" s="3">
        <v>50314922.920000002</v>
      </c>
      <c r="K65" s="3">
        <v>11008.56</v>
      </c>
      <c r="L65" s="3">
        <v>0</v>
      </c>
      <c r="M65" t="s">
        <v>29</v>
      </c>
      <c r="N65" t="s">
        <v>63</v>
      </c>
      <c r="O65" s="4">
        <f>AVERAGE(O74:O81)</f>
        <v>0.26400700299336421</v>
      </c>
      <c r="P65" s="4">
        <f>100%-O65</f>
        <v>0.73599299700663579</v>
      </c>
      <c r="Q65" t="s">
        <v>54</v>
      </c>
      <c r="R65" s="4">
        <f>AVERAGE(R53:R64)</f>
        <v>1.4223124870835766E-5</v>
      </c>
      <c r="S65" s="3">
        <f>AVERAGE(S56,S47)</f>
        <v>10406323.77</v>
      </c>
      <c r="T65" s="4">
        <v>0</v>
      </c>
    </row>
    <row r="66" spans="1:20" x14ac:dyDescent="0.4">
      <c r="A66" s="2">
        <v>45849</v>
      </c>
      <c r="B66" t="s">
        <v>30</v>
      </c>
      <c r="C66" t="s">
        <v>28</v>
      </c>
      <c r="D66" s="3" t="str">
        <f t="shared" si="12"/>
        <v>PASS</v>
      </c>
      <c r="E66" s="3" t="str">
        <f t="shared" si="13"/>
        <v>PASS</v>
      </c>
      <c r="F66" s="3" t="str">
        <f t="shared" si="14"/>
        <v>PASS</v>
      </c>
      <c r="G66" s="3" t="str">
        <f t="shared" si="15"/>
        <v>FAIL</v>
      </c>
      <c r="H66" s="3">
        <v>34736933.549999997</v>
      </c>
      <c r="I66" s="4">
        <v>0</v>
      </c>
      <c r="J66" s="3">
        <v>32242031.039999999</v>
      </c>
      <c r="K66" s="3">
        <v>7039.56</v>
      </c>
      <c r="L66" s="3">
        <v>0</v>
      </c>
      <c r="M66" t="s">
        <v>29</v>
      </c>
      <c r="N66" t="s">
        <v>42</v>
      </c>
      <c r="O66" s="4">
        <f t="shared" ref="O66:O73" si="18">AVERAGE(O75:O82)</f>
        <v>0.26185357091509015</v>
      </c>
      <c r="P66" s="4">
        <f t="shared" ref="P66:P73" si="19">100%-O66</f>
        <v>0.73814642908490979</v>
      </c>
      <c r="Q66" t="s">
        <v>56</v>
      </c>
      <c r="R66" s="4">
        <f t="shared" ref="R66:R73" si="20">AVERAGE(R54:R65)</f>
        <v>1.4870448371219547E-5</v>
      </c>
      <c r="S66" s="3">
        <f t="shared" ref="S66:S73" si="21">AVERAGE(S57,S48)</f>
        <v>4781646.4050000012</v>
      </c>
      <c r="T66" s="4">
        <v>0</v>
      </c>
    </row>
    <row r="67" spans="1:20" x14ac:dyDescent="0.4">
      <c r="A67" s="2">
        <v>45849</v>
      </c>
      <c r="B67" t="s">
        <v>31</v>
      </c>
      <c r="C67" t="s">
        <v>28</v>
      </c>
      <c r="D67" s="3" t="str">
        <f t="shared" si="12"/>
        <v>PASS</v>
      </c>
      <c r="E67" s="3" t="str">
        <f t="shared" si="13"/>
        <v>PASS</v>
      </c>
      <c r="F67" s="3" t="str">
        <f t="shared" si="14"/>
        <v>PASS</v>
      </c>
      <c r="G67" s="3" t="str">
        <f t="shared" si="15"/>
        <v>FAIL</v>
      </c>
      <c r="H67" s="3">
        <v>23746473.300000001</v>
      </c>
      <c r="I67" s="4">
        <v>0</v>
      </c>
      <c r="J67" s="3">
        <v>21453517.129999999</v>
      </c>
      <c r="K67" s="3">
        <v>4683.03</v>
      </c>
      <c r="L67" s="3">
        <v>0</v>
      </c>
      <c r="M67" t="s">
        <v>29</v>
      </c>
      <c r="N67" t="s">
        <v>42</v>
      </c>
      <c r="O67" s="4">
        <f t="shared" si="18"/>
        <v>0.26389322108204755</v>
      </c>
      <c r="P67" s="4">
        <f t="shared" si="19"/>
        <v>0.73610677891795251</v>
      </c>
      <c r="Q67" t="s">
        <v>57</v>
      </c>
      <c r="R67" s="4">
        <f t="shared" si="20"/>
        <v>1.5448890723369847E-5</v>
      </c>
      <c r="S67" s="3">
        <f t="shared" si="21"/>
        <v>4270037.2</v>
      </c>
      <c r="T67" s="4">
        <v>0</v>
      </c>
    </row>
    <row r="68" spans="1:20" x14ac:dyDescent="0.4">
      <c r="A68" s="2">
        <v>45849</v>
      </c>
      <c r="B68" t="s">
        <v>33</v>
      </c>
      <c r="C68" t="s">
        <v>28</v>
      </c>
      <c r="D68" s="3" t="str">
        <f t="shared" si="12"/>
        <v>PASS</v>
      </c>
      <c r="E68" s="3" t="str">
        <f t="shared" si="13"/>
        <v>PASS</v>
      </c>
      <c r="F68" s="3" t="str">
        <f t="shared" si="14"/>
        <v>PASS</v>
      </c>
      <c r="G68" s="3" t="str">
        <f t="shared" si="15"/>
        <v>FAIL</v>
      </c>
      <c r="H68" s="3">
        <v>15407775.539999999</v>
      </c>
      <c r="I68" s="4">
        <v>0</v>
      </c>
      <c r="J68" s="3">
        <v>13569650.32</v>
      </c>
      <c r="K68" s="3">
        <v>2964.03</v>
      </c>
      <c r="L68" s="3">
        <v>0</v>
      </c>
      <c r="M68" t="s">
        <v>29</v>
      </c>
      <c r="N68" t="s">
        <v>46</v>
      </c>
      <c r="O68" s="4">
        <f t="shared" si="18"/>
        <v>0.26472168406941832</v>
      </c>
      <c r="P68" s="4">
        <f t="shared" si="19"/>
        <v>0.73527831593058168</v>
      </c>
      <c r="Q68" t="s">
        <v>58</v>
      </c>
      <c r="R68" s="4">
        <f t="shared" si="20"/>
        <v>1.5635147490288071E-5</v>
      </c>
      <c r="S68" s="3">
        <f t="shared" si="21"/>
        <v>4252651.7199999988</v>
      </c>
      <c r="T68" s="4">
        <v>0</v>
      </c>
    </row>
    <row r="69" spans="1:20" x14ac:dyDescent="0.4">
      <c r="A69" s="2">
        <v>45849</v>
      </c>
      <c r="B69" t="s">
        <v>35</v>
      </c>
      <c r="C69" t="s">
        <v>28</v>
      </c>
      <c r="D69" s="3" t="str">
        <f t="shared" si="12"/>
        <v>PASS</v>
      </c>
      <c r="E69" s="3" t="str">
        <f t="shared" si="13"/>
        <v>PASS</v>
      </c>
      <c r="F69" s="3" t="str">
        <f t="shared" si="14"/>
        <v>PASS</v>
      </c>
      <c r="G69" s="3" t="str">
        <f t="shared" si="15"/>
        <v>FAIL</v>
      </c>
      <c r="H69" s="3">
        <v>136775727.5</v>
      </c>
      <c r="I69" s="4">
        <v>0</v>
      </c>
      <c r="J69" s="3">
        <v>119517676.95</v>
      </c>
      <c r="K69" s="3">
        <v>26089.98</v>
      </c>
      <c r="L69" s="3">
        <v>0</v>
      </c>
      <c r="M69" t="s">
        <v>29</v>
      </c>
      <c r="N69" t="s">
        <v>42</v>
      </c>
      <c r="O69" s="4">
        <f t="shared" si="18"/>
        <v>0.26103850366421394</v>
      </c>
      <c r="P69" s="4">
        <f t="shared" si="19"/>
        <v>0.73896149633578601</v>
      </c>
      <c r="Q69" t="s">
        <v>59</v>
      </c>
      <c r="R69" s="4">
        <f t="shared" si="20"/>
        <v>1.1724415706375097E-5</v>
      </c>
      <c r="S69" s="3">
        <f t="shared" si="21"/>
        <v>35297281.419999994</v>
      </c>
      <c r="T69" s="4">
        <v>0</v>
      </c>
    </row>
    <row r="70" spans="1:20" x14ac:dyDescent="0.4">
      <c r="A70" s="2">
        <v>45849</v>
      </c>
      <c r="B70" t="s">
        <v>36</v>
      </c>
      <c r="C70" t="s">
        <v>28</v>
      </c>
      <c r="D70" s="3" t="str">
        <f t="shared" si="12"/>
        <v>PASS</v>
      </c>
      <c r="E70" s="3" t="str">
        <f t="shared" si="13"/>
        <v>PASS</v>
      </c>
      <c r="F70" s="3" t="str">
        <f t="shared" si="14"/>
        <v>PASS</v>
      </c>
      <c r="G70" s="3" t="str">
        <f t="shared" si="15"/>
        <v>FAIL</v>
      </c>
      <c r="H70" s="3">
        <v>102363424.38</v>
      </c>
      <c r="I70" s="4">
        <v>0</v>
      </c>
      <c r="J70" s="3">
        <v>92282297.040000007</v>
      </c>
      <c r="K70" s="3">
        <v>20135.37</v>
      </c>
      <c r="L70" s="3">
        <v>0</v>
      </c>
      <c r="M70" t="s">
        <v>29</v>
      </c>
      <c r="N70" t="s">
        <v>42</v>
      </c>
      <c r="O70" s="4">
        <f t="shared" si="18"/>
        <v>0.26066338798558303</v>
      </c>
      <c r="P70" s="4">
        <f t="shared" si="19"/>
        <v>0.73933661201441692</v>
      </c>
      <c r="Q70" t="s">
        <v>60</v>
      </c>
      <c r="R70" s="4">
        <f t="shared" si="20"/>
        <v>1.219199454989799E-5</v>
      </c>
      <c r="S70" s="3">
        <f t="shared" si="21"/>
        <v>19238678.609999999</v>
      </c>
      <c r="T70" s="4">
        <v>0</v>
      </c>
    </row>
    <row r="71" spans="1:20" x14ac:dyDescent="0.4">
      <c r="A71" s="2">
        <v>45849</v>
      </c>
      <c r="B71" t="s">
        <v>37</v>
      </c>
      <c r="C71" t="s">
        <v>28</v>
      </c>
      <c r="D71" s="3" t="str">
        <f t="shared" si="12"/>
        <v>PASS</v>
      </c>
      <c r="E71" s="3" t="str">
        <f t="shared" si="13"/>
        <v>PASS</v>
      </c>
      <c r="F71" s="3" t="str">
        <f t="shared" si="14"/>
        <v>PASS</v>
      </c>
      <c r="G71" s="3" t="str">
        <f t="shared" si="15"/>
        <v>FAIL</v>
      </c>
      <c r="H71" s="3">
        <v>40419449.509999998</v>
      </c>
      <c r="I71" s="4">
        <v>0</v>
      </c>
      <c r="J71" s="3">
        <v>34776744.579999998</v>
      </c>
      <c r="K71" s="3">
        <v>7592.55</v>
      </c>
      <c r="L71" s="3">
        <v>0</v>
      </c>
      <c r="M71" t="s">
        <v>29</v>
      </c>
      <c r="N71" t="s">
        <v>46</v>
      </c>
      <c r="O71" s="4">
        <f t="shared" si="18"/>
        <v>0.2622735013335839</v>
      </c>
      <c r="P71" s="4">
        <f t="shared" si="19"/>
        <v>0.73772649866641604</v>
      </c>
      <c r="Q71" t="s">
        <v>61</v>
      </c>
      <c r="R71" s="4">
        <f t="shared" si="20"/>
        <v>1.2872629062632762E-5</v>
      </c>
      <c r="S71" s="3">
        <f t="shared" si="21"/>
        <v>11082012.08</v>
      </c>
      <c r="T71" s="4">
        <v>0</v>
      </c>
    </row>
    <row r="72" spans="1:20" x14ac:dyDescent="0.4">
      <c r="A72" s="2">
        <v>45849</v>
      </c>
      <c r="B72" t="s">
        <v>38</v>
      </c>
      <c r="C72" t="s">
        <v>28</v>
      </c>
      <c r="D72" s="3" t="str">
        <f t="shared" si="12"/>
        <v>PASS</v>
      </c>
      <c r="E72" s="3" t="str">
        <f t="shared" si="13"/>
        <v>PASS</v>
      </c>
      <c r="F72" s="3" t="str">
        <f t="shared" si="14"/>
        <v>PASS</v>
      </c>
      <c r="G72" s="3" t="str">
        <f t="shared" si="15"/>
        <v>FAIL</v>
      </c>
      <c r="H72" s="3">
        <v>48989468.490000002</v>
      </c>
      <c r="I72" s="4">
        <v>0</v>
      </c>
      <c r="J72" s="3">
        <v>41235367.539999999</v>
      </c>
      <c r="K72" s="3">
        <v>9005.1299999999992</v>
      </c>
      <c r="L72" s="3">
        <v>0</v>
      </c>
      <c r="M72" t="s">
        <v>29</v>
      </c>
      <c r="N72" t="s">
        <v>46</v>
      </c>
      <c r="O72" s="4">
        <f t="shared" si="18"/>
        <v>0.25866360189103715</v>
      </c>
      <c r="P72" s="4">
        <f t="shared" si="19"/>
        <v>0.7413363981089629</v>
      </c>
      <c r="Q72" t="s">
        <v>62</v>
      </c>
      <c r="R72" s="4">
        <f t="shared" si="20"/>
        <v>1.3732629884443122E-5</v>
      </c>
      <c r="S72" s="3">
        <f t="shared" si="21"/>
        <v>16697598.245000001</v>
      </c>
      <c r="T72" s="4">
        <v>0</v>
      </c>
    </row>
    <row r="73" spans="1:20" x14ac:dyDescent="0.4">
      <c r="A73" s="2">
        <v>45849</v>
      </c>
      <c r="B73" t="s">
        <v>39</v>
      </c>
      <c r="C73" t="s">
        <v>28</v>
      </c>
      <c r="D73" s="3" t="str">
        <f t="shared" si="12"/>
        <v>PASS</v>
      </c>
      <c r="E73" s="3" t="str">
        <f t="shared" si="13"/>
        <v>PASS</v>
      </c>
      <c r="F73" s="3" t="str">
        <f t="shared" si="14"/>
        <v>PASS</v>
      </c>
      <c r="G73" s="3" t="str">
        <f t="shared" si="15"/>
        <v>FAIL</v>
      </c>
      <c r="H73" s="3">
        <v>78687938.969999999</v>
      </c>
      <c r="I73" s="4">
        <v>0</v>
      </c>
      <c r="J73" s="3">
        <v>70042986.159999996</v>
      </c>
      <c r="K73" s="3">
        <v>15291.12</v>
      </c>
      <c r="L73" s="3">
        <v>0</v>
      </c>
      <c r="M73" t="s">
        <v>29</v>
      </c>
      <c r="N73" t="s">
        <v>42</v>
      </c>
      <c r="O73" s="4">
        <f t="shared" si="18"/>
        <v>0.25801715957815852</v>
      </c>
      <c r="P73" s="4">
        <f t="shared" si="19"/>
        <v>0.74198284042184148</v>
      </c>
      <c r="Q73" t="s">
        <v>62</v>
      </c>
      <c r="R73" s="4">
        <f t="shared" si="20"/>
        <v>1.2954540996165472E-5</v>
      </c>
      <c r="S73" s="3">
        <f t="shared" si="21"/>
        <v>17771788.559999999</v>
      </c>
      <c r="T73" s="4">
        <v>0</v>
      </c>
    </row>
    <row r="74" spans="1:20" x14ac:dyDescent="0.4">
      <c r="A74" s="2">
        <v>45852</v>
      </c>
      <c r="B74" t="s">
        <v>27</v>
      </c>
      <c r="C74" t="s">
        <v>28</v>
      </c>
      <c r="D74" s="3" t="str">
        <f t="shared" si="12"/>
        <v>PASS</v>
      </c>
      <c r="E74" s="3" t="str">
        <f t="shared" si="13"/>
        <v>PASS</v>
      </c>
      <c r="F74" s="3" t="str">
        <f t="shared" si="14"/>
        <v>PASS</v>
      </c>
      <c r="G74" s="3" t="str">
        <f t="shared" si="15"/>
        <v>FAIL</v>
      </c>
      <c r="H74" s="3">
        <v>55599519.789999999</v>
      </c>
      <c r="I74" s="4">
        <v>0</v>
      </c>
      <c r="J74" s="3">
        <v>50365826.630000003</v>
      </c>
      <c r="K74" s="3">
        <v>3653.68</v>
      </c>
      <c r="L74" s="3">
        <v>0</v>
      </c>
      <c r="M74" t="s">
        <v>29</v>
      </c>
      <c r="N74" t="s">
        <v>63</v>
      </c>
      <c r="O74" s="4">
        <v>0.2663585231818521</v>
      </c>
      <c r="P74" s="4">
        <v>0.73364147681814784</v>
      </c>
      <c r="Q74" t="s">
        <v>64</v>
      </c>
      <c r="R74" s="4">
        <v>6.2840378182622399E-5</v>
      </c>
      <c r="S74" s="3">
        <v>10347282.91</v>
      </c>
      <c r="T74" s="4">
        <v>0.1861038179660868</v>
      </c>
    </row>
    <row r="75" spans="1:20" x14ac:dyDescent="0.4">
      <c r="A75" s="2">
        <v>45852</v>
      </c>
      <c r="B75" t="s">
        <v>30</v>
      </c>
      <c r="C75" t="s">
        <v>28</v>
      </c>
      <c r="D75" s="3" t="str">
        <f t="shared" si="12"/>
        <v>PASS</v>
      </c>
      <c r="E75" s="3" t="str">
        <f t="shared" si="13"/>
        <v>PASS</v>
      </c>
      <c r="F75" s="3" t="str">
        <f t="shared" si="14"/>
        <v>PASS</v>
      </c>
      <c r="G75" s="3" t="str">
        <f t="shared" si="15"/>
        <v>FAIL</v>
      </c>
      <c r="H75" s="3">
        <v>34791885.159999996</v>
      </c>
      <c r="I75" s="4">
        <v>0</v>
      </c>
      <c r="J75" s="3">
        <v>32295760.809999999</v>
      </c>
      <c r="K75" s="3">
        <v>2341.5700000000002</v>
      </c>
      <c r="L75" s="3">
        <v>0</v>
      </c>
      <c r="M75" t="s">
        <v>29</v>
      </c>
      <c r="N75" t="s">
        <v>42</v>
      </c>
      <c r="O75" s="4">
        <v>0.25042262458470321</v>
      </c>
      <c r="P75" s="4">
        <v>0.74957737541529679</v>
      </c>
      <c r="Q75" t="s">
        <v>65</v>
      </c>
      <c r="R75" s="4">
        <v>6.1006530860204899E-6</v>
      </c>
      <c r="S75" s="3">
        <v>4767194.6800000006</v>
      </c>
      <c r="T75" s="4">
        <v>0.13702030396101711</v>
      </c>
    </row>
    <row r="76" spans="1:20" x14ac:dyDescent="0.4">
      <c r="A76" s="2">
        <v>45852</v>
      </c>
      <c r="B76" t="s">
        <v>31</v>
      </c>
      <c r="C76" t="s">
        <v>28</v>
      </c>
      <c r="D76" s="3" t="str">
        <f t="shared" si="12"/>
        <v>PASS</v>
      </c>
      <c r="E76" s="3" t="str">
        <f t="shared" si="13"/>
        <v>PASS</v>
      </c>
      <c r="F76" s="3" t="str">
        <f t="shared" si="14"/>
        <v>PASS</v>
      </c>
      <c r="G76" s="3" t="str">
        <f t="shared" si="15"/>
        <v>FAIL</v>
      </c>
      <c r="H76" s="3">
        <v>23779205.300000001</v>
      </c>
      <c r="I76" s="4">
        <v>0</v>
      </c>
      <c r="J76" s="3">
        <v>21485898.039999999</v>
      </c>
      <c r="K76" s="3">
        <v>1558.29</v>
      </c>
      <c r="L76" s="3">
        <v>0</v>
      </c>
      <c r="M76" t="s">
        <v>29</v>
      </c>
      <c r="N76" t="s">
        <v>42</v>
      </c>
      <c r="O76" s="4">
        <v>0.24768684185750711</v>
      </c>
      <c r="P76" s="4">
        <v>0.75231315814249289</v>
      </c>
      <c r="Q76" t="s">
        <v>66</v>
      </c>
      <c r="R76" s="4">
        <v>4.0136999820141814E-6</v>
      </c>
      <c r="S76" s="3">
        <v>4261355.2999999989</v>
      </c>
      <c r="T76" s="4">
        <v>0.1792051183476682</v>
      </c>
    </row>
    <row r="77" spans="1:20" x14ac:dyDescent="0.4">
      <c r="A77" s="2">
        <v>45852</v>
      </c>
      <c r="B77" t="s">
        <v>33</v>
      </c>
      <c r="C77" t="s">
        <v>28</v>
      </c>
      <c r="D77" s="3" t="str">
        <f t="shared" si="12"/>
        <v>PASS</v>
      </c>
      <c r="E77" s="3" t="str">
        <f t="shared" si="13"/>
        <v>PASS</v>
      </c>
      <c r="F77" s="3" t="str">
        <f t="shared" si="14"/>
        <v>PASS</v>
      </c>
      <c r="G77" s="3" t="str">
        <f t="shared" si="15"/>
        <v>FAIL</v>
      </c>
      <c r="H77" s="3">
        <v>15428542.75</v>
      </c>
      <c r="I77" s="4">
        <v>0</v>
      </c>
      <c r="J77" s="3">
        <v>13589449.289999999</v>
      </c>
      <c r="K77" s="3">
        <v>985.9</v>
      </c>
      <c r="L77" s="3">
        <v>0</v>
      </c>
      <c r="M77" t="s">
        <v>29</v>
      </c>
      <c r="N77" t="s">
        <v>46</v>
      </c>
      <c r="O77" s="4">
        <v>0.28088383852381998</v>
      </c>
      <c r="P77" s="4">
        <v>0.71911616147618007</v>
      </c>
      <c r="Q77" t="s">
        <v>67</v>
      </c>
      <c r="R77" s="4">
        <v>2.539802702828558E-6</v>
      </c>
      <c r="S77" s="3">
        <v>4247153.05</v>
      </c>
      <c r="T77" s="4">
        <v>0.27527895011341891</v>
      </c>
    </row>
    <row r="78" spans="1:20" x14ac:dyDescent="0.4">
      <c r="A78" s="2">
        <v>45852</v>
      </c>
      <c r="B78" t="s">
        <v>35</v>
      </c>
      <c r="C78" t="s">
        <v>28</v>
      </c>
      <c r="D78" s="3" t="str">
        <f t="shared" si="12"/>
        <v>PASS</v>
      </c>
      <c r="E78" s="3" t="str">
        <f t="shared" si="13"/>
        <v>PASS</v>
      </c>
      <c r="F78" s="3" t="str">
        <f t="shared" si="14"/>
        <v>PASS</v>
      </c>
      <c r="G78" s="3" t="str">
        <f t="shared" si="15"/>
        <v>FAIL</v>
      </c>
      <c r="H78" s="3">
        <v>136970085.61000001</v>
      </c>
      <c r="I78" s="4">
        <v>0</v>
      </c>
      <c r="J78" s="3">
        <v>119705120.52</v>
      </c>
      <c r="K78" s="3">
        <v>8677.86</v>
      </c>
      <c r="L78" s="3">
        <v>0</v>
      </c>
      <c r="M78" t="s">
        <v>29</v>
      </c>
      <c r="N78" t="s">
        <v>42</v>
      </c>
      <c r="O78" s="4">
        <v>0.25464143474052292</v>
      </c>
      <c r="P78" s="4">
        <v>0.74535856525947719</v>
      </c>
      <c r="Q78" t="s">
        <v>68</v>
      </c>
      <c r="R78" s="4">
        <v>2.2994933638309029E-5</v>
      </c>
      <c r="S78" s="3">
        <v>35164779.560000002</v>
      </c>
      <c r="T78" s="4">
        <v>0.2567332816022761</v>
      </c>
    </row>
    <row r="79" spans="1:20" x14ac:dyDescent="0.4">
      <c r="A79" s="2">
        <v>45852</v>
      </c>
      <c r="B79" t="s">
        <v>36</v>
      </c>
      <c r="C79" t="s">
        <v>28</v>
      </c>
      <c r="D79" s="3" t="str">
        <f t="shared" si="12"/>
        <v>PASS</v>
      </c>
      <c r="E79" s="3" t="str">
        <f t="shared" si="13"/>
        <v>PASS</v>
      </c>
      <c r="F79" s="3" t="str">
        <f t="shared" si="14"/>
        <v>PASS</v>
      </c>
      <c r="G79" s="3" t="str">
        <f t="shared" si="15"/>
        <v>FAIL</v>
      </c>
      <c r="H79" s="3">
        <v>102485674.81999999</v>
      </c>
      <c r="I79" s="4">
        <v>0</v>
      </c>
      <c r="J79" s="3">
        <v>92402990.340000004</v>
      </c>
      <c r="K79" s="3">
        <v>6700.63</v>
      </c>
      <c r="L79" s="3">
        <v>0</v>
      </c>
      <c r="M79" t="s">
        <v>29</v>
      </c>
      <c r="N79" t="s">
        <v>42</v>
      </c>
      <c r="O79" s="4">
        <v>0.24568189180315661</v>
      </c>
      <c r="P79" s="4">
        <v>0.75431810819684342</v>
      </c>
      <c r="Q79" t="s">
        <v>69</v>
      </c>
      <c r="R79" s="4">
        <v>1.712497751772628E-5</v>
      </c>
      <c r="S79" s="3">
        <v>19209401.030000001</v>
      </c>
      <c r="T79" s="4">
        <v>0.18743498604793599</v>
      </c>
    </row>
    <row r="80" spans="1:20" x14ac:dyDescent="0.4">
      <c r="A80" s="2">
        <v>45852</v>
      </c>
      <c r="B80" t="s">
        <v>37</v>
      </c>
      <c r="C80" t="s">
        <v>28</v>
      </c>
      <c r="D80" s="3" t="str">
        <f t="shared" si="12"/>
        <v>PASS</v>
      </c>
      <c r="E80" s="3" t="str">
        <f t="shared" si="13"/>
        <v>PASS</v>
      </c>
      <c r="F80" s="3" t="str">
        <f t="shared" si="14"/>
        <v>PASS</v>
      </c>
      <c r="G80" s="3" t="str">
        <f t="shared" si="15"/>
        <v>FAIL</v>
      </c>
      <c r="H80" s="3">
        <v>40465790.909999996</v>
      </c>
      <c r="I80" s="4">
        <v>0</v>
      </c>
      <c r="J80" s="3">
        <v>34823447.090000004</v>
      </c>
      <c r="K80" s="3">
        <v>2525.5700000000002</v>
      </c>
      <c r="L80" s="3">
        <v>0</v>
      </c>
      <c r="M80" t="s">
        <v>29</v>
      </c>
      <c r="N80" t="s">
        <v>46</v>
      </c>
      <c r="O80" s="4">
        <v>0.27824778715782211</v>
      </c>
      <c r="P80" s="4">
        <v>0.72175221284217783</v>
      </c>
      <c r="Q80" t="s">
        <v>70</v>
      </c>
      <c r="R80" s="4">
        <v>6.4424263681504892E-6</v>
      </c>
      <c r="S80" s="3">
        <v>11072740.140000001</v>
      </c>
      <c r="T80" s="4">
        <v>0.27363211964957979</v>
      </c>
    </row>
    <row r="81" spans="1:20" x14ac:dyDescent="0.4">
      <c r="A81" s="2">
        <v>45852</v>
      </c>
      <c r="B81" t="s">
        <v>38</v>
      </c>
      <c r="C81" t="s">
        <v>28</v>
      </c>
      <c r="D81" s="3" t="str">
        <f t="shared" si="12"/>
        <v>PASS</v>
      </c>
      <c r="E81" s="3" t="str">
        <f t="shared" si="13"/>
        <v>PASS</v>
      </c>
      <c r="F81" s="3" t="str">
        <f t="shared" si="14"/>
        <v>PASS</v>
      </c>
      <c r="G81" s="3" t="str">
        <f t="shared" si="15"/>
        <v>FAIL</v>
      </c>
      <c r="H81" s="3">
        <v>49056498.590000004</v>
      </c>
      <c r="I81" s="4">
        <v>0</v>
      </c>
      <c r="J81" s="3">
        <v>41299973.340000004</v>
      </c>
      <c r="K81" s="3">
        <v>2994.35</v>
      </c>
      <c r="L81" s="3">
        <v>0</v>
      </c>
      <c r="M81" t="s">
        <v>29</v>
      </c>
      <c r="N81" t="s">
        <v>46</v>
      </c>
      <c r="O81" s="4">
        <v>0.28813308209752952</v>
      </c>
      <c r="P81" s="4">
        <v>0.71186691790247048</v>
      </c>
      <c r="Q81" t="s">
        <v>71</v>
      </c>
      <c r="R81" s="4">
        <v>7.9141875643227998E-6</v>
      </c>
      <c r="S81" s="3">
        <v>16675207.470000001</v>
      </c>
      <c r="T81" s="4">
        <v>0.3399184195628504</v>
      </c>
    </row>
    <row r="82" spans="1:20" x14ac:dyDescent="0.4">
      <c r="A82" s="2">
        <v>45852</v>
      </c>
      <c r="B82" t="s">
        <v>39</v>
      </c>
      <c r="C82" t="s">
        <v>28</v>
      </c>
      <c r="D82" s="3" t="str">
        <f t="shared" si="12"/>
        <v>PASS</v>
      </c>
      <c r="E82" s="3" t="str">
        <f t="shared" si="13"/>
        <v>PASS</v>
      </c>
      <c r="F82" s="3" t="str">
        <f t="shared" si="14"/>
        <v>PASS</v>
      </c>
      <c r="G82" s="3" t="str">
        <f t="shared" si="15"/>
        <v>FAIL</v>
      </c>
      <c r="H82" s="3">
        <v>78794732.390000001</v>
      </c>
      <c r="I82" s="4">
        <v>0</v>
      </c>
      <c r="J82" s="3">
        <v>70147210.810000002</v>
      </c>
      <c r="K82" s="3">
        <v>5086.0200000000004</v>
      </c>
      <c r="L82" s="3">
        <v>0</v>
      </c>
      <c r="M82" t="s">
        <v>29</v>
      </c>
      <c r="N82" t="s">
        <v>42</v>
      </c>
      <c r="O82" s="4">
        <v>0.2491310665556597</v>
      </c>
      <c r="P82" s="4">
        <v>0.75086893344434036</v>
      </c>
      <c r="Q82" t="s">
        <v>72</v>
      </c>
      <c r="R82" s="4">
        <v>1.3175360026111479E-5</v>
      </c>
      <c r="S82" s="3">
        <v>17719610.48</v>
      </c>
      <c r="T82" s="4">
        <v>0.22488318625533951</v>
      </c>
    </row>
    <row r="83" spans="1:20" x14ac:dyDescent="0.4">
      <c r="A83" s="2">
        <v>45853</v>
      </c>
      <c r="B83" t="s">
        <v>27</v>
      </c>
      <c r="C83" t="s">
        <v>28</v>
      </c>
      <c r="D83" s="3" t="str">
        <f t="shared" si="12"/>
        <v>PASS</v>
      </c>
      <c r="E83" s="3" t="str">
        <f t="shared" si="13"/>
        <v>PASS</v>
      </c>
      <c r="F83" s="3" t="str">
        <f t="shared" si="14"/>
        <v>PASS</v>
      </c>
      <c r="G83" s="3" t="str">
        <f t="shared" si="15"/>
        <v>FAIL</v>
      </c>
      <c r="H83" s="3">
        <v>54947598.159999996</v>
      </c>
      <c r="I83" s="4">
        <v>0</v>
      </c>
      <c r="J83" s="3">
        <v>49710248.299999997</v>
      </c>
      <c r="K83" s="3">
        <v>3657.38</v>
      </c>
      <c r="L83" s="3">
        <v>0</v>
      </c>
      <c r="M83" t="s">
        <v>29</v>
      </c>
      <c r="N83" t="s">
        <v>73</v>
      </c>
      <c r="O83" s="4">
        <v>0.26673982592036249</v>
      </c>
      <c r="P83" s="4">
        <v>0.73326017407963739</v>
      </c>
      <c r="Q83" t="s">
        <v>74</v>
      </c>
      <c r="R83" s="4">
        <v>6.2840378182622399E-5</v>
      </c>
      <c r="S83" s="3">
        <v>10389054.84</v>
      </c>
      <c r="T83" s="4">
        <v>0.18907204660244609</v>
      </c>
    </row>
    <row r="84" spans="1:20" x14ac:dyDescent="0.4">
      <c r="A84" s="2">
        <v>45853</v>
      </c>
      <c r="B84" t="s">
        <v>30</v>
      </c>
      <c r="C84" t="s">
        <v>28</v>
      </c>
      <c r="D84" s="3" t="str">
        <f t="shared" si="12"/>
        <v>PASS</v>
      </c>
      <c r="E84" s="3" t="str">
        <f t="shared" si="13"/>
        <v>PASS</v>
      </c>
      <c r="F84" s="3" t="str">
        <f t="shared" si="14"/>
        <v>PASS</v>
      </c>
      <c r="G84" s="3" t="str">
        <f t="shared" si="15"/>
        <v>FAIL</v>
      </c>
      <c r="H84" s="3">
        <v>34735284.490000002</v>
      </c>
      <c r="I84" s="4">
        <v>0</v>
      </c>
      <c r="J84" s="3">
        <v>32236815.379999999</v>
      </c>
      <c r="K84" s="3">
        <v>2345.4699999999998</v>
      </c>
      <c r="L84" s="3">
        <v>0</v>
      </c>
      <c r="M84" t="s">
        <v>29</v>
      </c>
      <c r="N84" t="s">
        <v>42</v>
      </c>
      <c r="O84" s="4">
        <v>0.2543145457564735</v>
      </c>
      <c r="P84" s="4">
        <v>0.7456854542435265</v>
      </c>
      <c r="Q84" t="s">
        <v>75</v>
      </c>
      <c r="R84" s="4">
        <v>6.1006530860204899E-6</v>
      </c>
      <c r="S84" s="3">
        <v>4751294.5600000015</v>
      </c>
      <c r="T84" s="4">
        <v>0.1367858254153024</v>
      </c>
    </row>
    <row r="85" spans="1:20" x14ac:dyDescent="0.4">
      <c r="A85" s="2">
        <v>45853</v>
      </c>
      <c r="B85" t="s">
        <v>31</v>
      </c>
      <c r="C85" t="s">
        <v>28</v>
      </c>
      <c r="D85" s="3" t="str">
        <f t="shared" si="12"/>
        <v>PASS</v>
      </c>
      <c r="E85" s="3" t="str">
        <f t="shared" si="13"/>
        <v>PASS</v>
      </c>
      <c r="F85" s="3" t="str">
        <f t="shared" si="14"/>
        <v>PASS</v>
      </c>
      <c r="G85" s="3" t="str">
        <f t="shared" si="15"/>
        <v>FAIL</v>
      </c>
      <c r="H85" s="3">
        <v>23750645.699999999</v>
      </c>
      <c r="I85" s="4">
        <v>0</v>
      </c>
      <c r="J85" s="3">
        <v>21455778.5</v>
      </c>
      <c r="K85" s="3">
        <v>1560.65</v>
      </c>
      <c r="L85" s="3">
        <v>0</v>
      </c>
      <c r="M85" t="s">
        <v>29</v>
      </c>
      <c r="N85" t="s">
        <v>42</v>
      </c>
      <c r="O85" s="4">
        <v>0.25141839528218468</v>
      </c>
      <c r="P85" s="4">
        <v>0.74858160471781532</v>
      </c>
      <c r="Q85" t="s">
        <v>76</v>
      </c>
      <c r="R85" s="4">
        <v>4.0136999820141814E-6</v>
      </c>
      <c r="S85" s="3">
        <v>4257652.8</v>
      </c>
      <c r="T85" s="4">
        <v>0.17926471784301851</v>
      </c>
    </row>
    <row r="86" spans="1:20" x14ac:dyDescent="0.4">
      <c r="A86" s="2">
        <v>45853</v>
      </c>
      <c r="B86" t="s">
        <v>33</v>
      </c>
      <c r="C86" t="s">
        <v>28</v>
      </c>
      <c r="D86" s="3" t="str">
        <f t="shared" si="12"/>
        <v>PASS</v>
      </c>
      <c r="E86" s="3" t="str">
        <f t="shared" si="13"/>
        <v>PASS</v>
      </c>
      <c r="F86" s="3" t="str">
        <f t="shared" si="14"/>
        <v>PASS</v>
      </c>
      <c r="G86" s="3" t="str">
        <f t="shared" si="15"/>
        <v>FAIL</v>
      </c>
      <c r="H86" s="3">
        <v>15405728.48</v>
      </c>
      <c r="I86" s="4">
        <v>0</v>
      </c>
      <c r="J86" s="3">
        <v>13565648.390000001</v>
      </c>
      <c r="K86" s="3">
        <v>987.34</v>
      </c>
      <c r="L86" s="3">
        <v>0</v>
      </c>
      <c r="M86" t="s">
        <v>29</v>
      </c>
      <c r="N86" t="s">
        <v>42</v>
      </c>
      <c r="O86" s="4">
        <v>0.25164050931147569</v>
      </c>
      <c r="P86" s="4">
        <v>0.74835949068852425</v>
      </c>
      <c r="Q86" t="s">
        <v>77</v>
      </c>
      <c r="R86" s="4">
        <v>2.539802702828558E-6</v>
      </c>
      <c r="S86" s="3">
        <v>4243686.79</v>
      </c>
      <c r="T86" s="4">
        <v>0.27546161127720981</v>
      </c>
    </row>
    <row r="87" spans="1:20" x14ac:dyDescent="0.4">
      <c r="A87" s="2">
        <v>45853</v>
      </c>
      <c r="B87" t="s">
        <v>35</v>
      </c>
      <c r="C87" t="s">
        <v>28</v>
      </c>
      <c r="D87" s="3" t="str">
        <f t="shared" si="12"/>
        <v>PASS</v>
      </c>
      <c r="E87" s="3" t="str">
        <f t="shared" si="13"/>
        <v>PASS</v>
      </c>
      <c r="F87" s="3" t="str">
        <f t="shared" si="14"/>
        <v>PASS</v>
      </c>
      <c r="G87" s="3" t="str">
        <f t="shared" si="15"/>
        <v>FAIL</v>
      </c>
      <c r="H87" s="3">
        <v>136768553.56999999</v>
      </c>
      <c r="I87" s="4">
        <v>0</v>
      </c>
      <c r="J87" s="3">
        <v>119494897.56</v>
      </c>
      <c r="K87" s="3">
        <v>8691.4699999999993</v>
      </c>
      <c r="L87" s="3">
        <v>0</v>
      </c>
      <c r="M87" t="s">
        <v>29</v>
      </c>
      <c r="N87" t="s">
        <v>42</v>
      </c>
      <c r="O87" s="4">
        <v>0.25856279858716341</v>
      </c>
      <c r="P87" s="4">
        <v>0.74143720141283664</v>
      </c>
      <c r="Q87" t="s">
        <v>78</v>
      </c>
      <c r="R87" s="4">
        <v>2.2994933638309029E-5</v>
      </c>
      <c r="S87" s="3">
        <v>35141553.940000013</v>
      </c>
      <c r="T87" s="4">
        <v>0.25694176784588191</v>
      </c>
    </row>
    <row r="88" spans="1:20" x14ac:dyDescent="0.4">
      <c r="A88" s="2">
        <v>45853</v>
      </c>
      <c r="B88" t="s">
        <v>36</v>
      </c>
      <c r="C88" t="s">
        <v>28</v>
      </c>
      <c r="D88" s="3" t="str">
        <f t="shared" ref="D88:D140" si="22">IF(J88/H88&gt;=0.75,"PASS","FAIL")</f>
        <v>PASS</v>
      </c>
      <c r="E88" s="3" t="str">
        <f t="shared" ref="E88:E140" si="23">IF(L88=0,"PASS","FAIL")</f>
        <v>PASS</v>
      </c>
      <c r="F88" s="3" t="str">
        <f t="shared" ref="F88:F140" si="24">IF(R88="","",IF(R88&lt;=0.1,"PASS","FAIL"))</f>
        <v>PASS</v>
      </c>
      <c r="G88" s="3" t="str">
        <f t="shared" ref="G88:G140" si="25">IF(S88=0,"PASS",IF(S88&lt;=0.05*J88,"PASS","FAIL"))</f>
        <v>FAIL</v>
      </c>
      <c r="H88" s="3">
        <v>102367614.56</v>
      </c>
      <c r="I88" s="4">
        <v>0</v>
      </c>
      <c r="J88" s="3">
        <v>92278221.370000005</v>
      </c>
      <c r="K88" s="3">
        <v>6709.39</v>
      </c>
      <c r="L88" s="3">
        <v>0</v>
      </c>
      <c r="M88" t="s">
        <v>29</v>
      </c>
      <c r="N88" t="s">
        <v>42</v>
      </c>
      <c r="O88" s="4">
        <v>0.24936859161744801</v>
      </c>
      <c r="P88" s="4">
        <v>0.75063140838255193</v>
      </c>
      <c r="Q88" t="s">
        <v>79</v>
      </c>
      <c r="R88" s="4">
        <v>1.712497751772628E-5</v>
      </c>
      <c r="S88" s="3">
        <v>19193974.07</v>
      </c>
      <c r="T88" s="4">
        <v>0.18750045268222959</v>
      </c>
    </row>
    <row r="89" spans="1:20" x14ac:dyDescent="0.4">
      <c r="A89" s="2">
        <v>45853</v>
      </c>
      <c r="B89" t="s">
        <v>37</v>
      </c>
      <c r="C89" t="s">
        <v>28</v>
      </c>
      <c r="D89" s="3" t="str">
        <f t="shared" si="22"/>
        <v>PASS</v>
      </c>
      <c r="E89" s="3" t="str">
        <f t="shared" si="23"/>
        <v>PASS</v>
      </c>
      <c r="F89" s="3" t="str">
        <f t="shared" si="24"/>
        <v>PASS</v>
      </c>
      <c r="G89" s="3" t="str">
        <f t="shared" si="25"/>
        <v>FAIL</v>
      </c>
      <c r="H89" s="3">
        <v>40407677.479999997</v>
      </c>
      <c r="I89" s="4">
        <v>0</v>
      </c>
      <c r="J89" s="3">
        <v>34762805.380000003</v>
      </c>
      <c r="K89" s="3">
        <v>2528.96</v>
      </c>
      <c r="L89" s="3">
        <v>0</v>
      </c>
      <c r="M89" t="s">
        <v>29</v>
      </c>
      <c r="N89" t="s">
        <v>46</v>
      </c>
      <c r="O89" s="4">
        <v>0.28296154359450032</v>
      </c>
      <c r="P89" s="4">
        <v>0.71703845640549968</v>
      </c>
      <c r="Q89" t="s">
        <v>80</v>
      </c>
      <c r="R89" s="4">
        <v>6.4424263681504892E-6</v>
      </c>
      <c r="S89" s="3">
        <v>11051748.17</v>
      </c>
      <c r="T89" s="4">
        <v>0.27350614683237179</v>
      </c>
    </row>
    <row r="90" spans="1:20" x14ac:dyDescent="0.4">
      <c r="A90" s="2">
        <v>45853</v>
      </c>
      <c r="B90" t="s">
        <v>38</v>
      </c>
      <c r="C90" t="s">
        <v>28</v>
      </c>
      <c r="D90" s="3" t="str">
        <f t="shared" si="22"/>
        <v>PASS</v>
      </c>
      <c r="E90" s="3" t="str">
        <f t="shared" si="23"/>
        <v>PASS</v>
      </c>
      <c r="F90" s="3" t="str">
        <f t="shared" si="24"/>
        <v>PASS</v>
      </c>
      <c r="G90" s="3" t="str">
        <f t="shared" si="25"/>
        <v>FAIL</v>
      </c>
      <c r="H90" s="3">
        <v>48975733.939999998</v>
      </c>
      <c r="I90" s="4">
        <v>0</v>
      </c>
      <c r="J90" s="3">
        <v>41216210.200000003</v>
      </c>
      <c r="K90" s="3">
        <v>2999.04</v>
      </c>
      <c r="L90" s="3">
        <v>0</v>
      </c>
      <c r="M90" t="s">
        <v>29</v>
      </c>
      <c r="N90" t="s">
        <v>46</v>
      </c>
      <c r="O90" s="4">
        <v>0.29308393666916999</v>
      </c>
      <c r="P90" s="4">
        <v>0.70691606333083001</v>
      </c>
      <c r="Q90" t="s">
        <v>81</v>
      </c>
      <c r="R90" s="4">
        <v>7.9141875643227998E-6</v>
      </c>
      <c r="S90" s="3">
        <v>16638939.25</v>
      </c>
      <c r="T90" s="4">
        <v>0.33973843598514131</v>
      </c>
    </row>
    <row r="91" spans="1:20" x14ac:dyDescent="0.4">
      <c r="A91" s="2">
        <v>45853</v>
      </c>
      <c r="B91" t="s">
        <v>39</v>
      </c>
      <c r="C91" t="s">
        <v>28</v>
      </c>
      <c r="D91" s="3" t="str">
        <f t="shared" si="22"/>
        <v>PASS</v>
      </c>
      <c r="E91" s="3" t="str">
        <f t="shared" si="23"/>
        <v>PASS</v>
      </c>
      <c r="F91" s="3" t="str">
        <f t="shared" si="24"/>
        <v>PASS</v>
      </c>
      <c r="G91" s="3" t="str">
        <f t="shared" si="25"/>
        <v>FAIL</v>
      </c>
      <c r="H91" s="3">
        <v>78676402.310000002</v>
      </c>
      <c r="I91" s="4">
        <v>0</v>
      </c>
      <c r="J91" s="3">
        <v>70023787.849999994</v>
      </c>
      <c r="K91" s="3">
        <v>5093.59</v>
      </c>
      <c r="L91" s="3">
        <v>0</v>
      </c>
      <c r="M91" t="s">
        <v>29</v>
      </c>
      <c r="N91" t="s">
        <v>42</v>
      </c>
      <c r="O91" s="4">
        <v>0.2530726720748227</v>
      </c>
      <c r="P91" s="4">
        <v>0.74692732792517735</v>
      </c>
      <c r="Q91" t="s">
        <v>82</v>
      </c>
      <c r="R91" s="4">
        <v>1.3175360026111479E-5</v>
      </c>
      <c r="S91" s="3">
        <v>17722830.120000001</v>
      </c>
      <c r="T91" s="4">
        <v>0.2252623353336452</v>
      </c>
    </row>
    <row r="92" spans="1:20" x14ac:dyDescent="0.4">
      <c r="A92" s="2">
        <v>45854</v>
      </c>
      <c r="B92" t="s">
        <v>27</v>
      </c>
      <c r="C92" t="s">
        <v>28</v>
      </c>
      <c r="D92" s="3" t="str">
        <f t="shared" si="22"/>
        <v>PASS</v>
      </c>
      <c r="E92" s="3" t="str">
        <f t="shared" si="23"/>
        <v>PASS</v>
      </c>
      <c r="F92" s="3" t="str">
        <f t="shared" si="24"/>
        <v>PASS</v>
      </c>
      <c r="G92" s="3" t="str">
        <f t="shared" si="25"/>
        <v>FAIL</v>
      </c>
      <c r="H92" s="3">
        <v>55101419.509999998</v>
      </c>
      <c r="I92" s="4">
        <v>0</v>
      </c>
      <c r="J92" s="3">
        <v>49860460.549999997</v>
      </c>
      <c r="K92" s="3">
        <v>3609.78</v>
      </c>
      <c r="L92" s="3">
        <v>0</v>
      </c>
      <c r="M92" t="s">
        <v>29</v>
      </c>
      <c r="N92" t="s">
        <v>83</v>
      </c>
      <c r="O92" s="4">
        <v>0.26652733615794888</v>
      </c>
      <c r="P92" s="4">
        <v>0.73347266384205101</v>
      </c>
      <c r="Q92" t="s">
        <v>84</v>
      </c>
      <c r="R92" s="4">
        <v>6.2840378182622399E-5</v>
      </c>
      <c r="S92" s="3">
        <v>10428911.560000001</v>
      </c>
      <c r="T92" s="4">
        <v>0.18926756611247239</v>
      </c>
    </row>
    <row r="93" spans="1:20" x14ac:dyDescent="0.4">
      <c r="A93" s="2">
        <v>45854</v>
      </c>
      <c r="B93" t="s">
        <v>30</v>
      </c>
      <c r="C93" t="s">
        <v>28</v>
      </c>
      <c r="D93" s="3" t="str">
        <f t="shared" si="22"/>
        <v>PASS</v>
      </c>
      <c r="E93" s="3" t="str">
        <f t="shared" si="23"/>
        <v>PASS</v>
      </c>
      <c r="F93" s="3" t="str">
        <f t="shared" si="24"/>
        <v>PASS</v>
      </c>
      <c r="G93" s="3" t="str">
        <f t="shared" si="25"/>
        <v>FAIL</v>
      </c>
      <c r="H93" s="3">
        <v>34828542.359999999</v>
      </c>
      <c r="I93" s="4">
        <v>0</v>
      </c>
      <c r="J93" s="3">
        <v>32327732.77</v>
      </c>
      <c r="K93" s="3">
        <v>2341.19</v>
      </c>
      <c r="L93" s="3">
        <v>0</v>
      </c>
      <c r="M93" t="s">
        <v>29</v>
      </c>
      <c r="N93" t="s">
        <v>42</v>
      </c>
      <c r="O93" s="4">
        <v>0.25465123528982953</v>
      </c>
      <c r="P93" s="4">
        <v>0.74534876471017053</v>
      </c>
      <c r="Q93" t="s">
        <v>85</v>
      </c>
      <c r="R93" s="4">
        <v>6.1241499991669266E-6</v>
      </c>
      <c r="S93" s="3">
        <v>4780351.1900000004</v>
      </c>
      <c r="T93" s="4">
        <v>0.1372538402724012</v>
      </c>
    </row>
    <row r="94" spans="1:20" x14ac:dyDescent="0.4">
      <c r="A94" s="2">
        <v>45854</v>
      </c>
      <c r="B94" t="s">
        <v>31</v>
      </c>
      <c r="C94" t="s">
        <v>28</v>
      </c>
      <c r="D94" s="3" t="str">
        <f t="shared" si="22"/>
        <v>PASS</v>
      </c>
      <c r="E94" s="3" t="str">
        <f t="shared" si="23"/>
        <v>PASS</v>
      </c>
      <c r="F94" s="3" t="str">
        <f t="shared" si="24"/>
        <v>PASS</v>
      </c>
      <c r="G94" s="3" t="str">
        <f t="shared" si="25"/>
        <v>FAIL</v>
      </c>
      <c r="H94" s="3">
        <v>23808224.370000001</v>
      </c>
      <c r="I94" s="4">
        <v>0</v>
      </c>
      <c r="J94" s="3">
        <v>21511799.420000002</v>
      </c>
      <c r="K94" s="3">
        <v>1558.46</v>
      </c>
      <c r="L94" s="3">
        <v>0</v>
      </c>
      <c r="M94" t="s">
        <v>29</v>
      </c>
      <c r="N94" t="s">
        <v>42</v>
      </c>
      <c r="O94" s="4">
        <v>0.25177198904916148</v>
      </c>
      <c r="P94" s="4">
        <v>0.74822801095083846</v>
      </c>
      <c r="Q94" t="s">
        <v>86</v>
      </c>
      <c r="R94" s="4">
        <v>4.0307886461206811E-6</v>
      </c>
      <c r="S94" s="3">
        <v>4274417.08</v>
      </c>
      <c r="T94" s="4">
        <v>0.17953531576197931</v>
      </c>
    </row>
    <row r="95" spans="1:20" x14ac:dyDescent="0.4">
      <c r="A95" s="2">
        <v>45854</v>
      </c>
      <c r="B95" t="s">
        <v>33</v>
      </c>
      <c r="C95" t="s">
        <v>28</v>
      </c>
      <c r="D95" s="3" t="str">
        <f t="shared" si="22"/>
        <v>PASS</v>
      </c>
      <c r="E95" s="3" t="str">
        <f t="shared" si="23"/>
        <v>PASS</v>
      </c>
      <c r="F95" s="3" t="str">
        <f t="shared" si="24"/>
        <v>PASS</v>
      </c>
      <c r="G95" s="3" t="str">
        <f t="shared" si="25"/>
        <v>FAIL</v>
      </c>
      <c r="H95" s="3">
        <v>15445946.17</v>
      </c>
      <c r="I95" s="4">
        <v>0</v>
      </c>
      <c r="J95" s="3">
        <v>13605322.380000001</v>
      </c>
      <c r="K95" s="3">
        <v>985.61</v>
      </c>
      <c r="L95" s="3">
        <v>0</v>
      </c>
      <c r="M95" t="s">
        <v>29</v>
      </c>
      <c r="N95" t="s">
        <v>42</v>
      </c>
      <c r="O95" s="4">
        <v>0.25167417355971528</v>
      </c>
      <c r="P95" s="4">
        <v>0.74832582644028467</v>
      </c>
      <c r="Q95" t="s">
        <v>87</v>
      </c>
      <c r="R95" s="4">
        <v>2.5462109518684958E-6</v>
      </c>
      <c r="S95" s="3">
        <v>4259282.6099999994</v>
      </c>
      <c r="T95" s="4">
        <v>0.27575407573753052</v>
      </c>
    </row>
    <row r="96" spans="1:20" x14ac:dyDescent="0.4">
      <c r="A96" s="2">
        <v>45854</v>
      </c>
      <c r="B96" t="s">
        <v>35</v>
      </c>
      <c r="C96" t="s">
        <v>28</v>
      </c>
      <c r="D96" s="3" t="str">
        <f t="shared" si="22"/>
        <v>PASS</v>
      </c>
      <c r="E96" s="3" t="str">
        <f t="shared" si="23"/>
        <v>PASS</v>
      </c>
      <c r="F96" s="3" t="str">
        <f t="shared" si="24"/>
        <v>PASS</v>
      </c>
      <c r="G96" s="3" t="str">
        <f t="shared" si="25"/>
        <v>FAIL</v>
      </c>
      <c r="H96" s="3">
        <v>137130234.97999999</v>
      </c>
      <c r="I96" s="4">
        <v>0</v>
      </c>
      <c r="J96" s="3">
        <v>119847903.31</v>
      </c>
      <c r="K96" s="3">
        <v>8676.2099999999991</v>
      </c>
      <c r="L96" s="3">
        <v>0</v>
      </c>
      <c r="M96" t="s">
        <v>29</v>
      </c>
      <c r="N96" t="s">
        <v>42</v>
      </c>
      <c r="O96" s="4">
        <v>0.2588789473083023</v>
      </c>
      <c r="P96" s="4">
        <v>0.7411210526916977</v>
      </c>
      <c r="Q96" t="s">
        <v>88</v>
      </c>
      <c r="R96" s="4">
        <v>2.3086785207881461E-5</v>
      </c>
      <c r="S96" s="3">
        <v>35315579.700000003</v>
      </c>
      <c r="T96" s="4">
        <v>0.25753313778796239</v>
      </c>
    </row>
    <row r="97" spans="1:20" x14ac:dyDescent="0.4">
      <c r="A97" s="2">
        <v>45854</v>
      </c>
      <c r="B97" t="s">
        <v>36</v>
      </c>
      <c r="C97" t="s">
        <v>28</v>
      </c>
      <c r="D97" s="3" t="str">
        <f t="shared" si="22"/>
        <v>PASS</v>
      </c>
      <c r="E97" s="3" t="str">
        <f t="shared" si="23"/>
        <v>PASS</v>
      </c>
      <c r="F97" s="3" t="str">
        <f t="shared" si="24"/>
        <v>PASS</v>
      </c>
      <c r="G97" s="3" t="str">
        <f t="shared" si="25"/>
        <v>FAIL</v>
      </c>
      <c r="H97" s="3">
        <v>102607783.69</v>
      </c>
      <c r="I97" s="4">
        <v>0</v>
      </c>
      <c r="J97" s="3">
        <v>92511690.849999994</v>
      </c>
      <c r="K97" s="3">
        <v>6700.33</v>
      </c>
      <c r="L97" s="3">
        <v>0</v>
      </c>
      <c r="M97" t="s">
        <v>29</v>
      </c>
      <c r="N97" t="s">
        <v>42</v>
      </c>
      <c r="O97" s="4">
        <v>0.2497680111421291</v>
      </c>
      <c r="P97" s="4">
        <v>0.7502319888578709</v>
      </c>
      <c r="Q97" t="s">
        <v>89</v>
      </c>
      <c r="R97" s="4">
        <v>1.7193332174152289E-5</v>
      </c>
      <c r="S97" s="3">
        <v>19260721.57</v>
      </c>
      <c r="T97" s="4">
        <v>0.18771209042182169</v>
      </c>
    </row>
    <row r="98" spans="1:20" x14ac:dyDescent="0.4">
      <c r="A98" s="2">
        <v>45854</v>
      </c>
      <c r="B98" t="s">
        <v>37</v>
      </c>
      <c r="C98" t="s">
        <v>28</v>
      </c>
      <c r="D98" s="3" t="str">
        <f t="shared" si="22"/>
        <v>PASS</v>
      </c>
      <c r="E98" s="3" t="str">
        <f t="shared" si="23"/>
        <v>PASS</v>
      </c>
      <c r="F98" s="3" t="str">
        <f t="shared" si="24"/>
        <v>PASS</v>
      </c>
      <c r="G98" s="3" t="str">
        <f t="shared" si="25"/>
        <v>FAIL</v>
      </c>
      <c r="H98" s="3">
        <v>40514381.219999999</v>
      </c>
      <c r="I98" s="4">
        <v>0</v>
      </c>
      <c r="J98" s="3">
        <v>34866985.25</v>
      </c>
      <c r="K98" s="3">
        <v>2524.5500000000002</v>
      </c>
      <c r="L98" s="3">
        <v>0</v>
      </c>
      <c r="M98" t="s">
        <v>29</v>
      </c>
      <c r="N98" t="s">
        <v>46</v>
      </c>
      <c r="O98" s="4">
        <v>0.28306798282768081</v>
      </c>
      <c r="P98" s="4">
        <v>0.71693201717231925</v>
      </c>
      <c r="Q98" t="s">
        <v>90</v>
      </c>
      <c r="R98" s="4">
        <v>6.4637871982836148E-6</v>
      </c>
      <c r="S98" s="3">
        <v>11089984.449999999</v>
      </c>
      <c r="T98" s="4">
        <v>0.27372957740066411</v>
      </c>
    </row>
    <row r="99" spans="1:20" x14ac:dyDescent="0.4">
      <c r="A99" s="2">
        <v>45854</v>
      </c>
      <c r="B99" t="s">
        <v>38</v>
      </c>
      <c r="C99" t="s">
        <v>28</v>
      </c>
      <c r="D99" s="3" t="str">
        <f t="shared" si="22"/>
        <v>PASS</v>
      </c>
      <c r="E99" s="3" t="str">
        <f t="shared" si="23"/>
        <v>PASS</v>
      </c>
      <c r="F99" s="3" t="str">
        <f t="shared" si="24"/>
        <v>PASS</v>
      </c>
      <c r="G99" s="3" t="str">
        <f t="shared" si="25"/>
        <v>FAIL</v>
      </c>
      <c r="H99" s="3">
        <v>49107279.079999998</v>
      </c>
      <c r="I99" s="4">
        <v>0</v>
      </c>
      <c r="J99" s="3">
        <v>41344762.93</v>
      </c>
      <c r="K99" s="3">
        <v>2992.96</v>
      </c>
      <c r="L99" s="3">
        <v>0</v>
      </c>
      <c r="M99" t="s">
        <v>29</v>
      </c>
      <c r="N99" t="s">
        <v>46</v>
      </c>
      <c r="O99" s="4">
        <v>0.29315827587453042</v>
      </c>
      <c r="P99" s="4">
        <v>0.70684172412546964</v>
      </c>
      <c r="Q99" t="s">
        <v>91</v>
      </c>
      <c r="R99" s="4">
        <v>7.9398205604825494E-6</v>
      </c>
      <c r="S99" s="3">
        <v>16701591.710000001</v>
      </c>
      <c r="T99" s="4">
        <v>0.34010419682979509</v>
      </c>
    </row>
    <row r="100" spans="1:20" x14ac:dyDescent="0.4">
      <c r="A100" s="2">
        <v>45854</v>
      </c>
      <c r="B100" t="s">
        <v>39</v>
      </c>
      <c r="C100" t="s">
        <v>28</v>
      </c>
      <c r="D100" s="3" t="str">
        <f t="shared" si="22"/>
        <v>PASS</v>
      </c>
      <c r="E100" s="3" t="str">
        <f t="shared" si="23"/>
        <v>PASS</v>
      </c>
      <c r="F100" s="3" t="str">
        <f t="shared" si="24"/>
        <v>PASS</v>
      </c>
      <c r="G100" s="3" t="str">
        <f t="shared" si="25"/>
        <v>FAIL</v>
      </c>
      <c r="H100" s="3">
        <v>78891840.799999997</v>
      </c>
      <c r="I100" s="4">
        <v>0</v>
      </c>
      <c r="J100" s="3">
        <v>70234142.420000002</v>
      </c>
      <c r="K100" s="3">
        <v>5084.63</v>
      </c>
      <c r="L100" s="3">
        <v>0</v>
      </c>
      <c r="M100" t="s">
        <v>29</v>
      </c>
      <c r="N100" t="s">
        <v>42</v>
      </c>
      <c r="O100" s="4">
        <v>0.25315438909576432</v>
      </c>
      <c r="P100" s="4">
        <v>0.74684561090423573</v>
      </c>
      <c r="Q100" t="s">
        <v>92</v>
      </c>
      <c r="R100" s="4">
        <v>1.3218081686377731E-5</v>
      </c>
      <c r="S100" s="3">
        <v>17803492.780000001</v>
      </c>
      <c r="T100" s="4">
        <v>0.225669633253126</v>
      </c>
    </row>
    <row r="101" spans="1:20" x14ac:dyDescent="0.4">
      <c r="A101" s="2">
        <v>45855</v>
      </c>
      <c r="B101" t="s">
        <v>27</v>
      </c>
      <c r="C101" t="s">
        <v>28</v>
      </c>
      <c r="D101" s="3" t="str">
        <f t="shared" si="22"/>
        <v>PASS</v>
      </c>
      <c r="E101" s="3" t="str">
        <f t="shared" si="23"/>
        <v>PASS</v>
      </c>
      <c r="F101" s="3" t="str">
        <f t="shared" si="24"/>
        <v>PASS</v>
      </c>
      <c r="G101" s="3" t="str">
        <f t="shared" si="25"/>
        <v>FAIL</v>
      </c>
      <c r="H101" s="3">
        <v>55242924.799999997</v>
      </c>
      <c r="I101" s="4">
        <v>0</v>
      </c>
      <c r="J101" s="3">
        <v>49998345.829999998</v>
      </c>
      <c r="K101" s="3">
        <v>3620.69</v>
      </c>
      <c r="L101" s="3">
        <v>0</v>
      </c>
      <c r="M101" t="s">
        <v>29</v>
      </c>
      <c r="N101" t="s">
        <v>93</v>
      </c>
      <c r="O101" s="4">
        <v>0.26827381580995802</v>
      </c>
      <c r="P101" s="4">
        <v>0.73172618419004198</v>
      </c>
      <c r="Q101" t="s">
        <v>94</v>
      </c>
      <c r="R101" s="4">
        <v>6.2840378182622399E-5</v>
      </c>
      <c r="S101" s="3">
        <v>10378476.859999999</v>
      </c>
      <c r="T101" s="4">
        <v>0.18786979323730521</v>
      </c>
    </row>
    <row r="102" spans="1:20" x14ac:dyDescent="0.4">
      <c r="A102" s="2">
        <v>45855</v>
      </c>
      <c r="B102" t="s">
        <v>30</v>
      </c>
      <c r="C102" t="s">
        <v>28</v>
      </c>
      <c r="D102" s="3" t="str">
        <f t="shared" si="22"/>
        <v>PASS</v>
      </c>
      <c r="E102" s="3" t="str">
        <f t="shared" si="23"/>
        <v>PASS</v>
      </c>
      <c r="F102" s="3" t="str">
        <f t="shared" si="24"/>
        <v>PASS</v>
      </c>
      <c r="G102" s="3" t="str">
        <f t="shared" si="25"/>
        <v>FAIL</v>
      </c>
      <c r="H102" s="3">
        <v>34897319.880000003</v>
      </c>
      <c r="I102" s="4">
        <v>0</v>
      </c>
      <c r="J102" s="3">
        <v>32394163.210000001</v>
      </c>
      <c r="K102" s="3">
        <v>2347.79</v>
      </c>
      <c r="L102" s="3">
        <v>0</v>
      </c>
      <c r="M102" t="s">
        <v>29</v>
      </c>
      <c r="N102" t="s">
        <v>42</v>
      </c>
      <c r="O102" s="4">
        <v>0.2555349865448801</v>
      </c>
      <c r="P102" s="4">
        <v>0.74446501345511984</v>
      </c>
      <c r="Q102" t="s">
        <v>95</v>
      </c>
      <c r="R102" s="4">
        <v>6.1241499991669266E-6</v>
      </c>
      <c r="S102" s="3">
        <v>4806334.1899999985</v>
      </c>
      <c r="T102" s="4">
        <v>0.13772788874696809</v>
      </c>
    </row>
    <row r="103" spans="1:20" x14ac:dyDescent="0.4">
      <c r="A103" s="2">
        <v>45855</v>
      </c>
      <c r="B103" t="s">
        <v>31</v>
      </c>
      <c r="C103" t="s">
        <v>28</v>
      </c>
      <c r="D103" s="3" t="str">
        <f t="shared" si="22"/>
        <v>PASS</v>
      </c>
      <c r="E103" s="3" t="str">
        <f t="shared" si="23"/>
        <v>PASS</v>
      </c>
      <c r="F103" s="3" t="str">
        <f t="shared" si="24"/>
        <v>PASS</v>
      </c>
      <c r="G103" s="3" t="str">
        <f t="shared" si="25"/>
        <v>FAIL</v>
      </c>
      <c r="H103" s="3">
        <v>23840865.23</v>
      </c>
      <c r="I103" s="4">
        <v>0</v>
      </c>
      <c r="J103" s="3">
        <v>21542878.460000001</v>
      </c>
      <c r="K103" s="3">
        <v>1562.53</v>
      </c>
      <c r="L103" s="3">
        <v>0</v>
      </c>
      <c r="M103" t="s">
        <v>29</v>
      </c>
      <c r="N103" t="s">
        <v>42</v>
      </c>
      <c r="O103" s="4">
        <v>0.25279688738493677</v>
      </c>
      <c r="P103" s="4">
        <v>0.74720311261506323</v>
      </c>
      <c r="Q103" t="s">
        <v>96</v>
      </c>
      <c r="R103" s="4">
        <v>4.0307886461206811E-6</v>
      </c>
      <c r="S103" s="3">
        <v>4291381.1000000006</v>
      </c>
      <c r="T103" s="4">
        <v>0.18000106366106081</v>
      </c>
    </row>
    <row r="104" spans="1:20" x14ac:dyDescent="0.4">
      <c r="A104" s="2">
        <v>45855</v>
      </c>
      <c r="B104" t="s">
        <v>33</v>
      </c>
      <c r="C104" t="s">
        <v>28</v>
      </c>
      <c r="D104" s="3" t="str">
        <f t="shared" si="22"/>
        <v>PASS</v>
      </c>
      <c r="E104" s="3" t="str">
        <f t="shared" si="23"/>
        <v>PASS</v>
      </c>
      <c r="F104" s="3" t="str">
        <f t="shared" si="24"/>
        <v>PASS</v>
      </c>
      <c r="G104" s="3" t="str">
        <f t="shared" si="25"/>
        <v>FAIL</v>
      </c>
      <c r="H104" s="3">
        <v>15464614.029999999</v>
      </c>
      <c r="I104" s="4">
        <v>0</v>
      </c>
      <c r="J104" s="3">
        <v>13623002.460000001</v>
      </c>
      <c r="K104" s="3">
        <v>988.49</v>
      </c>
      <c r="L104" s="3">
        <v>0</v>
      </c>
      <c r="M104" t="s">
        <v>29</v>
      </c>
      <c r="N104" t="s">
        <v>42</v>
      </c>
      <c r="O104" s="4">
        <v>0.25274913882677219</v>
      </c>
      <c r="P104" s="4">
        <v>0.74725086117322781</v>
      </c>
      <c r="Q104" t="s">
        <v>97</v>
      </c>
      <c r="R104" s="4">
        <v>2.5462109518684958E-6</v>
      </c>
      <c r="S104" s="3">
        <v>4279363.9399999985</v>
      </c>
      <c r="T104" s="4">
        <v>0.27671973782846487</v>
      </c>
    </row>
    <row r="105" spans="1:20" x14ac:dyDescent="0.4">
      <c r="A105" s="2">
        <v>45855</v>
      </c>
      <c r="B105" t="s">
        <v>35</v>
      </c>
      <c r="C105" t="s">
        <v>28</v>
      </c>
      <c r="D105" s="3" t="str">
        <f t="shared" si="22"/>
        <v>PASS</v>
      </c>
      <c r="E105" s="3" t="str">
        <f t="shared" si="23"/>
        <v>PASS</v>
      </c>
      <c r="F105" s="3" t="str">
        <f t="shared" si="24"/>
        <v>PASS</v>
      </c>
      <c r="G105" s="3" t="str">
        <f t="shared" si="25"/>
        <v>FAIL</v>
      </c>
      <c r="H105" s="3">
        <v>137350114.94999999</v>
      </c>
      <c r="I105" s="4">
        <v>0</v>
      </c>
      <c r="J105" s="3">
        <v>120059081.98999999</v>
      </c>
      <c r="K105" s="3">
        <v>8701.84</v>
      </c>
      <c r="L105" s="3">
        <v>0</v>
      </c>
      <c r="M105" t="s">
        <v>29</v>
      </c>
      <c r="N105" t="s">
        <v>42</v>
      </c>
      <c r="O105" s="4">
        <v>0.25984304862999402</v>
      </c>
      <c r="P105" s="4">
        <v>0.74015695137000603</v>
      </c>
      <c r="Q105" t="s">
        <v>98</v>
      </c>
      <c r="R105" s="4">
        <v>2.3086785207881461E-5</v>
      </c>
      <c r="S105" s="3">
        <v>35541852.360000007</v>
      </c>
      <c r="T105" s="4">
        <v>0.25876827531552071</v>
      </c>
    </row>
    <row r="106" spans="1:20" x14ac:dyDescent="0.4">
      <c r="A106" s="2">
        <v>45855</v>
      </c>
      <c r="B106" t="s">
        <v>36</v>
      </c>
      <c r="C106" t="s">
        <v>28</v>
      </c>
      <c r="D106" s="3" t="str">
        <f t="shared" si="22"/>
        <v>PASS</v>
      </c>
      <c r="E106" s="3" t="str">
        <f t="shared" si="23"/>
        <v>PASS</v>
      </c>
      <c r="F106" s="3" t="str">
        <f t="shared" si="24"/>
        <v>PASS</v>
      </c>
      <c r="G106" s="3" t="str">
        <f t="shared" si="25"/>
        <v>FAIL</v>
      </c>
      <c r="H106" s="3">
        <v>102708196.01000001</v>
      </c>
      <c r="I106" s="4">
        <v>0</v>
      </c>
      <c r="J106" s="3">
        <v>92605386.569999993</v>
      </c>
      <c r="K106" s="3">
        <v>6717.28</v>
      </c>
      <c r="L106" s="3">
        <v>0</v>
      </c>
      <c r="M106" t="s">
        <v>29</v>
      </c>
      <c r="N106" t="s">
        <v>42</v>
      </c>
      <c r="O106" s="4">
        <v>0.25088712331477497</v>
      </c>
      <c r="P106" s="4">
        <v>0.74911287668522497</v>
      </c>
      <c r="Q106" t="s">
        <v>99</v>
      </c>
      <c r="R106" s="4">
        <v>1.7193332174152289E-5</v>
      </c>
      <c r="S106" s="3">
        <v>19201828.280000001</v>
      </c>
      <c r="T106" s="4">
        <v>0.18695517033645931</v>
      </c>
    </row>
    <row r="107" spans="1:20" x14ac:dyDescent="0.4">
      <c r="A107" s="2">
        <v>45855</v>
      </c>
      <c r="B107" t="s">
        <v>37</v>
      </c>
      <c r="C107" t="s">
        <v>28</v>
      </c>
      <c r="D107" s="3" t="str">
        <f t="shared" si="22"/>
        <v>PASS</v>
      </c>
      <c r="E107" s="3" t="str">
        <f t="shared" si="23"/>
        <v>PASS</v>
      </c>
      <c r="F107" s="3" t="str">
        <f t="shared" si="24"/>
        <v>PASS</v>
      </c>
      <c r="G107" s="3" t="str">
        <f t="shared" si="25"/>
        <v>FAIL</v>
      </c>
      <c r="H107" s="3">
        <v>40561608.82</v>
      </c>
      <c r="I107" s="4">
        <v>0</v>
      </c>
      <c r="J107" s="3">
        <v>34911681.409999996</v>
      </c>
      <c r="K107" s="3">
        <v>2532.12</v>
      </c>
      <c r="L107" s="3">
        <v>0</v>
      </c>
      <c r="M107" t="s">
        <v>29</v>
      </c>
      <c r="N107" t="s">
        <v>46</v>
      </c>
      <c r="O107" s="4">
        <v>0.28470710142173022</v>
      </c>
      <c r="P107" s="4">
        <v>0.71529289857826983</v>
      </c>
      <c r="Q107" t="s">
        <v>100</v>
      </c>
      <c r="R107" s="4">
        <v>6.4637871982836148E-6</v>
      </c>
      <c r="S107" s="3">
        <v>11125231.51</v>
      </c>
      <c r="T107" s="4">
        <v>0.27427983834098818</v>
      </c>
    </row>
    <row r="108" spans="1:20" x14ac:dyDescent="0.4">
      <c r="A108" s="2">
        <v>45855</v>
      </c>
      <c r="B108" t="s">
        <v>38</v>
      </c>
      <c r="C108" t="s">
        <v>28</v>
      </c>
      <c r="D108" s="3" t="str">
        <f t="shared" si="22"/>
        <v>PASS</v>
      </c>
      <c r="E108" s="3" t="str">
        <f t="shared" si="23"/>
        <v>PASS</v>
      </c>
      <c r="F108" s="3" t="str">
        <f t="shared" si="24"/>
        <v>PASS</v>
      </c>
      <c r="G108" s="3" t="str">
        <f t="shared" si="25"/>
        <v>FAIL</v>
      </c>
      <c r="H108" s="3">
        <v>49190522.280000001</v>
      </c>
      <c r="I108" s="4">
        <v>0</v>
      </c>
      <c r="J108" s="3">
        <v>41425004.390000001</v>
      </c>
      <c r="K108" s="3">
        <v>3002.29</v>
      </c>
      <c r="L108" s="3">
        <v>0</v>
      </c>
      <c r="M108" t="s">
        <v>29</v>
      </c>
      <c r="N108" t="s">
        <v>46</v>
      </c>
      <c r="O108" s="4">
        <v>0.29465097227476722</v>
      </c>
      <c r="P108" s="4">
        <v>0.70534902772523278</v>
      </c>
      <c r="Q108" t="s">
        <v>101</v>
      </c>
      <c r="R108" s="4">
        <v>7.9398205604825494E-6</v>
      </c>
      <c r="S108" s="3">
        <v>16835752.600000001</v>
      </c>
      <c r="T108" s="4">
        <v>0.34225602452782089</v>
      </c>
    </row>
    <row r="109" spans="1:20" x14ac:dyDescent="0.4">
      <c r="A109" s="2">
        <v>45855</v>
      </c>
      <c r="B109" t="s">
        <v>39</v>
      </c>
      <c r="C109" t="s">
        <v>28</v>
      </c>
      <c r="D109" s="3" t="str">
        <f t="shared" si="22"/>
        <v>PASS</v>
      </c>
      <c r="E109" s="3" t="str">
        <f t="shared" si="23"/>
        <v>PASS</v>
      </c>
      <c r="F109" s="3" t="str">
        <f t="shared" si="24"/>
        <v>PASS</v>
      </c>
      <c r="G109" s="3" t="str">
        <f t="shared" si="25"/>
        <v>FAIL</v>
      </c>
      <c r="H109" s="3">
        <v>79015994.519999996</v>
      </c>
      <c r="I109" s="4">
        <v>0</v>
      </c>
      <c r="J109" s="3">
        <v>70353196.950000003</v>
      </c>
      <c r="K109" s="3">
        <v>5099.8999999999996</v>
      </c>
      <c r="L109" s="3">
        <v>0</v>
      </c>
      <c r="M109" t="s">
        <v>29</v>
      </c>
      <c r="N109" t="s">
        <v>42</v>
      </c>
      <c r="O109" s="4">
        <v>0.25417238441500561</v>
      </c>
      <c r="P109" s="4">
        <v>0.74582761558499433</v>
      </c>
      <c r="Q109" t="s">
        <v>102</v>
      </c>
      <c r="R109" s="4">
        <v>1.3218081686377731E-5</v>
      </c>
      <c r="S109" s="3">
        <v>17879224.800000001</v>
      </c>
      <c r="T109" s="4">
        <v>0.2262734894195951</v>
      </c>
    </row>
    <row r="110" spans="1:20" x14ac:dyDescent="0.4">
      <c r="A110" s="2">
        <v>45856</v>
      </c>
      <c r="B110" t="s">
        <v>27</v>
      </c>
      <c r="C110" t="s">
        <v>28</v>
      </c>
      <c r="D110" s="3" t="str">
        <f t="shared" si="22"/>
        <v>PASS</v>
      </c>
      <c r="E110" s="3" t="str">
        <f t="shared" si="23"/>
        <v>PASS</v>
      </c>
      <c r="F110" s="3" t="str">
        <f t="shared" si="24"/>
        <v>PASS</v>
      </c>
      <c r="G110" s="3" t="str">
        <f t="shared" si="25"/>
        <v>FAIL</v>
      </c>
      <c r="H110" s="3">
        <v>55318246.640000001</v>
      </c>
      <c r="I110" s="4">
        <v>0</v>
      </c>
      <c r="J110" s="3">
        <v>50062777.609999999</v>
      </c>
      <c r="K110" s="3">
        <v>10892.1</v>
      </c>
      <c r="L110" s="3">
        <v>0</v>
      </c>
      <c r="M110" t="s">
        <v>29</v>
      </c>
      <c r="N110" t="s">
        <v>103</v>
      </c>
      <c r="O110" s="4">
        <v>0.26872317482665548</v>
      </c>
      <c r="P110" s="4">
        <v>0.73127682517334458</v>
      </c>
      <c r="Q110" t="s">
        <v>104</v>
      </c>
      <c r="R110" s="4">
        <v>1.121123898333177E-4</v>
      </c>
      <c r="S110" s="3">
        <v>10407397.439999999</v>
      </c>
      <c r="T110" s="4">
        <v>0.188136791603849</v>
      </c>
    </row>
    <row r="111" spans="1:20" x14ac:dyDescent="0.4">
      <c r="A111" s="2">
        <v>45856</v>
      </c>
      <c r="B111" t="s">
        <v>30</v>
      </c>
      <c r="C111" t="s">
        <v>28</v>
      </c>
      <c r="D111" s="3" t="str">
        <f t="shared" si="22"/>
        <v>PASS</v>
      </c>
      <c r="E111" s="3" t="str">
        <f t="shared" si="23"/>
        <v>PASS</v>
      </c>
      <c r="F111" s="3" t="str">
        <f t="shared" si="24"/>
        <v>PASS</v>
      </c>
      <c r="G111" s="3" t="str">
        <f t="shared" si="25"/>
        <v>FAIL</v>
      </c>
      <c r="H111" s="3">
        <v>34885590.460000001</v>
      </c>
      <c r="I111" s="4">
        <v>0</v>
      </c>
      <c r="J111" s="3">
        <v>32375378.059999999</v>
      </c>
      <c r="K111" s="3">
        <v>7057.86</v>
      </c>
      <c r="L111" s="3">
        <v>0</v>
      </c>
      <c r="M111" t="s">
        <v>29</v>
      </c>
      <c r="N111" t="s">
        <v>42</v>
      </c>
      <c r="O111" s="4">
        <v>0.25611176075328901</v>
      </c>
      <c r="P111" s="4">
        <v>0.74388823924671099</v>
      </c>
      <c r="Q111" t="s">
        <v>105</v>
      </c>
      <c r="R111" s="4">
        <v>6.1241499991669266E-6</v>
      </c>
      <c r="S111" s="3">
        <v>4814120.7</v>
      </c>
      <c r="T111" s="4">
        <v>0.13799739767970659</v>
      </c>
    </row>
    <row r="112" spans="1:20" x14ac:dyDescent="0.4">
      <c r="A112" s="2">
        <v>45856</v>
      </c>
      <c r="B112" t="s">
        <v>31</v>
      </c>
      <c r="C112" t="s">
        <v>28</v>
      </c>
      <c r="D112" s="3" t="str">
        <f t="shared" si="22"/>
        <v>PASS</v>
      </c>
      <c r="E112" s="3" t="str">
        <f t="shared" si="23"/>
        <v>PASS</v>
      </c>
      <c r="F112" s="3" t="str">
        <f t="shared" si="24"/>
        <v>PASS</v>
      </c>
      <c r="G112" s="3" t="str">
        <f t="shared" si="25"/>
        <v>FAIL</v>
      </c>
      <c r="H112" s="3">
        <v>23831275.920000002</v>
      </c>
      <c r="I112" s="4">
        <v>0</v>
      </c>
      <c r="J112" s="3">
        <v>21528596.940000001</v>
      </c>
      <c r="K112" s="3">
        <v>4694.34</v>
      </c>
      <c r="L112" s="3">
        <v>0</v>
      </c>
      <c r="M112" t="s">
        <v>29</v>
      </c>
      <c r="N112" t="s">
        <v>42</v>
      </c>
      <c r="O112" s="4">
        <v>0.2533910340373533</v>
      </c>
      <c r="P112" s="4">
        <v>0.7466089659626467</v>
      </c>
      <c r="Q112" t="s">
        <v>106</v>
      </c>
      <c r="R112" s="4">
        <v>4.0307886461206811E-6</v>
      </c>
      <c r="S112" s="3">
        <v>4286445.08</v>
      </c>
      <c r="T112" s="4">
        <v>0.1798663694881176</v>
      </c>
    </row>
    <row r="113" spans="1:20" x14ac:dyDescent="0.4">
      <c r="A113" s="2">
        <v>45856</v>
      </c>
      <c r="B113" t="s">
        <v>33</v>
      </c>
      <c r="C113" t="s">
        <v>28</v>
      </c>
      <c r="D113" s="3" t="str">
        <f t="shared" si="22"/>
        <v>PASS</v>
      </c>
      <c r="E113" s="3" t="str">
        <f t="shared" si="23"/>
        <v>PASS</v>
      </c>
      <c r="F113" s="3" t="str">
        <f t="shared" si="24"/>
        <v>PASS</v>
      </c>
      <c r="G113" s="3" t="str">
        <f t="shared" si="25"/>
        <v>FAIL</v>
      </c>
      <c r="H113" s="3">
        <v>15460794.34</v>
      </c>
      <c r="I113" s="4">
        <v>0</v>
      </c>
      <c r="J113" s="3">
        <v>13616215.560000001</v>
      </c>
      <c r="K113" s="3">
        <v>2969.34</v>
      </c>
      <c r="L113" s="3">
        <v>0</v>
      </c>
      <c r="M113" t="s">
        <v>29</v>
      </c>
      <c r="N113" t="s">
        <v>42</v>
      </c>
      <c r="O113" s="4">
        <v>0.25329140206414302</v>
      </c>
      <c r="P113" s="4">
        <v>0.74670859793585698</v>
      </c>
      <c r="Q113" t="s">
        <v>107</v>
      </c>
      <c r="R113" s="4">
        <v>2.5462109518684958E-6</v>
      </c>
      <c r="S113" s="3">
        <v>4281298.72</v>
      </c>
      <c r="T113" s="4">
        <v>0.27691324429065522</v>
      </c>
    </row>
    <row r="114" spans="1:20" x14ac:dyDescent="0.4">
      <c r="A114" s="2">
        <v>45856</v>
      </c>
      <c r="B114" t="s">
        <v>35</v>
      </c>
      <c r="C114" t="s">
        <v>28</v>
      </c>
      <c r="D114" s="3" t="str">
        <f t="shared" si="22"/>
        <v>PASS</v>
      </c>
      <c r="E114" s="3" t="str">
        <f t="shared" si="23"/>
        <v>PASS</v>
      </c>
      <c r="F114" s="3" t="str">
        <f t="shared" si="24"/>
        <v>PASS</v>
      </c>
      <c r="G114" s="3" t="str">
        <f t="shared" si="25"/>
        <v>FAIL</v>
      </c>
      <c r="H114" s="3">
        <v>137320890.16999999</v>
      </c>
      <c r="I114" s="4">
        <v>0</v>
      </c>
      <c r="J114" s="3">
        <v>120003707.34999999</v>
      </c>
      <c r="K114" s="3">
        <v>26151.51</v>
      </c>
      <c r="L114" s="3">
        <v>0</v>
      </c>
      <c r="M114" t="s">
        <v>29</v>
      </c>
      <c r="N114" t="s">
        <v>42</v>
      </c>
      <c r="O114" s="4">
        <v>0.26040440899761919</v>
      </c>
      <c r="P114" s="4">
        <v>0.73959559100238081</v>
      </c>
      <c r="Q114" t="s">
        <v>108</v>
      </c>
      <c r="R114" s="4">
        <v>2.3086785207881461E-5</v>
      </c>
      <c r="S114" s="3">
        <v>35575314.799999997</v>
      </c>
      <c r="T114" s="4">
        <v>0.25906702728156372</v>
      </c>
    </row>
    <row r="115" spans="1:20" x14ac:dyDescent="0.4">
      <c r="A115" s="2">
        <v>45856</v>
      </c>
      <c r="B115" t="s">
        <v>36</v>
      </c>
      <c r="C115" t="s">
        <v>28</v>
      </c>
      <c r="D115" s="3" t="str">
        <f t="shared" si="22"/>
        <v>PASS</v>
      </c>
      <c r="E115" s="3" t="str">
        <f t="shared" si="23"/>
        <v>PASS</v>
      </c>
      <c r="F115" s="3" t="str">
        <f t="shared" si="24"/>
        <v>PASS</v>
      </c>
      <c r="G115" s="3" t="str">
        <f t="shared" si="25"/>
        <v>FAIL</v>
      </c>
      <c r="H115" s="3">
        <v>102700777.92</v>
      </c>
      <c r="I115" s="4">
        <v>0</v>
      </c>
      <c r="J115" s="3">
        <v>92577798.280000001</v>
      </c>
      <c r="K115" s="3">
        <v>20172.240000000002</v>
      </c>
      <c r="L115" s="3">
        <v>0</v>
      </c>
      <c r="M115" t="s">
        <v>29</v>
      </c>
      <c r="N115" t="s">
        <v>42</v>
      </c>
      <c r="O115" s="4">
        <v>0.25138731231878669</v>
      </c>
      <c r="P115" s="4">
        <v>0.74861268768121325</v>
      </c>
      <c r="Q115" t="s">
        <v>109</v>
      </c>
      <c r="R115" s="4">
        <v>1.7193332174152289E-5</v>
      </c>
      <c r="S115" s="3">
        <v>19256604.57</v>
      </c>
      <c r="T115" s="4">
        <v>0.18750203221440209</v>
      </c>
    </row>
    <row r="116" spans="1:20" x14ac:dyDescent="0.4">
      <c r="A116" s="2">
        <v>45856</v>
      </c>
      <c r="B116" t="s">
        <v>37</v>
      </c>
      <c r="C116" t="s">
        <v>28</v>
      </c>
      <c r="D116" s="3" t="str">
        <f t="shared" si="22"/>
        <v>PASS</v>
      </c>
      <c r="E116" s="3" t="str">
        <f t="shared" si="23"/>
        <v>PASS</v>
      </c>
      <c r="F116" s="3" t="str">
        <f t="shared" si="24"/>
        <v>PASS</v>
      </c>
      <c r="G116" s="3" t="str">
        <f t="shared" si="25"/>
        <v>FAIL</v>
      </c>
      <c r="H116" s="3">
        <v>40560421.240000002</v>
      </c>
      <c r="I116" s="4">
        <v>0</v>
      </c>
      <c r="J116" s="3">
        <v>34902889.789999999</v>
      </c>
      <c r="K116" s="3">
        <v>7606.08</v>
      </c>
      <c r="L116" s="3">
        <v>0</v>
      </c>
      <c r="M116" t="s">
        <v>29</v>
      </c>
      <c r="N116" t="s">
        <v>46</v>
      </c>
      <c r="O116" s="4">
        <v>0.28488208884207689</v>
      </c>
      <c r="P116" s="4">
        <v>0.71511791115792311</v>
      </c>
      <c r="Q116" t="s">
        <v>110</v>
      </c>
      <c r="R116" s="4">
        <v>6.4637871982836148E-6</v>
      </c>
      <c r="S116" s="3">
        <v>11136677.199999999</v>
      </c>
      <c r="T116" s="4">
        <v>0.27457005769499249</v>
      </c>
    </row>
    <row r="117" spans="1:20" x14ac:dyDescent="0.4">
      <c r="A117" s="2">
        <v>45856</v>
      </c>
      <c r="B117" t="s">
        <v>38</v>
      </c>
      <c r="C117" t="s">
        <v>28</v>
      </c>
      <c r="D117" s="3" t="str">
        <f t="shared" si="22"/>
        <v>PASS</v>
      </c>
      <c r="E117" s="3" t="str">
        <f t="shared" si="23"/>
        <v>PASS</v>
      </c>
      <c r="F117" s="3" t="str">
        <f t="shared" si="24"/>
        <v>PASS</v>
      </c>
      <c r="G117" s="3" t="str">
        <f t="shared" si="25"/>
        <v>FAIL</v>
      </c>
      <c r="H117" s="3">
        <v>49180956.75</v>
      </c>
      <c r="I117" s="4">
        <v>0</v>
      </c>
      <c r="J117" s="3">
        <v>41406416.149999999</v>
      </c>
      <c r="K117" s="3">
        <v>9024.36</v>
      </c>
      <c r="L117" s="3">
        <v>0</v>
      </c>
      <c r="M117" t="s">
        <v>29</v>
      </c>
      <c r="N117" t="s">
        <v>46</v>
      </c>
      <c r="O117" s="4">
        <v>0.29489597737137169</v>
      </c>
      <c r="P117" s="4">
        <v>0.70510402262862826</v>
      </c>
      <c r="Q117" t="s">
        <v>111</v>
      </c>
      <c r="R117" s="4">
        <v>7.9398205604825494E-6</v>
      </c>
      <c r="S117" s="3">
        <v>16848148.510000002</v>
      </c>
      <c r="T117" s="4">
        <v>0.34257463911577929</v>
      </c>
    </row>
    <row r="118" spans="1:20" x14ac:dyDescent="0.4">
      <c r="A118" s="2">
        <v>45856</v>
      </c>
      <c r="B118" t="s">
        <v>39</v>
      </c>
      <c r="C118" t="s">
        <v>28</v>
      </c>
      <c r="D118" s="3" t="str">
        <f t="shared" si="22"/>
        <v>PASS</v>
      </c>
      <c r="E118" s="3" t="str">
        <f t="shared" si="23"/>
        <v>PASS</v>
      </c>
      <c r="F118" s="3" t="str">
        <f t="shared" si="24"/>
        <v>PASS</v>
      </c>
      <c r="G118" s="3" t="str">
        <f t="shared" si="25"/>
        <v>FAIL</v>
      </c>
      <c r="H118" s="3">
        <v>78992388.469999999</v>
      </c>
      <c r="I118" s="4">
        <v>0</v>
      </c>
      <c r="J118" s="3">
        <v>70314267.409999996</v>
      </c>
      <c r="K118" s="3">
        <v>15325.62</v>
      </c>
      <c r="L118" s="3">
        <v>0</v>
      </c>
      <c r="M118" t="s">
        <v>29</v>
      </c>
      <c r="N118" t="s">
        <v>42</v>
      </c>
      <c r="O118" s="4">
        <v>0.25471411407257089</v>
      </c>
      <c r="P118" s="4">
        <v>0.74528588592742906</v>
      </c>
      <c r="Q118" t="s">
        <v>112</v>
      </c>
      <c r="R118" s="4">
        <v>1.3218081686377731E-5</v>
      </c>
      <c r="S118" s="3">
        <v>17897990.359999999</v>
      </c>
      <c r="T118" s="4">
        <v>0.2265786705107336</v>
      </c>
    </row>
    <row r="119" spans="1:20" x14ac:dyDescent="0.4">
      <c r="A119" s="2">
        <v>45859</v>
      </c>
      <c r="B119" t="s">
        <v>27</v>
      </c>
      <c r="C119" t="s">
        <v>28</v>
      </c>
      <c r="D119" s="3" t="str">
        <f t="shared" si="22"/>
        <v>PASS</v>
      </c>
      <c r="E119" s="3" t="str">
        <f t="shared" si="23"/>
        <v>PASS</v>
      </c>
      <c r="F119" s="3" t="str">
        <f t="shared" si="24"/>
        <v>PASS</v>
      </c>
      <c r="G119" s="3" t="str">
        <f t="shared" si="25"/>
        <v>FAIL</v>
      </c>
      <c r="H119" s="3">
        <v>55216439.420000002</v>
      </c>
      <c r="I119" s="4">
        <v>0</v>
      </c>
      <c r="J119" s="3">
        <v>49950939.600000001</v>
      </c>
      <c r="K119" s="3">
        <v>3635.37</v>
      </c>
      <c r="L119" s="3">
        <v>0</v>
      </c>
      <c r="M119" t="s">
        <v>29</v>
      </c>
      <c r="N119" t="s">
        <v>113</v>
      </c>
      <c r="O119" s="4">
        <v>0.27122669518312731</v>
      </c>
      <c r="P119" s="4">
        <v>0.72877330481687275</v>
      </c>
      <c r="Q119" t="s">
        <v>114</v>
      </c>
      <c r="R119" s="4">
        <v>1.121123898333177E-4</v>
      </c>
      <c r="S119" s="3">
        <v>10241868.939999999</v>
      </c>
      <c r="T119" s="4">
        <v>0.18548586340556911</v>
      </c>
    </row>
    <row r="120" spans="1:20" x14ac:dyDescent="0.4">
      <c r="A120" s="2">
        <v>45859</v>
      </c>
      <c r="B120" t="s">
        <v>30</v>
      </c>
      <c r="C120" t="s">
        <v>28</v>
      </c>
      <c r="D120" s="3" t="str">
        <f t="shared" si="22"/>
        <v>PASS</v>
      </c>
      <c r="E120" s="3" t="str">
        <f t="shared" si="23"/>
        <v>PASS</v>
      </c>
      <c r="F120" s="3" t="str">
        <f t="shared" si="24"/>
        <v>PASS</v>
      </c>
      <c r="G120" s="3" t="str">
        <f t="shared" si="25"/>
        <v>FAIL</v>
      </c>
      <c r="H120" s="3">
        <v>34956461.579999998</v>
      </c>
      <c r="I120" s="4">
        <v>0</v>
      </c>
      <c r="J120" s="3">
        <v>32444119.32</v>
      </c>
      <c r="K120" s="3">
        <v>2351.25</v>
      </c>
      <c r="L120" s="3">
        <v>0</v>
      </c>
      <c r="M120" t="s">
        <v>29</v>
      </c>
      <c r="N120" t="s">
        <v>42</v>
      </c>
      <c r="O120" s="4">
        <v>0.25571284275501183</v>
      </c>
      <c r="P120" s="4">
        <v>0.74428715724498817</v>
      </c>
      <c r="Q120" t="s">
        <v>115</v>
      </c>
      <c r="R120" s="4">
        <v>6.089972670953928E-6</v>
      </c>
      <c r="S120" s="3">
        <v>4793092.6399999997</v>
      </c>
      <c r="T120" s="4">
        <v>0.1371160702015195</v>
      </c>
    </row>
    <row r="121" spans="1:20" x14ac:dyDescent="0.4">
      <c r="A121" s="2">
        <v>45859</v>
      </c>
      <c r="B121" t="s">
        <v>31</v>
      </c>
      <c r="C121" t="s">
        <v>28</v>
      </c>
      <c r="D121" s="3" t="str">
        <f t="shared" si="22"/>
        <v>PASS</v>
      </c>
      <c r="E121" s="3" t="str">
        <f t="shared" si="23"/>
        <v>PASS</v>
      </c>
      <c r="F121" s="3" t="str">
        <f t="shared" si="24"/>
        <v>PASS</v>
      </c>
      <c r="G121" s="3" t="str">
        <f t="shared" si="25"/>
        <v>FAIL</v>
      </c>
      <c r="H121" s="3">
        <v>23876842.84</v>
      </c>
      <c r="I121" s="4">
        <v>0</v>
      </c>
      <c r="J121" s="3">
        <v>21569653.84</v>
      </c>
      <c r="K121" s="3">
        <v>1563.75</v>
      </c>
      <c r="L121" s="3">
        <v>0</v>
      </c>
      <c r="M121" t="s">
        <v>29</v>
      </c>
      <c r="N121" t="s">
        <v>42</v>
      </c>
      <c r="O121" s="4">
        <v>0.25312885280870129</v>
      </c>
      <c r="P121" s="4">
        <v>0.74687114719129866</v>
      </c>
      <c r="Q121" t="s">
        <v>116</v>
      </c>
      <c r="R121" s="4">
        <v>4.0072917329742444E-6</v>
      </c>
      <c r="S121" s="3">
        <v>4263969.3600000003</v>
      </c>
      <c r="T121" s="4">
        <v>0.1785817910924441</v>
      </c>
    </row>
    <row r="122" spans="1:20" x14ac:dyDescent="0.4">
      <c r="A122" s="2">
        <v>45859</v>
      </c>
      <c r="B122" t="s">
        <v>33</v>
      </c>
      <c r="C122" t="s">
        <v>28</v>
      </c>
      <c r="D122" s="3" t="str">
        <f t="shared" si="22"/>
        <v>PASS</v>
      </c>
      <c r="E122" s="3" t="str">
        <f t="shared" si="23"/>
        <v>PASS</v>
      </c>
      <c r="F122" s="3" t="str">
        <f t="shared" si="24"/>
        <v>PASS</v>
      </c>
      <c r="G122" s="3" t="str">
        <f t="shared" si="25"/>
        <v>FAIL</v>
      </c>
      <c r="H122" s="3">
        <v>15489836.689999999</v>
      </c>
      <c r="I122" s="4">
        <v>0</v>
      </c>
      <c r="J122" s="3">
        <v>13645863.09</v>
      </c>
      <c r="K122" s="3">
        <v>989.28</v>
      </c>
      <c r="L122" s="3">
        <v>0</v>
      </c>
      <c r="M122" t="s">
        <v>29</v>
      </c>
      <c r="N122" t="s">
        <v>42</v>
      </c>
      <c r="O122" s="4">
        <v>0.25311930430631341</v>
      </c>
      <c r="P122" s="4">
        <v>0.74688069569368665</v>
      </c>
      <c r="Q122" t="s">
        <v>117</v>
      </c>
      <c r="R122" s="4">
        <v>2.533394453788621E-6</v>
      </c>
      <c r="S122" s="3">
        <v>4284904.3100000015</v>
      </c>
      <c r="T122" s="4">
        <v>0.27662682284870499</v>
      </c>
    </row>
    <row r="123" spans="1:20" x14ac:dyDescent="0.4">
      <c r="A123" s="2">
        <v>45859</v>
      </c>
      <c r="B123" t="s">
        <v>35</v>
      </c>
      <c r="C123" t="s">
        <v>28</v>
      </c>
      <c r="D123" s="3" t="str">
        <f t="shared" si="22"/>
        <v>PASS</v>
      </c>
      <c r="E123" s="3" t="str">
        <f t="shared" si="23"/>
        <v>PASS</v>
      </c>
      <c r="F123" s="3" t="str">
        <f t="shared" si="24"/>
        <v>PASS</v>
      </c>
      <c r="G123" s="3" t="str">
        <f t="shared" si="25"/>
        <v>FAIL</v>
      </c>
      <c r="H123" s="3">
        <v>137595285.30000001</v>
      </c>
      <c r="I123" s="4">
        <v>0</v>
      </c>
      <c r="J123" s="3">
        <v>120273711.67</v>
      </c>
      <c r="K123" s="3">
        <v>8713.15</v>
      </c>
      <c r="L123" s="3">
        <v>0</v>
      </c>
      <c r="M123" t="s">
        <v>29</v>
      </c>
      <c r="N123" t="s">
        <v>42</v>
      </c>
      <c r="O123" s="4">
        <v>0.25999494750605467</v>
      </c>
      <c r="P123" s="4">
        <v>0.74000505249394533</v>
      </c>
      <c r="Q123" t="s">
        <v>118</v>
      </c>
      <c r="R123" s="4">
        <v>2.2954348061056089E-5</v>
      </c>
      <c r="S123" s="3">
        <v>35636215.590000004</v>
      </c>
      <c r="T123" s="4">
        <v>0.25899299901375328</v>
      </c>
    </row>
    <row r="124" spans="1:20" x14ac:dyDescent="0.4">
      <c r="A124" s="2">
        <v>45859</v>
      </c>
      <c r="B124" t="s">
        <v>36</v>
      </c>
      <c r="C124" t="s">
        <v>28</v>
      </c>
      <c r="D124" s="3" t="str">
        <f t="shared" si="22"/>
        <v>PASS</v>
      </c>
      <c r="E124" s="3" t="str">
        <f t="shared" si="23"/>
        <v>PASS</v>
      </c>
      <c r="F124" s="3" t="str">
        <f t="shared" si="24"/>
        <v>PASS</v>
      </c>
      <c r="G124" s="3" t="str">
        <f t="shared" si="25"/>
        <v>FAIL</v>
      </c>
      <c r="H124" s="3">
        <v>102882373.98</v>
      </c>
      <c r="I124" s="4">
        <v>0</v>
      </c>
      <c r="J124" s="3">
        <v>92755872.310000002</v>
      </c>
      <c r="K124" s="3">
        <v>6722.08</v>
      </c>
      <c r="L124" s="3">
        <v>0</v>
      </c>
      <c r="M124" t="s">
        <v>29</v>
      </c>
      <c r="N124" t="s">
        <v>42</v>
      </c>
      <c r="O124" s="4">
        <v>0.25107129978970932</v>
      </c>
      <c r="P124" s="4">
        <v>0.74892870021029068</v>
      </c>
      <c r="Q124" t="s">
        <v>119</v>
      </c>
      <c r="R124" s="4">
        <v>1.709507235553991E-5</v>
      </c>
      <c r="S124" s="3">
        <v>19094365.859999999</v>
      </c>
      <c r="T124" s="4">
        <v>0.18559414136100591</v>
      </c>
    </row>
    <row r="125" spans="1:20" x14ac:dyDescent="0.4">
      <c r="A125" s="2">
        <v>45859</v>
      </c>
      <c r="B125" t="s">
        <v>37</v>
      </c>
      <c r="C125" t="s">
        <v>28</v>
      </c>
      <c r="D125" s="3" t="str">
        <f t="shared" si="22"/>
        <v>PASS</v>
      </c>
      <c r="E125" s="3" t="str">
        <f t="shared" si="23"/>
        <v>PASS</v>
      </c>
      <c r="F125" s="3" t="str">
        <f t="shared" si="24"/>
        <v>PASS</v>
      </c>
      <c r="G125" s="3" t="str">
        <f t="shared" si="25"/>
        <v>FAIL</v>
      </c>
      <c r="H125" s="3">
        <v>40640201.759999998</v>
      </c>
      <c r="I125" s="4">
        <v>0</v>
      </c>
      <c r="J125" s="3">
        <v>34978917.590000004</v>
      </c>
      <c r="K125" s="3">
        <v>2534.73</v>
      </c>
      <c r="L125" s="3">
        <v>0</v>
      </c>
      <c r="M125" t="s">
        <v>29</v>
      </c>
      <c r="N125" t="s">
        <v>46</v>
      </c>
      <c r="O125" s="4">
        <v>0.28492631255260059</v>
      </c>
      <c r="P125" s="4">
        <v>0.7150736874473993</v>
      </c>
      <c r="Q125" t="s">
        <v>120</v>
      </c>
      <c r="R125" s="4">
        <v>6.4317459530839273E-6</v>
      </c>
      <c r="S125" s="3">
        <v>11105047.539999999</v>
      </c>
      <c r="T125" s="4">
        <v>0.27325276595772491</v>
      </c>
    </row>
    <row r="126" spans="1:20" x14ac:dyDescent="0.4">
      <c r="A126" s="2">
        <v>45859</v>
      </c>
      <c r="B126" t="s">
        <v>38</v>
      </c>
      <c r="C126" t="s">
        <v>28</v>
      </c>
      <c r="D126" s="3" t="str">
        <f t="shared" si="22"/>
        <v>PASS</v>
      </c>
      <c r="E126" s="3" t="str">
        <f t="shared" si="23"/>
        <v>PASS</v>
      </c>
      <c r="F126" s="3" t="str">
        <f t="shared" si="24"/>
        <v>PASS</v>
      </c>
      <c r="G126" s="3" t="str">
        <f t="shared" si="25"/>
        <v>FAIL</v>
      </c>
      <c r="H126" s="3">
        <v>49284490.960000001</v>
      </c>
      <c r="I126" s="4">
        <v>0</v>
      </c>
      <c r="J126" s="3">
        <v>41506618.100000001</v>
      </c>
      <c r="K126" s="3">
        <v>3006.77</v>
      </c>
      <c r="L126" s="3">
        <v>0</v>
      </c>
      <c r="M126" t="s">
        <v>29</v>
      </c>
      <c r="N126" t="s">
        <v>46</v>
      </c>
      <c r="O126" s="4">
        <v>0.29492377898646482</v>
      </c>
      <c r="P126" s="4">
        <v>0.70507622101353529</v>
      </c>
      <c r="Q126" t="s">
        <v>121</v>
      </c>
      <c r="R126" s="4">
        <v>7.8992349832296129E-6</v>
      </c>
      <c r="S126" s="3">
        <v>16891089.949999999</v>
      </c>
      <c r="T126" s="4">
        <v>0.34272627394506422</v>
      </c>
    </row>
    <row r="127" spans="1:20" x14ac:dyDescent="0.4">
      <c r="A127" s="2">
        <v>45859</v>
      </c>
      <c r="B127" t="s">
        <v>39</v>
      </c>
      <c r="C127" t="s">
        <v>28</v>
      </c>
      <c r="D127" s="3" t="str">
        <f t="shared" si="22"/>
        <v>PASS</v>
      </c>
      <c r="E127" s="3" t="str">
        <f t="shared" si="23"/>
        <v>PASS</v>
      </c>
      <c r="F127" s="3" t="str">
        <f t="shared" si="24"/>
        <v>PASS</v>
      </c>
      <c r="G127" s="3" t="str">
        <f t="shared" si="25"/>
        <v>FAIL</v>
      </c>
      <c r="H127" s="3">
        <v>79154239.280000001</v>
      </c>
      <c r="I127" s="4">
        <v>0</v>
      </c>
      <c r="J127" s="3">
        <v>70475476.680000007</v>
      </c>
      <c r="K127" s="3">
        <v>5105.72</v>
      </c>
      <c r="L127" s="3">
        <v>0</v>
      </c>
      <c r="M127" t="s">
        <v>29</v>
      </c>
      <c r="N127" t="s">
        <v>42</v>
      </c>
      <c r="O127" s="4">
        <v>0.25444422855658222</v>
      </c>
      <c r="P127" s="4">
        <v>0.74555577144341778</v>
      </c>
      <c r="Q127" t="s">
        <v>122</v>
      </c>
      <c r="R127" s="4">
        <v>1.3151863112965039E-5</v>
      </c>
      <c r="S127" s="3">
        <v>17899965.16</v>
      </c>
      <c r="T127" s="4">
        <v>0.2261403220196547</v>
      </c>
    </row>
    <row r="128" spans="1:20" x14ac:dyDescent="0.4">
      <c r="A128" s="2">
        <v>45860</v>
      </c>
      <c r="B128" t="s">
        <v>27</v>
      </c>
      <c r="C128" t="s">
        <v>28</v>
      </c>
      <c r="D128" s="3" t="str">
        <f t="shared" si="22"/>
        <v>PASS</v>
      </c>
      <c r="E128" s="3" t="str">
        <f t="shared" si="23"/>
        <v>PASS</v>
      </c>
      <c r="F128" s="3" t="str">
        <f t="shared" si="24"/>
        <v>PASS</v>
      </c>
      <c r="G128" s="3" t="str">
        <f t="shared" si="25"/>
        <v>FAIL</v>
      </c>
      <c r="H128" s="3">
        <v>55875916.729999997</v>
      </c>
      <c r="I128" s="4">
        <v>0</v>
      </c>
      <c r="J128" s="3">
        <v>50606790.329999998</v>
      </c>
      <c r="K128" s="3">
        <v>3627.26</v>
      </c>
      <c r="L128" s="3">
        <v>0</v>
      </c>
      <c r="M128" t="s">
        <v>29</v>
      </c>
      <c r="N128" t="s">
        <v>123</v>
      </c>
      <c r="O128" s="4">
        <v>0.26666076996786292</v>
      </c>
      <c r="P128" s="4">
        <v>0.73333923003213708</v>
      </c>
      <c r="Q128" t="s">
        <v>124</v>
      </c>
      <c r="R128" s="4">
        <v>1.121123898333177E-4</v>
      </c>
      <c r="S128" s="3">
        <v>10381329.710000001</v>
      </c>
      <c r="T128" s="4">
        <v>0.1857925617608028</v>
      </c>
    </row>
    <row r="129" spans="1:20" x14ac:dyDescent="0.4">
      <c r="A129" s="2">
        <v>45860</v>
      </c>
      <c r="B129" t="s">
        <v>30</v>
      </c>
      <c r="C129" t="s">
        <v>28</v>
      </c>
      <c r="D129" s="3" t="str">
        <f t="shared" si="22"/>
        <v>PASS</v>
      </c>
      <c r="E129" s="3" t="str">
        <f t="shared" si="23"/>
        <v>PASS</v>
      </c>
      <c r="F129" s="3" t="str">
        <f t="shared" si="24"/>
        <v>PASS</v>
      </c>
      <c r="G129" s="3" t="str">
        <f t="shared" si="25"/>
        <v>FAIL</v>
      </c>
      <c r="H129" s="3">
        <v>34938997.82</v>
      </c>
      <c r="I129" s="4">
        <v>0</v>
      </c>
      <c r="J129" s="3">
        <v>32424300.030000001</v>
      </c>
      <c r="K129" s="3">
        <v>2356.2399999999998</v>
      </c>
      <c r="L129" s="3">
        <v>0</v>
      </c>
      <c r="M129" t="s">
        <v>29</v>
      </c>
      <c r="N129" t="s">
        <v>42</v>
      </c>
      <c r="O129" s="4">
        <v>0.25328920153715961</v>
      </c>
      <c r="P129" s="4">
        <v>0.74671079846284039</v>
      </c>
      <c r="Q129" t="s">
        <v>125</v>
      </c>
      <c r="R129" s="4">
        <v>6.089972670953928E-6</v>
      </c>
      <c r="S129" s="3">
        <v>4810325.0999999996</v>
      </c>
      <c r="T129" s="4">
        <v>0.13767782134971379</v>
      </c>
    </row>
    <row r="130" spans="1:20" x14ac:dyDescent="0.4">
      <c r="A130" s="2">
        <v>45860</v>
      </c>
      <c r="B130" t="s">
        <v>31</v>
      </c>
      <c r="C130" t="s">
        <v>28</v>
      </c>
      <c r="D130" s="3" t="str">
        <f t="shared" si="22"/>
        <v>PASS</v>
      </c>
      <c r="E130" s="3" t="str">
        <f t="shared" si="23"/>
        <v>PASS</v>
      </c>
      <c r="F130" s="3" t="str">
        <f t="shared" si="24"/>
        <v>PASS</v>
      </c>
      <c r="G130" s="3" t="str">
        <f t="shared" si="25"/>
        <v>FAIL</v>
      </c>
      <c r="H130" s="3">
        <v>23867579.609999999</v>
      </c>
      <c r="I130" s="4">
        <v>0</v>
      </c>
      <c r="J130" s="3">
        <v>21558824.59</v>
      </c>
      <c r="K130" s="3">
        <v>1566.73</v>
      </c>
      <c r="L130" s="3">
        <v>0</v>
      </c>
      <c r="M130" t="s">
        <v>29</v>
      </c>
      <c r="N130" t="s">
        <v>42</v>
      </c>
      <c r="O130" s="4">
        <v>0.25070238335289508</v>
      </c>
      <c r="P130" s="4">
        <v>0.74929761664710492</v>
      </c>
      <c r="Q130" t="s">
        <v>126</v>
      </c>
      <c r="R130" s="4">
        <v>4.0072917329742444E-6</v>
      </c>
      <c r="S130" s="3">
        <v>4280796.7699999996</v>
      </c>
      <c r="T130" s="4">
        <v>0.1793561324587114</v>
      </c>
    </row>
    <row r="131" spans="1:20" x14ac:dyDescent="0.4">
      <c r="A131" s="2">
        <v>45860</v>
      </c>
      <c r="B131" t="s">
        <v>33</v>
      </c>
      <c r="C131" t="s">
        <v>28</v>
      </c>
      <c r="D131" s="3" t="str">
        <f t="shared" si="22"/>
        <v>PASS</v>
      </c>
      <c r="E131" s="3" t="str">
        <f t="shared" si="23"/>
        <v>PASS</v>
      </c>
      <c r="F131" s="3" t="str">
        <f t="shared" si="24"/>
        <v>PASS</v>
      </c>
      <c r="G131" s="3" t="str">
        <f t="shared" si="25"/>
        <v>FAIL</v>
      </c>
      <c r="H131" s="3">
        <v>15485520.210000001</v>
      </c>
      <c r="I131" s="4">
        <v>0</v>
      </c>
      <c r="J131" s="3">
        <v>13640555.880000001</v>
      </c>
      <c r="K131" s="3">
        <v>991.44</v>
      </c>
      <c r="L131" s="3">
        <v>0</v>
      </c>
      <c r="M131" t="s">
        <v>29</v>
      </c>
      <c r="N131" t="s">
        <v>42</v>
      </c>
      <c r="O131" s="4">
        <v>0.25055529005317928</v>
      </c>
      <c r="P131" s="4">
        <v>0.74944470994682066</v>
      </c>
      <c r="Q131" t="s">
        <v>127</v>
      </c>
      <c r="R131" s="4">
        <v>2.533394453788621E-6</v>
      </c>
      <c r="S131" s="3">
        <v>4288150.5900000008</v>
      </c>
      <c r="T131" s="4">
        <v>0.27691356388730581</v>
      </c>
    </row>
    <row r="132" spans="1:20" x14ac:dyDescent="0.4">
      <c r="A132" s="2">
        <v>45860</v>
      </c>
      <c r="B132" t="s">
        <v>35</v>
      </c>
      <c r="C132" t="s">
        <v>28</v>
      </c>
      <c r="D132" s="3" t="str">
        <f t="shared" si="22"/>
        <v>PASS</v>
      </c>
      <c r="E132" s="3" t="str">
        <f t="shared" si="23"/>
        <v>PASS</v>
      </c>
      <c r="F132" s="3" t="str">
        <f t="shared" si="24"/>
        <v>PASS</v>
      </c>
      <c r="G132" s="3" t="str">
        <f t="shared" si="25"/>
        <v>FAIL</v>
      </c>
      <c r="H132" s="3">
        <v>137553621.34</v>
      </c>
      <c r="I132" s="4">
        <v>0</v>
      </c>
      <c r="J132" s="3">
        <v>120223315.51000001</v>
      </c>
      <c r="K132" s="3">
        <v>8732.75</v>
      </c>
      <c r="L132" s="3">
        <v>0</v>
      </c>
      <c r="M132" t="s">
        <v>29</v>
      </c>
      <c r="N132" t="s">
        <v>42</v>
      </c>
      <c r="O132" s="4">
        <v>0.2574865439676311</v>
      </c>
      <c r="P132" s="4">
        <v>0.74251345603236896</v>
      </c>
      <c r="Q132" t="s">
        <v>128</v>
      </c>
      <c r="R132" s="4">
        <v>2.2954348061056089E-5</v>
      </c>
      <c r="S132" s="3">
        <v>35655269.460000001</v>
      </c>
      <c r="T132" s="4">
        <v>0.25920996563128362</v>
      </c>
    </row>
    <row r="133" spans="1:20" x14ac:dyDescent="0.4">
      <c r="A133" s="2">
        <v>45860</v>
      </c>
      <c r="B133" t="s">
        <v>36</v>
      </c>
      <c r="C133" t="s">
        <v>28</v>
      </c>
      <c r="D133" s="3" t="str">
        <f t="shared" si="22"/>
        <v>PASS</v>
      </c>
      <c r="E133" s="3" t="str">
        <f t="shared" si="23"/>
        <v>PASS</v>
      </c>
      <c r="F133" s="3" t="str">
        <f t="shared" si="24"/>
        <v>PASS</v>
      </c>
      <c r="G133" s="3" t="str">
        <f t="shared" si="25"/>
        <v>FAIL</v>
      </c>
      <c r="H133" s="3">
        <v>102849408.63</v>
      </c>
      <c r="I133" s="4">
        <v>0</v>
      </c>
      <c r="J133" s="3">
        <v>92716172.629999995</v>
      </c>
      <c r="K133" s="3">
        <v>6735.01</v>
      </c>
      <c r="L133" s="3">
        <v>0</v>
      </c>
      <c r="M133" t="s">
        <v>29</v>
      </c>
      <c r="N133" t="s">
        <v>42</v>
      </c>
      <c r="O133" s="4">
        <v>0.24864626153194561</v>
      </c>
      <c r="P133" s="4">
        <v>0.75135373846805442</v>
      </c>
      <c r="Q133" t="s">
        <v>129</v>
      </c>
      <c r="R133" s="4">
        <v>1.709507235553991E-5</v>
      </c>
      <c r="S133" s="3">
        <v>19239675.600000001</v>
      </c>
      <c r="T133" s="4">
        <v>0.18706646791927209</v>
      </c>
    </row>
    <row r="134" spans="1:20" x14ac:dyDescent="0.4">
      <c r="A134" s="2">
        <v>45860</v>
      </c>
      <c r="B134" t="s">
        <v>37</v>
      </c>
      <c r="C134" t="s">
        <v>28</v>
      </c>
      <c r="D134" s="3" t="str">
        <f t="shared" si="22"/>
        <v>PASS</v>
      </c>
      <c r="E134" s="3" t="str">
        <f t="shared" si="23"/>
        <v>PASS</v>
      </c>
      <c r="F134" s="3" t="str">
        <f t="shared" si="24"/>
        <v>PASS</v>
      </c>
      <c r="G134" s="3" t="str">
        <f t="shared" si="25"/>
        <v>FAIL</v>
      </c>
      <c r="H134" s="3">
        <v>40629855.560000002</v>
      </c>
      <c r="I134" s="4">
        <v>0</v>
      </c>
      <c r="J134" s="3">
        <v>34966031.82</v>
      </c>
      <c r="K134" s="3">
        <v>2540.25</v>
      </c>
      <c r="L134" s="3">
        <v>0</v>
      </c>
      <c r="M134" t="s">
        <v>29</v>
      </c>
      <c r="N134" t="s">
        <v>46</v>
      </c>
      <c r="O134" s="4">
        <v>0.28154632646559208</v>
      </c>
      <c r="P134" s="4">
        <v>0.71845367353440792</v>
      </c>
      <c r="Q134" t="s">
        <v>130</v>
      </c>
      <c r="R134" s="4">
        <v>6.4317459530839273E-6</v>
      </c>
      <c r="S134" s="3">
        <v>11138314</v>
      </c>
      <c r="T134" s="4">
        <v>0.27414111732569502</v>
      </c>
    </row>
    <row r="135" spans="1:20" x14ac:dyDescent="0.4">
      <c r="A135" s="2">
        <v>45860</v>
      </c>
      <c r="B135" t="s">
        <v>38</v>
      </c>
      <c r="C135" t="s">
        <v>28</v>
      </c>
      <c r="D135" s="3" t="str">
        <f t="shared" si="22"/>
        <v>PASS</v>
      </c>
      <c r="E135" s="3" t="str">
        <f t="shared" si="23"/>
        <v>PASS</v>
      </c>
      <c r="F135" s="3" t="str">
        <f t="shared" si="24"/>
        <v>PASS</v>
      </c>
      <c r="G135" s="3" t="str">
        <f t="shared" si="25"/>
        <v>FAIL</v>
      </c>
      <c r="H135" s="3">
        <v>48287877.990000002</v>
      </c>
      <c r="I135" s="4">
        <v>0</v>
      </c>
      <c r="J135" s="3">
        <v>41489668.289999999</v>
      </c>
      <c r="K135" s="3">
        <v>3014.04</v>
      </c>
      <c r="L135" s="3">
        <v>0</v>
      </c>
      <c r="M135" t="s">
        <v>29</v>
      </c>
      <c r="N135" t="s">
        <v>131</v>
      </c>
      <c r="O135" s="4">
        <v>0.28489005663727851</v>
      </c>
      <c r="P135" s="4">
        <v>0.71510994336272149</v>
      </c>
      <c r="Q135" t="s">
        <v>132</v>
      </c>
      <c r="R135" s="4">
        <v>6.9828553705185512E-6</v>
      </c>
      <c r="S135" s="3">
        <v>16886692.329999998</v>
      </c>
      <c r="T135" s="4">
        <v>0.34970872676362141</v>
      </c>
    </row>
    <row r="136" spans="1:20" x14ac:dyDescent="0.4">
      <c r="A136" s="2">
        <v>45860</v>
      </c>
      <c r="B136" t="s">
        <v>39</v>
      </c>
      <c r="C136" t="s">
        <v>28</v>
      </c>
      <c r="D136" s="3" t="str">
        <f t="shared" si="22"/>
        <v>PASS</v>
      </c>
      <c r="E136" s="3" t="str">
        <f t="shared" si="23"/>
        <v>PASS</v>
      </c>
      <c r="F136" s="3" t="str">
        <f t="shared" si="24"/>
        <v>PASS</v>
      </c>
      <c r="G136" s="3" t="str">
        <f t="shared" si="25"/>
        <v>FAIL</v>
      </c>
      <c r="H136" s="3">
        <v>79132529.489999995</v>
      </c>
      <c r="I136" s="4">
        <v>0</v>
      </c>
      <c r="J136" s="3">
        <v>70448650.180000007</v>
      </c>
      <c r="K136" s="3">
        <v>5117.42</v>
      </c>
      <c r="L136" s="3">
        <v>0</v>
      </c>
      <c r="M136" t="s">
        <v>29</v>
      </c>
      <c r="N136" t="s">
        <v>42</v>
      </c>
      <c r="O136" s="4">
        <v>0.2519022218971918</v>
      </c>
      <c r="P136" s="4">
        <v>0.7480977781028082</v>
      </c>
      <c r="Q136" t="s">
        <v>133</v>
      </c>
      <c r="R136" s="4">
        <v>1.3151863112965039E-5</v>
      </c>
      <c r="S136" s="3">
        <v>17935063.039999999</v>
      </c>
      <c r="T136" s="4">
        <v>0.22664589588617229</v>
      </c>
    </row>
    <row r="137" spans="1:20" x14ac:dyDescent="0.4">
      <c r="A137" s="2">
        <v>45861</v>
      </c>
      <c r="B137" t="s">
        <v>27</v>
      </c>
      <c r="C137" t="s">
        <v>28</v>
      </c>
      <c r="D137" s="3" t="str">
        <f t="shared" si="22"/>
        <v>PASS</v>
      </c>
      <c r="E137" s="3" t="str">
        <f t="shared" si="23"/>
        <v>PASS</v>
      </c>
      <c r="F137" s="3" t="str">
        <f t="shared" si="24"/>
        <v>PASS</v>
      </c>
      <c r="G137" s="3" t="str">
        <f t="shared" si="25"/>
        <v>FAIL</v>
      </c>
      <c r="H137" s="3">
        <v>55854512.740000002</v>
      </c>
      <c r="I137" s="4">
        <v>0</v>
      </c>
      <c r="J137" s="3">
        <v>50581712.149999999</v>
      </c>
      <c r="K137" s="3">
        <v>3674.87</v>
      </c>
      <c r="L137" s="3">
        <v>0</v>
      </c>
      <c r="M137" t="s">
        <v>29</v>
      </c>
      <c r="N137" t="s">
        <v>134</v>
      </c>
      <c r="O137" s="4">
        <v>0.26712226149901103</v>
      </c>
      <c r="P137" s="4">
        <v>0.73287773850098903</v>
      </c>
      <c r="Q137" t="s">
        <v>135</v>
      </c>
      <c r="R137" s="4">
        <v>6.2840378182622399E-5</v>
      </c>
      <c r="S137" s="3">
        <v>10319265.699999999</v>
      </c>
      <c r="T137" s="4">
        <v>0.18475258656423471</v>
      </c>
    </row>
    <row r="138" spans="1:20" x14ac:dyDescent="0.4">
      <c r="A138" s="2">
        <v>45861</v>
      </c>
      <c r="B138" t="s">
        <v>30</v>
      </c>
      <c r="C138" t="s">
        <v>28</v>
      </c>
      <c r="D138" s="3" t="str">
        <f t="shared" si="22"/>
        <v>PASS</v>
      </c>
      <c r="E138" s="3" t="str">
        <f t="shared" si="23"/>
        <v>PASS</v>
      </c>
      <c r="F138" s="3" t="str">
        <f t="shared" si="24"/>
        <v>PASS</v>
      </c>
      <c r="G138" s="3" t="str">
        <f t="shared" si="25"/>
        <v>FAIL</v>
      </c>
      <c r="H138" s="3">
        <v>35063414.520000003</v>
      </c>
      <c r="I138" s="4">
        <v>0</v>
      </c>
      <c r="J138" s="3">
        <v>32546650.34</v>
      </c>
      <c r="K138" s="3">
        <v>2362.04</v>
      </c>
      <c r="L138" s="3">
        <v>0</v>
      </c>
      <c r="M138" t="s">
        <v>29</v>
      </c>
      <c r="N138" t="s">
        <v>42</v>
      </c>
      <c r="O138" s="4">
        <v>0.25216366397968321</v>
      </c>
      <c r="P138" s="4">
        <v>0.74783633602031685</v>
      </c>
      <c r="Q138" t="s">
        <v>136</v>
      </c>
      <c r="R138" s="4">
        <v>6.089972670953928E-6</v>
      </c>
      <c r="S138" s="3">
        <v>4805438.9200000009</v>
      </c>
      <c r="T138" s="4">
        <v>0.13704994182066901</v>
      </c>
    </row>
    <row r="139" spans="1:20" x14ac:dyDescent="0.4">
      <c r="A139" s="2">
        <v>45861</v>
      </c>
      <c r="B139" t="s">
        <v>31</v>
      </c>
      <c r="C139" t="s">
        <v>28</v>
      </c>
      <c r="D139" s="3" t="str">
        <f t="shared" si="22"/>
        <v>PASS</v>
      </c>
      <c r="E139" s="3" t="str">
        <f t="shared" si="23"/>
        <v>PASS</v>
      </c>
      <c r="F139" s="3" t="str">
        <f t="shared" si="24"/>
        <v>PASS</v>
      </c>
      <c r="G139" s="3" t="str">
        <f t="shared" si="25"/>
        <v>FAIL</v>
      </c>
      <c r="H139" s="3">
        <v>23930144.469999999</v>
      </c>
      <c r="I139" s="4">
        <v>0</v>
      </c>
      <c r="J139" s="3">
        <v>21620111.920000002</v>
      </c>
      <c r="K139" s="3">
        <v>1565.94</v>
      </c>
      <c r="L139" s="3">
        <v>0</v>
      </c>
      <c r="M139" t="s">
        <v>29</v>
      </c>
      <c r="N139" t="s">
        <v>42</v>
      </c>
      <c r="O139" s="4">
        <v>0.2498174017315633</v>
      </c>
      <c r="P139" s="4">
        <v>0.7501825982684367</v>
      </c>
      <c r="Q139" t="s">
        <v>137</v>
      </c>
      <c r="R139" s="4">
        <v>4.0072917329742444E-6</v>
      </c>
      <c r="S139" s="3">
        <v>4274642.3600000003</v>
      </c>
      <c r="T139" s="4">
        <v>0.1786300273012936</v>
      </c>
    </row>
    <row r="140" spans="1:20" x14ac:dyDescent="0.4">
      <c r="A140" s="2">
        <v>45861</v>
      </c>
      <c r="B140" t="s">
        <v>33</v>
      </c>
      <c r="C140" t="s">
        <v>28</v>
      </c>
      <c r="D140" s="3" t="str">
        <f t="shared" si="22"/>
        <v>PASS</v>
      </c>
      <c r="E140" s="3" t="str">
        <f t="shared" si="23"/>
        <v>PASS</v>
      </c>
      <c r="F140" s="3" t="str">
        <f t="shared" si="24"/>
        <v>PASS</v>
      </c>
      <c r="G140" s="3" t="str">
        <f t="shared" si="25"/>
        <v>FAIL</v>
      </c>
      <c r="H140" s="3">
        <v>15528165.380000001</v>
      </c>
      <c r="I140" s="4">
        <v>0</v>
      </c>
      <c r="J140" s="3">
        <v>13682210.710000001</v>
      </c>
      <c r="K140" s="3">
        <v>991.05</v>
      </c>
      <c r="L140" s="3">
        <v>0</v>
      </c>
      <c r="M140" t="s">
        <v>29</v>
      </c>
      <c r="N140" t="s">
        <v>46</v>
      </c>
      <c r="O140" s="4">
        <v>0.28284647613061059</v>
      </c>
      <c r="P140" s="4">
        <v>0.71715352386938935</v>
      </c>
      <c r="Q140" t="s">
        <v>138</v>
      </c>
      <c r="R140" s="4">
        <v>2.533394453788621E-6</v>
      </c>
      <c r="S140" s="3">
        <v>4292257.28</v>
      </c>
      <c r="T140" s="4">
        <v>0.2764175403185975</v>
      </c>
    </row>
    <row r="141" spans="1:20" x14ac:dyDescent="0.4">
      <c r="A141" s="2">
        <v>45861</v>
      </c>
      <c r="B141" t="s">
        <v>35</v>
      </c>
      <c r="C141" t="s">
        <v>28</v>
      </c>
      <c r="D141" s="3" t="str">
        <f t="shared" ref="D141:D199" si="26">IF(J141/H141&gt;=0.75,"PASS","FAIL")</f>
        <v>PASS</v>
      </c>
      <c r="E141" s="3" t="str">
        <f t="shared" ref="E141:E199" si="27">IF(L141=0,"PASS","FAIL")</f>
        <v>PASS</v>
      </c>
      <c r="F141" s="3" t="str">
        <f t="shared" ref="F141:F199" si="28">IF(R141="","",IF(R141&lt;=0.1,"PASS","FAIL"))</f>
        <v>PASS</v>
      </c>
      <c r="G141" s="3" t="str">
        <f t="shared" ref="G141:G199" si="29">IF(S141=0,"PASS",IF(S141&lt;=0.05*J141,"PASS","FAIL"))</f>
        <v>FAIL</v>
      </c>
      <c r="H141" s="3">
        <v>137996542.68000001</v>
      </c>
      <c r="I141" s="4">
        <v>0</v>
      </c>
      <c r="J141" s="3">
        <v>120658659.09999999</v>
      </c>
      <c r="K141" s="3">
        <v>8729.09</v>
      </c>
      <c r="L141" s="3">
        <v>0</v>
      </c>
      <c r="M141" t="s">
        <v>29</v>
      </c>
      <c r="N141" t="s">
        <v>42</v>
      </c>
      <c r="O141" s="4">
        <v>0.25638140561765949</v>
      </c>
      <c r="P141" s="4">
        <v>0.74361859438234057</v>
      </c>
      <c r="Q141" t="s">
        <v>139</v>
      </c>
      <c r="R141" s="4">
        <v>2.2954348061056089E-5</v>
      </c>
      <c r="S141" s="3">
        <v>35708797.979999997</v>
      </c>
      <c r="T141" s="4">
        <v>0.25876588852522991</v>
      </c>
    </row>
    <row r="142" spans="1:20" x14ac:dyDescent="0.4">
      <c r="A142" s="2">
        <v>45861</v>
      </c>
      <c r="B142" t="s">
        <v>36</v>
      </c>
      <c r="C142" t="s">
        <v>28</v>
      </c>
      <c r="D142" s="3" t="str">
        <f t="shared" si="26"/>
        <v>PASS</v>
      </c>
      <c r="E142" s="3" t="str">
        <f t="shared" si="27"/>
        <v>PASS</v>
      </c>
      <c r="F142" s="3" t="str">
        <f t="shared" si="28"/>
        <v>PASS</v>
      </c>
      <c r="G142" s="3" t="str">
        <f t="shared" si="29"/>
        <v>FAIL</v>
      </c>
      <c r="H142" s="3">
        <v>103083110.14</v>
      </c>
      <c r="I142" s="4">
        <v>0</v>
      </c>
      <c r="J142" s="3">
        <v>92944005.790000007</v>
      </c>
      <c r="K142" s="3">
        <v>6732.13</v>
      </c>
      <c r="L142" s="3">
        <v>0</v>
      </c>
      <c r="M142" t="s">
        <v>29</v>
      </c>
      <c r="N142" t="s">
        <v>42</v>
      </c>
      <c r="O142" s="4">
        <v>0.24786588644620969</v>
      </c>
      <c r="P142" s="4">
        <v>0.75213411355379023</v>
      </c>
      <c r="Q142" t="s">
        <v>140</v>
      </c>
      <c r="R142" s="4">
        <v>1.709507235553991E-5</v>
      </c>
      <c r="S142" s="3">
        <v>19204049.149999999</v>
      </c>
      <c r="T142" s="4">
        <v>0.18629675728563541</v>
      </c>
    </row>
    <row r="143" spans="1:20" x14ac:dyDescent="0.4">
      <c r="A143" s="2">
        <v>45861</v>
      </c>
      <c r="B143" t="s">
        <v>37</v>
      </c>
      <c r="C143" t="s">
        <v>28</v>
      </c>
      <c r="D143" s="3" t="str">
        <f t="shared" si="26"/>
        <v>PASS</v>
      </c>
      <c r="E143" s="3" t="str">
        <f t="shared" si="27"/>
        <v>PASS</v>
      </c>
      <c r="F143" s="3" t="str">
        <f t="shared" si="28"/>
        <v>PASS</v>
      </c>
      <c r="G143" s="3" t="str">
        <f t="shared" si="29"/>
        <v>FAIL</v>
      </c>
      <c r="H143" s="3">
        <v>40728119.039999999</v>
      </c>
      <c r="I143" s="4">
        <v>0</v>
      </c>
      <c r="J143" s="3">
        <v>35062044.369999997</v>
      </c>
      <c r="K143" s="3">
        <v>2539.31</v>
      </c>
      <c r="L143" s="3">
        <v>0</v>
      </c>
      <c r="M143" t="s">
        <v>29</v>
      </c>
      <c r="N143" t="s">
        <v>46</v>
      </c>
      <c r="O143" s="4">
        <v>0.28025745308244843</v>
      </c>
      <c r="P143" s="4">
        <v>0.71974254691755157</v>
      </c>
      <c r="Q143" t="s">
        <v>141</v>
      </c>
      <c r="R143" s="4">
        <v>6.4317459530839273E-6</v>
      </c>
      <c r="S143" s="3">
        <v>11126909.34</v>
      </c>
      <c r="T143" s="4">
        <v>0.27319968616945001</v>
      </c>
    </row>
    <row r="144" spans="1:20" x14ac:dyDescent="0.4">
      <c r="A144" s="2">
        <v>45861</v>
      </c>
      <c r="B144" t="s">
        <v>38</v>
      </c>
      <c r="C144" t="s">
        <v>28</v>
      </c>
      <c r="D144" s="3" t="str">
        <f t="shared" si="26"/>
        <v>PASS</v>
      </c>
      <c r="E144" s="3" t="str">
        <f t="shared" si="27"/>
        <v>PASS</v>
      </c>
      <c r="F144" s="3" t="str">
        <f t="shared" si="28"/>
        <v>PASS</v>
      </c>
      <c r="G144" s="3" t="str">
        <f t="shared" si="29"/>
        <v>FAIL</v>
      </c>
      <c r="H144" s="3">
        <v>48426770.460000001</v>
      </c>
      <c r="I144" s="4">
        <v>0</v>
      </c>
      <c r="J144" s="3">
        <v>41625836.200000003</v>
      </c>
      <c r="K144" s="3">
        <v>3012.81</v>
      </c>
      <c r="L144" s="3">
        <v>0</v>
      </c>
      <c r="M144" t="s">
        <v>29</v>
      </c>
      <c r="N144" t="s">
        <v>131</v>
      </c>
      <c r="O144" s="4">
        <v>0.28352519618572852</v>
      </c>
      <c r="P144" s="4">
        <v>0.71647480381427142</v>
      </c>
      <c r="Q144" t="s">
        <v>142</v>
      </c>
      <c r="R144" s="4">
        <v>6.9828553705185512E-6</v>
      </c>
      <c r="S144" s="3">
        <v>14748833.880000001</v>
      </c>
      <c r="T144" s="4">
        <v>0.3045595182148762</v>
      </c>
    </row>
    <row r="145" spans="1:20" x14ac:dyDescent="0.4">
      <c r="A145" s="2">
        <v>45861</v>
      </c>
      <c r="B145" t="s">
        <v>39</v>
      </c>
      <c r="C145" t="s">
        <v>28</v>
      </c>
      <c r="D145" s="3" t="str">
        <f t="shared" si="26"/>
        <v>PASS</v>
      </c>
      <c r="E145" s="3" t="str">
        <f t="shared" si="27"/>
        <v>PASS</v>
      </c>
      <c r="F145" s="3" t="str">
        <f t="shared" si="28"/>
        <v>PASS</v>
      </c>
      <c r="G145" s="3" t="str">
        <f t="shared" si="29"/>
        <v>FAIL</v>
      </c>
      <c r="H145" s="3">
        <v>79390717.519999996</v>
      </c>
      <c r="I145" s="4">
        <v>0</v>
      </c>
      <c r="J145" s="3">
        <v>70702298.840000004</v>
      </c>
      <c r="K145" s="3">
        <v>5117.75</v>
      </c>
      <c r="L145" s="3">
        <v>0</v>
      </c>
      <c r="M145" t="s">
        <v>29</v>
      </c>
      <c r="N145" t="s">
        <v>42</v>
      </c>
      <c r="O145" s="4">
        <v>0.25081304188043568</v>
      </c>
      <c r="P145" s="4">
        <v>0.74918695811956426</v>
      </c>
      <c r="Q145" t="s">
        <v>143</v>
      </c>
      <c r="R145" s="4">
        <v>1.3151863112965039E-5</v>
      </c>
      <c r="S145" s="3">
        <v>17952747.640000001</v>
      </c>
      <c r="T145" s="4">
        <v>0.22613157055139821</v>
      </c>
    </row>
    <row r="146" spans="1:20" x14ac:dyDescent="0.4">
      <c r="A146" s="2">
        <v>45862</v>
      </c>
      <c r="B146" t="s">
        <v>27</v>
      </c>
      <c r="C146" t="s">
        <v>28</v>
      </c>
      <c r="D146" s="3" t="str">
        <f t="shared" si="26"/>
        <v>PASS</v>
      </c>
      <c r="E146" s="3" t="str">
        <f t="shared" si="27"/>
        <v>PASS</v>
      </c>
      <c r="F146" s="3" t="str">
        <f t="shared" si="28"/>
        <v>PASS</v>
      </c>
      <c r="G146" s="3" t="str">
        <f t="shared" si="29"/>
        <v>FAIL</v>
      </c>
      <c r="H146" s="3">
        <v>55676257.229999997</v>
      </c>
      <c r="I146" s="4">
        <v>0</v>
      </c>
      <c r="J146" s="3">
        <v>50399784.270000003</v>
      </c>
      <c r="K146" s="3">
        <v>3673.05</v>
      </c>
      <c r="L146" s="3">
        <v>0</v>
      </c>
      <c r="M146" t="s">
        <v>29</v>
      </c>
      <c r="N146" t="s">
        <v>144</v>
      </c>
      <c r="O146" s="4">
        <v>0.27093518327077548</v>
      </c>
      <c r="P146" s="4">
        <v>0.72906481672922441</v>
      </c>
      <c r="Q146" t="s">
        <v>145</v>
      </c>
      <c r="R146" s="4">
        <v>6.2840378182622399E-5</v>
      </c>
      <c r="S146" s="3">
        <v>10168164.289999999</v>
      </c>
      <c r="T146" s="4">
        <v>0.18263016940946769</v>
      </c>
    </row>
    <row r="147" spans="1:20" x14ac:dyDescent="0.4">
      <c r="A147" s="2">
        <v>45862</v>
      </c>
      <c r="B147" t="s">
        <v>30</v>
      </c>
      <c r="C147" t="s">
        <v>28</v>
      </c>
      <c r="D147" s="3" t="str">
        <f t="shared" si="26"/>
        <v>PASS</v>
      </c>
      <c r="E147" s="3" t="str">
        <f t="shared" si="27"/>
        <v>PASS</v>
      </c>
      <c r="F147" s="3" t="str">
        <f t="shared" si="28"/>
        <v>PASS</v>
      </c>
      <c r="G147" s="3" t="str">
        <f t="shared" si="29"/>
        <v>FAIL</v>
      </c>
      <c r="H147" s="3">
        <v>35079621.640000001</v>
      </c>
      <c r="I147" s="4">
        <v>0</v>
      </c>
      <c r="J147" s="3">
        <v>32560494.48</v>
      </c>
      <c r="K147" s="3">
        <v>2362.98</v>
      </c>
      <c r="L147" s="3">
        <v>0</v>
      </c>
      <c r="M147" t="s">
        <v>29</v>
      </c>
      <c r="N147" t="s">
        <v>42</v>
      </c>
      <c r="O147" s="4">
        <v>0.25519232240480388</v>
      </c>
      <c r="P147" s="4">
        <v>0.74480767759519606</v>
      </c>
      <c r="Q147" t="s">
        <v>146</v>
      </c>
      <c r="R147" s="4">
        <v>6.089972670953928E-6</v>
      </c>
      <c r="S147" s="3">
        <v>4805022.5</v>
      </c>
      <c r="T147" s="4">
        <v>0.1369747527299727</v>
      </c>
    </row>
    <row r="148" spans="1:20" x14ac:dyDescent="0.4">
      <c r="A148" s="2">
        <v>45862</v>
      </c>
      <c r="B148" t="s">
        <v>31</v>
      </c>
      <c r="C148" t="s">
        <v>28</v>
      </c>
      <c r="D148" s="3" t="str">
        <f t="shared" si="26"/>
        <v>PASS</v>
      </c>
      <c r="E148" s="3" t="str">
        <f t="shared" si="27"/>
        <v>PASS</v>
      </c>
      <c r="F148" s="3" t="str">
        <f t="shared" si="28"/>
        <v>PASS</v>
      </c>
      <c r="G148" s="3" t="str">
        <f t="shared" si="29"/>
        <v>FAIL</v>
      </c>
      <c r="H148" s="3">
        <v>23938557.890000001</v>
      </c>
      <c r="I148" s="4">
        <v>0</v>
      </c>
      <c r="J148" s="3">
        <v>21626955.66</v>
      </c>
      <c r="K148" s="3">
        <v>1570.39</v>
      </c>
      <c r="L148" s="3">
        <v>0</v>
      </c>
      <c r="M148" t="s">
        <v>29</v>
      </c>
      <c r="N148" t="s">
        <v>42</v>
      </c>
      <c r="O148" s="4">
        <v>0.25284414954037038</v>
      </c>
      <c r="P148" s="4">
        <v>0.74715585045962962</v>
      </c>
      <c r="Q148" t="s">
        <v>147</v>
      </c>
      <c r="R148" s="4">
        <v>4.0072917329742444E-6</v>
      </c>
      <c r="S148" s="3">
        <v>4276442.71</v>
      </c>
      <c r="T148" s="4">
        <v>0.17864245330277079</v>
      </c>
    </row>
    <row r="149" spans="1:20" x14ac:dyDescent="0.4">
      <c r="A149" s="2">
        <v>45862</v>
      </c>
      <c r="B149" t="s">
        <v>33</v>
      </c>
      <c r="C149" t="s">
        <v>28</v>
      </c>
      <c r="D149" s="3" t="str">
        <f t="shared" si="26"/>
        <v>PASS</v>
      </c>
      <c r="E149" s="3" t="str">
        <f t="shared" si="27"/>
        <v>PASS</v>
      </c>
      <c r="F149" s="3" t="str">
        <f t="shared" si="28"/>
        <v>PASS</v>
      </c>
      <c r="G149" s="3" t="str">
        <f t="shared" si="29"/>
        <v>FAIL</v>
      </c>
      <c r="H149" s="3">
        <v>15533477.439999999</v>
      </c>
      <c r="I149" s="4">
        <v>0</v>
      </c>
      <c r="J149" s="3">
        <v>13686529.4</v>
      </c>
      <c r="K149" s="3">
        <v>994.08</v>
      </c>
      <c r="L149" s="3">
        <v>0</v>
      </c>
      <c r="M149" t="s">
        <v>29</v>
      </c>
      <c r="N149" t="s">
        <v>42</v>
      </c>
      <c r="O149" s="4">
        <v>0.2527497847628194</v>
      </c>
      <c r="P149" s="4">
        <v>0.7472502152371806</v>
      </c>
      <c r="Q149" t="s">
        <v>148</v>
      </c>
      <c r="R149" s="4">
        <v>2.533394453788621E-6</v>
      </c>
      <c r="S149" s="3">
        <v>4302934.01</v>
      </c>
      <c r="T149" s="4">
        <v>0.2770103492035586</v>
      </c>
    </row>
    <row r="150" spans="1:20" x14ac:dyDescent="0.4">
      <c r="A150" s="2">
        <v>45862</v>
      </c>
      <c r="B150" t="s">
        <v>35</v>
      </c>
      <c r="C150" t="s">
        <v>28</v>
      </c>
      <c r="D150" s="3" t="str">
        <f t="shared" si="26"/>
        <v>PASS</v>
      </c>
      <c r="E150" s="3" t="str">
        <f t="shared" si="27"/>
        <v>PASS</v>
      </c>
      <c r="F150" s="3" t="str">
        <f t="shared" si="28"/>
        <v>PASS</v>
      </c>
      <c r="G150" s="3" t="str">
        <f t="shared" si="29"/>
        <v>FAIL</v>
      </c>
      <c r="H150" s="3">
        <v>138057713.55000001</v>
      </c>
      <c r="I150" s="4">
        <v>0</v>
      </c>
      <c r="J150" s="3">
        <v>120711069.81999999</v>
      </c>
      <c r="K150" s="3">
        <v>8760.7000000000007</v>
      </c>
      <c r="L150" s="3">
        <v>0</v>
      </c>
      <c r="M150" t="s">
        <v>29</v>
      </c>
      <c r="N150" t="s">
        <v>42</v>
      </c>
      <c r="O150" s="4">
        <v>0.25945441376422063</v>
      </c>
      <c r="P150" s="4">
        <v>0.74054558623577948</v>
      </c>
      <c r="Q150" t="s">
        <v>149</v>
      </c>
      <c r="R150" s="4">
        <v>2.2954348061056089E-5</v>
      </c>
      <c r="S150" s="3">
        <v>35889579.219999999</v>
      </c>
      <c r="T150" s="4">
        <v>0.25996069540150663</v>
      </c>
    </row>
    <row r="151" spans="1:20" x14ac:dyDescent="0.4">
      <c r="A151" s="2">
        <v>45862</v>
      </c>
      <c r="B151" t="s">
        <v>36</v>
      </c>
      <c r="C151" t="s">
        <v>28</v>
      </c>
      <c r="D151" s="3" t="str">
        <f t="shared" si="26"/>
        <v>PASS</v>
      </c>
      <c r="E151" s="3" t="str">
        <f t="shared" si="27"/>
        <v>PASS</v>
      </c>
      <c r="F151" s="3" t="str">
        <f t="shared" si="28"/>
        <v>PASS</v>
      </c>
      <c r="G151" s="3" t="str">
        <f t="shared" si="29"/>
        <v>FAIL</v>
      </c>
      <c r="H151" s="3">
        <v>103108796.25</v>
      </c>
      <c r="I151" s="4">
        <v>0</v>
      </c>
      <c r="J151" s="3">
        <v>92962943.909999996</v>
      </c>
      <c r="K151" s="3">
        <v>6748.67</v>
      </c>
      <c r="L151" s="3">
        <v>0</v>
      </c>
      <c r="M151" t="s">
        <v>29</v>
      </c>
      <c r="N151" t="s">
        <v>42</v>
      </c>
      <c r="O151" s="4">
        <v>0.25089730561438278</v>
      </c>
      <c r="P151" s="4">
        <v>0.74910269438561716</v>
      </c>
      <c r="Q151" t="s">
        <v>150</v>
      </c>
      <c r="R151" s="4">
        <v>1.709507235553991E-5</v>
      </c>
      <c r="S151" s="3">
        <v>19055590.469999999</v>
      </c>
      <c r="T151" s="4">
        <v>0.18481052211876639</v>
      </c>
    </row>
    <row r="152" spans="1:20" x14ac:dyDescent="0.4">
      <c r="A152" s="2">
        <v>45862</v>
      </c>
      <c r="B152" t="s">
        <v>37</v>
      </c>
      <c r="C152" t="s">
        <v>28</v>
      </c>
      <c r="D152" s="3" t="str">
        <f t="shared" si="26"/>
        <v>PASS</v>
      </c>
      <c r="E152" s="3" t="str">
        <f t="shared" si="27"/>
        <v>PASS</v>
      </c>
      <c r="F152" s="3" t="str">
        <f t="shared" si="28"/>
        <v>PASS</v>
      </c>
      <c r="G152" s="3" t="str">
        <f t="shared" si="29"/>
        <v>FAIL</v>
      </c>
      <c r="H152" s="3">
        <v>40735885.759999998</v>
      </c>
      <c r="I152" s="4">
        <v>0</v>
      </c>
      <c r="J152" s="3">
        <v>35067265.490000002</v>
      </c>
      <c r="K152" s="3">
        <v>2546.2800000000002</v>
      </c>
      <c r="L152" s="3">
        <v>0</v>
      </c>
      <c r="M152" t="s">
        <v>29</v>
      </c>
      <c r="N152" t="s">
        <v>46</v>
      </c>
      <c r="O152" s="4">
        <v>0.28422215806482598</v>
      </c>
      <c r="P152" s="4">
        <v>0.71577784193517391</v>
      </c>
      <c r="Q152" t="s">
        <v>151</v>
      </c>
      <c r="R152" s="4">
        <v>6.4317459530839273E-6</v>
      </c>
      <c r="S152" s="3">
        <v>11117760.289999999</v>
      </c>
      <c r="T152" s="4">
        <v>0.27292300345453441</v>
      </c>
    </row>
    <row r="153" spans="1:20" x14ac:dyDescent="0.4">
      <c r="A153" s="2">
        <v>45862</v>
      </c>
      <c r="B153" t="s">
        <v>38</v>
      </c>
      <c r="C153" t="s">
        <v>28</v>
      </c>
      <c r="D153" s="3" t="str">
        <f t="shared" si="26"/>
        <v>PASS</v>
      </c>
      <c r="E153" s="3" t="str">
        <f t="shared" si="27"/>
        <v>PASS</v>
      </c>
      <c r="F153" s="3" t="str">
        <f t="shared" si="28"/>
        <v>PASS</v>
      </c>
      <c r="G153" s="3" t="str">
        <f t="shared" si="29"/>
        <v>FAIL</v>
      </c>
      <c r="H153" s="3">
        <v>43724613.07</v>
      </c>
      <c r="I153" s="4">
        <v>0</v>
      </c>
      <c r="J153" s="3">
        <v>36920656.659999996</v>
      </c>
      <c r="K153" s="3">
        <v>3022.7</v>
      </c>
      <c r="L153" s="3">
        <v>0</v>
      </c>
      <c r="M153" t="s">
        <v>29</v>
      </c>
      <c r="N153" t="s">
        <v>46</v>
      </c>
      <c r="O153" s="4">
        <v>0.29308441008102049</v>
      </c>
      <c r="P153" s="4">
        <v>0.7069155899189794</v>
      </c>
      <c r="Q153" t="s">
        <v>152</v>
      </c>
      <c r="R153" s="4">
        <v>6.9828553705185512E-6</v>
      </c>
      <c r="S153" s="3">
        <v>14849414.76</v>
      </c>
      <c r="T153" s="4">
        <v>0.33961226223379359</v>
      </c>
    </row>
    <row r="154" spans="1:20" x14ac:dyDescent="0.4">
      <c r="A154" s="2">
        <v>45862</v>
      </c>
      <c r="B154" t="s">
        <v>39</v>
      </c>
      <c r="C154" t="s">
        <v>28</v>
      </c>
      <c r="D154" s="3" t="str">
        <f t="shared" si="26"/>
        <v>PASS</v>
      </c>
      <c r="E154" s="3" t="str">
        <f t="shared" si="27"/>
        <v>PASS</v>
      </c>
      <c r="F154" s="3" t="str">
        <f t="shared" si="28"/>
        <v>PASS</v>
      </c>
      <c r="G154" s="3" t="str">
        <f t="shared" si="29"/>
        <v>FAIL</v>
      </c>
      <c r="H154" s="3">
        <v>79418594.75</v>
      </c>
      <c r="I154" s="4">
        <v>0</v>
      </c>
      <c r="J154" s="3">
        <v>70725042.890000001</v>
      </c>
      <c r="K154" s="3">
        <v>5133.18</v>
      </c>
      <c r="L154" s="3">
        <v>0</v>
      </c>
      <c r="M154" t="s">
        <v>29</v>
      </c>
      <c r="N154" t="s">
        <v>42</v>
      </c>
      <c r="O154" s="4">
        <v>0.25390583103540337</v>
      </c>
      <c r="P154" s="4">
        <v>0.74609416896459657</v>
      </c>
      <c r="Q154" t="s">
        <v>153</v>
      </c>
      <c r="R154" s="4">
        <v>1.3151863112965039E-5</v>
      </c>
      <c r="S154" s="3">
        <v>17993355.359999999</v>
      </c>
      <c r="T154" s="4">
        <v>0.2265635071564899</v>
      </c>
    </row>
    <row r="155" spans="1:20" x14ac:dyDescent="0.4">
      <c r="A155" s="2">
        <v>45863</v>
      </c>
      <c r="B155" t="s">
        <v>27</v>
      </c>
      <c r="C155" t="s">
        <v>28</v>
      </c>
      <c r="D155" s="3" t="str">
        <f t="shared" si="26"/>
        <v>PASS</v>
      </c>
      <c r="E155" s="3" t="str">
        <f t="shared" si="27"/>
        <v>PASS</v>
      </c>
      <c r="F155" s="3" t="str">
        <f t="shared" si="28"/>
        <v>PASS</v>
      </c>
      <c r="G155" s="3" t="str">
        <f t="shared" si="29"/>
        <v>FAIL</v>
      </c>
      <c r="H155" s="3">
        <v>55739047.219999999</v>
      </c>
      <c r="I155" s="4">
        <v>0</v>
      </c>
      <c r="J155" s="3">
        <v>50451596.780000001</v>
      </c>
      <c r="K155" s="3">
        <v>10979.52</v>
      </c>
      <c r="L155" s="3">
        <v>0</v>
      </c>
      <c r="M155" t="s">
        <v>29</v>
      </c>
      <c r="N155" t="s">
        <v>154</v>
      </c>
      <c r="O155" s="4">
        <v>0.27054799057244028</v>
      </c>
      <c r="P155" s="4">
        <v>0.72945200942755961</v>
      </c>
      <c r="Q155" t="s">
        <v>155</v>
      </c>
      <c r="R155" s="4">
        <v>7.4567303576067068E-5</v>
      </c>
      <c r="S155" s="3">
        <v>10061198.99</v>
      </c>
      <c r="T155" s="4">
        <v>0.1805053995682562</v>
      </c>
    </row>
    <row r="156" spans="1:20" x14ac:dyDescent="0.4">
      <c r="A156" s="2">
        <v>45863</v>
      </c>
      <c r="B156" t="s">
        <v>30</v>
      </c>
      <c r="C156" t="s">
        <v>28</v>
      </c>
      <c r="D156" s="3" t="str">
        <f t="shared" si="26"/>
        <v>PASS</v>
      </c>
      <c r="E156" s="3" t="str">
        <f t="shared" si="27"/>
        <v>PASS</v>
      </c>
      <c r="F156" s="3" t="str">
        <f t="shared" si="28"/>
        <v>PASS</v>
      </c>
      <c r="G156" s="3" t="str">
        <f t="shared" si="29"/>
        <v>FAIL</v>
      </c>
      <c r="H156" s="3">
        <v>35167181.890000001</v>
      </c>
      <c r="I156" s="4">
        <v>0</v>
      </c>
      <c r="J156" s="3">
        <v>32641175.170000002</v>
      </c>
      <c r="K156" s="3">
        <v>7091.94</v>
      </c>
      <c r="L156" s="3">
        <v>0</v>
      </c>
      <c r="M156" t="s">
        <v>29</v>
      </c>
      <c r="N156" t="s">
        <v>42</v>
      </c>
      <c r="O156" s="4">
        <v>0.25644672951889919</v>
      </c>
      <c r="P156" s="4">
        <v>0.74355327048110076</v>
      </c>
      <c r="Q156" t="s">
        <v>156</v>
      </c>
      <c r="R156" s="4">
        <v>6.089972670953928E-6</v>
      </c>
      <c r="S156" s="3">
        <v>4805736.3000000007</v>
      </c>
      <c r="T156" s="4">
        <v>0.1366540064265582</v>
      </c>
    </row>
    <row r="157" spans="1:20" x14ac:dyDescent="0.4">
      <c r="A157" s="2">
        <v>45863</v>
      </c>
      <c r="B157" t="s">
        <v>31</v>
      </c>
      <c r="C157" t="s">
        <v>28</v>
      </c>
      <c r="D157" s="3" t="str">
        <f t="shared" si="26"/>
        <v>PASS</v>
      </c>
      <c r="E157" s="3" t="str">
        <f t="shared" si="27"/>
        <v>PASS</v>
      </c>
      <c r="F157" s="3" t="str">
        <f t="shared" si="28"/>
        <v>PASS</v>
      </c>
      <c r="G157" s="3" t="str">
        <f t="shared" si="29"/>
        <v>FAIL</v>
      </c>
      <c r="H157" s="3">
        <v>23986864.170000002</v>
      </c>
      <c r="I157" s="4">
        <v>0</v>
      </c>
      <c r="J157" s="3">
        <v>21670692.989999998</v>
      </c>
      <c r="K157" s="3">
        <v>4712.67</v>
      </c>
      <c r="L157" s="3">
        <v>0</v>
      </c>
      <c r="M157" t="s">
        <v>29</v>
      </c>
      <c r="N157" t="s">
        <v>42</v>
      </c>
      <c r="O157" s="4">
        <v>0.25420162578751021</v>
      </c>
      <c r="P157" s="4">
        <v>0.74579837421248985</v>
      </c>
      <c r="Q157" t="s">
        <v>157</v>
      </c>
      <c r="R157" s="4">
        <v>4.0072917329742444E-6</v>
      </c>
      <c r="S157" s="3">
        <v>4267510.59</v>
      </c>
      <c r="T157" s="4">
        <v>0.17791031623622189</v>
      </c>
    </row>
    <row r="158" spans="1:20" x14ac:dyDescent="0.4">
      <c r="A158" s="2">
        <v>45863</v>
      </c>
      <c r="B158" t="s">
        <v>33</v>
      </c>
      <c r="C158" t="s">
        <v>28</v>
      </c>
      <c r="D158" s="3" t="str">
        <f t="shared" si="26"/>
        <v>PASS</v>
      </c>
      <c r="E158" s="3" t="str">
        <f t="shared" si="27"/>
        <v>PASS</v>
      </c>
      <c r="F158" s="3" t="str">
        <f t="shared" si="28"/>
        <v>PASS</v>
      </c>
      <c r="G158" s="3" t="str">
        <f t="shared" si="29"/>
        <v>FAIL</v>
      </c>
      <c r="H158" s="3">
        <v>15564960.35</v>
      </c>
      <c r="I158" s="4">
        <v>0</v>
      </c>
      <c r="J158" s="3">
        <v>13715102.060000001</v>
      </c>
      <c r="K158" s="3">
        <v>2983.17</v>
      </c>
      <c r="L158" s="3">
        <v>0</v>
      </c>
      <c r="M158" t="s">
        <v>29</v>
      </c>
      <c r="N158" t="s">
        <v>42</v>
      </c>
      <c r="O158" s="4">
        <v>0.2540802200927989</v>
      </c>
      <c r="P158" s="4">
        <v>0.74591977990720104</v>
      </c>
      <c r="Q158" t="s">
        <v>158</v>
      </c>
      <c r="R158" s="4">
        <v>2.533394453788621E-6</v>
      </c>
      <c r="S158" s="3">
        <v>4307288.13</v>
      </c>
      <c r="T158" s="4">
        <v>0.27672978492360889</v>
      </c>
    </row>
    <row r="159" spans="1:20" x14ac:dyDescent="0.4">
      <c r="A159" s="2">
        <v>45863</v>
      </c>
      <c r="B159" t="s">
        <v>35</v>
      </c>
      <c r="C159" t="s">
        <v>28</v>
      </c>
      <c r="D159" s="3" t="str">
        <f t="shared" si="26"/>
        <v>PASS</v>
      </c>
      <c r="E159" s="3" t="str">
        <f t="shared" si="27"/>
        <v>PASS</v>
      </c>
      <c r="F159" s="3" t="str">
        <f t="shared" si="28"/>
        <v>PASS</v>
      </c>
      <c r="G159" s="3" t="str">
        <f t="shared" si="29"/>
        <v>FAIL</v>
      </c>
      <c r="H159" s="3">
        <v>138374029.58000001</v>
      </c>
      <c r="I159" s="4">
        <v>0</v>
      </c>
      <c r="J159" s="3">
        <v>121001908.13</v>
      </c>
      <c r="K159" s="3">
        <v>26293.5</v>
      </c>
      <c r="L159" s="3">
        <v>0</v>
      </c>
      <c r="M159" t="s">
        <v>29</v>
      </c>
      <c r="N159" t="s">
        <v>42</v>
      </c>
      <c r="O159" s="4">
        <v>0.26074635952106617</v>
      </c>
      <c r="P159" s="4">
        <v>0.73925364047893383</v>
      </c>
      <c r="Q159" t="s">
        <v>159</v>
      </c>
      <c r="R159" s="4">
        <v>2.2954348061056089E-5</v>
      </c>
      <c r="S159" s="3">
        <v>35945587.479999997</v>
      </c>
      <c r="T159" s="4">
        <v>0.25977119831737139</v>
      </c>
    </row>
    <row r="160" spans="1:20" x14ac:dyDescent="0.4">
      <c r="A160" s="2">
        <v>45863</v>
      </c>
      <c r="B160" t="s">
        <v>36</v>
      </c>
      <c r="C160" t="s">
        <v>28</v>
      </c>
      <c r="D160" s="3" t="str">
        <f t="shared" si="26"/>
        <v>PASS</v>
      </c>
      <c r="E160" s="3" t="str">
        <f t="shared" si="27"/>
        <v>PASS</v>
      </c>
      <c r="F160" s="3" t="str">
        <f t="shared" si="28"/>
        <v>PASS</v>
      </c>
      <c r="G160" s="3" t="str">
        <f t="shared" si="29"/>
        <v>FAIL</v>
      </c>
      <c r="H160" s="3">
        <v>103298680.42</v>
      </c>
      <c r="I160" s="4">
        <v>0</v>
      </c>
      <c r="J160" s="3">
        <v>93133181.75</v>
      </c>
      <c r="K160" s="3">
        <v>20250.12</v>
      </c>
      <c r="L160" s="3">
        <v>0</v>
      </c>
      <c r="M160" t="s">
        <v>29</v>
      </c>
      <c r="N160" t="s">
        <v>42</v>
      </c>
      <c r="O160" s="4">
        <v>0.25229323629330419</v>
      </c>
      <c r="P160" s="4">
        <v>0.74770676370669575</v>
      </c>
      <c r="Q160" t="s">
        <v>160</v>
      </c>
      <c r="R160" s="4">
        <v>1.709507235553991E-5</v>
      </c>
      <c r="S160" s="3">
        <v>18992376.469999999</v>
      </c>
      <c r="T160" s="4">
        <v>0.18385884885246631</v>
      </c>
    </row>
    <row r="161" spans="1:20" x14ac:dyDescent="0.4">
      <c r="A161" s="2">
        <v>45863</v>
      </c>
      <c r="B161" t="s">
        <v>37</v>
      </c>
      <c r="C161" t="s">
        <v>28</v>
      </c>
      <c r="D161" s="3" t="str">
        <f t="shared" si="26"/>
        <v>PASS</v>
      </c>
      <c r="E161" s="3" t="str">
        <f t="shared" si="27"/>
        <v>PASS</v>
      </c>
      <c r="F161" s="3" t="str">
        <f t="shared" si="28"/>
        <v>PASS</v>
      </c>
      <c r="G161" s="3" t="str">
        <f t="shared" si="29"/>
        <v>FAIL</v>
      </c>
      <c r="H161" s="3">
        <v>40813568.289999999</v>
      </c>
      <c r="I161" s="4">
        <v>0</v>
      </c>
      <c r="J161" s="3">
        <v>35137504.759999998</v>
      </c>
      <c r="K161" s="3">
        <v>7639.98</v>
      </c>
      <c r="L161" s="3">
        <v>0</v>
      </c>
      <c r="M161" t="s">
        <v>29</v>
      </c>
      <c r="N161" t="s">
        <v>46</v>
      </c>
      <c r="O161" s="4">
        <v>0.286284628595807</v>
      </c>
      <c r="P161" s="4">
        <v>0.71371537140419306</v>
      </c>
      <c r="Q161" t="s">
        <v>161</v>
      </c>
      <c r="R161" s="4">
        <v>6.4317459530839273E-6</v>
      </c>
      <c r="S161" s="3">
        <v>11115627.51</v>
      </c>
      <c r="T161" s="4">
        <v>0.27235127864876041</v>
      </c>
    </row>
    <row r="162" spans="1:20" x14ac:dyDescent="0.4">
      <c r="A162" s="2">
        <v>45863</v>
      </c>
      <c r="B162" t="s">
        <v>38</v>
      </c>
      <c r="C162" t="s">
        <v>28</v>
      </c>
      <c r="D162" s="3" t="str">
        <f t="shared" si="26"/>
        <v>PASS</v>
      </c>
      <c r="E162" s="3" t="str">
        <f t="shared" si="27"/>
        <v>PASS</v>
      </c>
      <c r="F162" s="3" t="str">
        <f t="shared" si="28"/>
        <v>PASS</v>
      </c>
      <c r="G162" s="3" t="str">
        <f t="shared" si="29"/>
        <v>FAIL</v>
      </c>
      <c r="H162" s="3">
        <v>43825012.810000002</v>
      </c>
      <c r="I162" s="4">
        <v>0</v>
      </c>
      <c r="J162" s="3">
        <v>37013209.460000001</v>
      </c>
      <c r="K162" s="3">
        <v>8043.27</v>
      </c>
      <c r="L162" s="3">
        <v>0</v>
      </c>
      <c r="M162" t="s">
        <v>29</v>
      </c>
      <c r="N162" t="s">
        <v>46</v>
      </c>
      <c r="O162" s="4">
        <v>0.2950630053252345</v>
      </c>
      <c r="P162" s="4">
        <v>0.70493699467476545</v>
      </c>
      <c r="Q162" t="s">
        <v>162</v>
      </c>
      <c r="R162" s="4">
        <v>6.9828553705185512E-6</v>
      </c>
      <c r="S162" s="3">
        <v>14882368.1</v>
      </c>
      <c r="T162" s="4">
        <v>0.33958616656933732</v>
      </c>
    </row>
    <row r="163" spans="1:20" x14ac:dyDescent="0.4">
      <c r="A163" s="2">
        <v>45863</v>
      </c>
      <c r="B163" t="s">
        <v>39</v>
      </c>
      <c r="C163" t="s">
        <v>28</v>
      </c>
      <c r="D163" s="3" t="str">
        <f t="shared" si="26"/>
        <v>PASS</v>
      </c>
      <c r="E163" s="3" t="str">
        <f t="shared" si="27"/>
        <v>PASS</v>
      </c>
      <c r="F163" s="3" t="str">
        <f t="shared" si="28"/>
        <v>PASS</v>
      </c>
      <c r="G163" s="3" t="str">
        <f t="shared" si="29"/>
        <v>FAIL</v>
      </c>
      <c r="H163" s="3">
        <v>79603132.969999999</v>
      </c>
      <c r="I163" s="4">
        <v>0</v>
      </c>
      <c r="J163" s="3">
        <v>70894548.290000007</v>
      </c>
      <c r="K163" s="3">
        <v>15404.49</v>
      </c>
      <c r="L163" s="3">
        <v>0</v>
      </c>
      <c r="M163" t="s">
        <v>29</v>
      </c>
      <c r="N163" t="s">
        <v>42</v>
      </c>
      <c r="O163" s="4">
        <v>0.25518738120730611</v>
      </c>
      <c r="P163" s="4">
        <v>0.744812618792694</v>
      </c>
      <c r="Q163" t="s">
        <v>163</v>
      </c>
      <c r="R163" s="4">
        <v>1.3151863112965039E-5</v>
      </c>
      <c r="S163" s="3">
        <v>18007218</v>
      </c>
      <c r="T163" s="4">
        <v>0.2262124281815186</v>
      </c>
    </row>
    <row r="164" spans="1:20" x14ac:dyDescent="0.4">
      <c r="A164" s="2">
        <v>45866</v>
      </c>
      <c r="B164" t="s">
        <v>27</v>
      </c>
      <c r="C164" t="s">
        <v>28</v>
      </c>
      <c r="D164" s="3" t="str">
        <f t="shared" si="26"/>
        <v>PASS</v>
      </c>
      <c r="E164" s="3" t="str">
        <f t="shared" si="27"/>
        <v>PASS</v>
      </c>
      <c r="F164" s="3" t="str">
        <f t="shared" si="28"/>
        <v>PASS</v>
      </c>
      <c r="G164" s="3" t="str">
        <f t="shared" si="29"/>
        <v>FAIL</v>
      </c>
      <c r="H164" s="3">
        <v>55651241.159999996</v>
      </c>
      <c r="I164" s="4">
        <v>0</v>
      </c>
      <c r="J164" s="3">
        <v>50357638.689999998</v>
      </c>
      <c r="K164" s="3">
        <v>3663.6</v>
      </c>
      <c r="L164" s="3">
        <v>0</v>
      </c>
      <c r="M164" t="s">
        <v>29</v>
      </c>
      <c r="N164" t="s">
        <v>164</v>
      </c>
      <c r="O164" s="4">
        <v>0.2685108625374269</v>
      </c>
      <c r="P164" s="4">
        <v>0.73148913746257316</v>
      </c>
      <c r="Q164" t="s">
        <v>165</v>
      </c>
      <c r="R164" s="4">
        <v>7.4131958804775442E-5</v>
      </c>
      <c r="S164" s="3">
        <v>10310296.52</v>
      </c>
      <c r="T164" s="4">
        <v>0.18526624573129291</v>
      </c>
    </row>
    <row r="165" spans="1:20" x14ac:dyDescent="0.4">
      <c r="A165" s="2">
        <v>45866</v>
      </c>
      <c r="B165" t="s">
        <v>30</v>
      </c>
      <c r="C165" t="s">
        <v>28</v>
      </c>
      <c r="D165" s="3" t="str">
        <f t="shared" si="26"/>
        <v>PASS</v>
      </c>
      <c r="E165" s="3" t="str">
        <f t="shared" si="27"/>
        <v>PASS</v>
      </c>
      <c r="F165" s="3" t="str">
        <f t="shared" si="28"/>
        <v>PASS</v>
      </c>
      <c r="G165" s="3" t="str">
        <f t="shared" si="29"/>
        <v>FAIL</v>
      </c>
      <c r="H165" s="3">
        <v>35177957.039999999</v>
      </c>
      <c r="I165" s="4">
        <v>0</v>
      </c>
      <c r="J165" s="3">
        <v>32645046.579999998</v>
      </c>
      <c r="K165" s="3">
        <v>2369.84</v>
      </c>
      <c r="L165" s="3">
        <v>0</v>
      </c>
      <c r="M165" t="s">
        <v>29</v>
      </c>
      <c r="N165" t="s">
        <v>42</v>
      </c>
      <c r="O165" s="4">
        <v>0.25563290588510479</v>
      </c>
      <c r="P165" s="4">
        <v>0.74436709411489521</v>
      </c>
      <c r="Q165" t="s">
        <v>166</v>
      </c>
      <c r="R165" s="4">
        <v>6.0686118408208016E-6</v>
      </c>
      <c r="S165" s="3">
        <v>4814351.4700000007</v>
      </c>
      <c r="T165" s="4">
        <v>0.13685705126439601</v>
      </c>
    </row>
    <row r="166" spans="1:20" x14ac:dyDescent="0.4">
      <c r="A166" s="2">
        <v>45866</v>
      </c>
      <c r="B166" t="s">
        <v>31</v>
      </c>
      <c r="C166" t="s">
        <v>28</v>
      </c>
      <c r="D166" s="3" t="str">
        <f t="shared" si="26"/>
        <v>PASS</v>
      </c>
      <c r="E166" s="3" t="str">
        <f t="shared" si="27"/>
        <v>PASS</v>
      </c>
      <c r="F166" s="3" t="str">
        <f t="shared" si="28"/>
        <v>PASS</v>
      </c>
      <c r="G166" s="3" t="str">
        <f t="shared" si="29"/>
        <v>FAIL</v>
      </c>
      <c r="H166" s="3">
        <v>23991191.260000002</v>
      </c>
      <c r="I166" s="4">
        <v>0</v>
      </c>
      <c r="J166" s="3">
        <v>21672220.699999999</v>
      </c>
      <c r="K166" s="3">
        <v>1574.06</v>
      </c>
      <c r="L166" s="3">
        <v>0</v>
      </c>
      <c r="M166" t="s">
        <v>29</v>
      </c>
      <c r="N166" t="s">
        <v>42</v>
      </c>
      <c r="O166" s="4">
        <v>0.25326511832726029</v>
      </c>
      <c r="P166" s="4">
        <v>0.74673488167273971</v>
      </c>
      <c r="Q166" t="s">
        <v>167</v>
      </c>
      <c r="R166" s="4">
        <v>3.9923391518810558E-6</v>
      </c>
      <c r="S166" s="3">
        <v>4276257.01</v>
      </c>
      <c r="T166" s="4">
        <v>0.178242796018625</v>
      </c>
    </row>
    <row r="167" spans="1:20" x14ac:dyDescent="0.4">
      <c r="A167" s="2">
        <v>45866</v>
      </c>
      <c r="B167" t="s">
        <v>32</v>
      </c>
      <c r="C167" t="s">
        <v>28</v>
      </c>
      <c r="D167" s="3" t="str">
        <f t="shared" si="26"/>
        <v>PASS</v>
      </c>
      <c r="E167" s="3" t="str">
        <f t="shared" si="27"/>
        <v>FAIL</v>
      </c>
      <c r="F167" s="3" t="str">
        <f t="shared" si="28"/>
        <v>PASS</v>
      </c>
      <c r="G167" s="3" t="str">
        <f t="shared" si="29"/>
        <v>FAIL</v>
      </c>
      <c r="H167" s="3">
        <v>24547957.16</v>
      </c>
      <c r="I167" s="4">
        <v>0</v>
      </c>
      <c r="J167" s="3">
        <v>20594449.16</v>
      </c>
      <c r="K167" s="3">
        <v>2.2000000000000002</v>
      </c>
      <c r="L167" s="3">
        <v>1144541186.27</v>
      </c>
      <c r="M167" t="s">
        <v>168</v>
      </c>
      <c r="N167" t="s">
        <v>45</v>
      </c>
      <c r="O167" s="4">
        <v>0.47737314184129398</v>
      </c>
      <c r="P167" s="4">
        <v>0.52262685815870591</v>
      </c>
      <c r="Q167" t="s">
        <v>169</v>
      </c>
      <c r="R167" s="4">
        <v>1.114548127436638E-4</v>
      </c>
      <c r="S167" s="3">
        <v>122753784.04000001</v>
      </c>
      <c r="T167" s="4">
        <v>5.0005702405258718</v>
      </c>
    </row>
    <row r="168" spans="1:20" x14ac:dyDescent="0.4">
      <c r="A168" s="2">
        <v>45866</v>
      </c>
      <c r="B168" t="s">
        <v>33</v>
      </c>
      <c r="C168" t="s">
        <v>28</v>
      </c>
      <c r="D168" s="3" t="str">
        <f t="shared" si="26"/>
        <v>PASS</v>
      </c>
      <c r="E168" s="3" t="str">
        <f t="shared" si="27"/>
        <v>PASS</v>
      </c>
      <c r="F168" s="3" t="str">
        <f t="shared" si="28"/>
        <v>PASS</v>
      </c>
      <c r="G168" s="3" t="str">
        <f t="shared" si="29"/>
        <v>FAIL</v>
      </c>
      <c r="H168" s="3">
        <v>15570220.92</v>
      </c>
      <c r="I168" s="4">
        <v>0</v>
      </c>
      <c r="J168" s="3">
        <v>13716365.82</v>
      </c>
      <c r="K168" s="3">
        <v>996.46</v>
      </c>
      <c r="L168" s="3">
        <v>0</v>
      </c>
      <c r="M168" t="s">
        <v>29</v>
      </c>
      <c r="N168" t="s">
        <v>42</v>
      </c>
      <c r="O168" s="4">
        <v>0.25347807251760801</v>
      </c>
      <c r="P168" s="4">
        <v>0.74652192748239199</v>
      </c>
      <c r="Q168" t="s">
        <v>170</v>
      </c>
      <c r="R168" s="4">
        <v>2.526986204748684E-6</v>
      </c>
      <c r="S168" s="3">
        <v>4308793.8699999992</v>
      </c>
      <c r="T168" s="4">
        <v>0.27673299512824118</v>
      </c>
    </row>
    <row r="169" spans="1:20" x14ac:dyDescent="0.4">
      <c r="A169" s="2">
        <v>45866</v>
      </c>
      <c r="B169" t="s">
        <v>34</v>
      </c>
      <c r="C169" t="s">
        <v>28</v>
      </c>
      <c r="D169" s="3" t="str">
        <f t="shared" si="26"/>
        <v>PASS</v>
      </c>
      <c r="E169" s="3" t="str">
        <f t="shared" si="27"/>
        <v>FAIL</v>
      </c>
      <c r="F169" s="3" t="str">
        <f t="shared" si="28"/>
        <v>PASS</v>
      </c>
      <c r="G169" s="3" t="str">
        <f t="shared" si="29"/>
        <v>FAIL</v>
      </c>
      <c r="H169" s="3">
        <v>166579068.12</v>
      </c>
      <c r="I169" s="4">
        <v>0</v>
      </c>
      <c r="J169" s="3">
        <v>142493367.97999999</v>
      </c>
      <c r="K169" s="3">
        <v>10773.2</v>
      </c>
      <c r="L169" s="3">
        <v>69723323.200000003</v>
      </c>
      <c r="M169" t="s">
        <v>171</v>
      </c>
      <c r="N169" t="s">
        <v>172</v>
      </c>
      <c r="O169" s="4">
        <v>0.27588402995371458</v>
      </c>
      <c r="P169" s="4">
        <v>0.72411597004628536</v>
      </c>
      <c r="Q169" t="s">
        <v>173</v>
      </c>
      <c r="R169" s="4">
        <v>1.114548127436638E-4</v>
      </c>
      <c r="S169" s="3">
        <v>122753784.04000001</v>
      </c>
      <c r="T169" s="4">
        <v>0.73691001771945797</v>
      </c>
    </row>
    <row r="170" spans="1:20" x14ac:dyDescent="0.4">
      <c r="A170" s="2">
        <v>45866</v>
      </c>
      <c r="B170" t="s">
        <v>35</v>
      </c>
      <c r="C170" t="s">
        <v>28</v>
      </c>
      <c r="D170" s="3" t="str">
        <f t="shared" si="26"/>
        <v>PASS</v>
      </c>
      <c r="E170" s="3" t="str">
        <f t="shared" si="27"/>
        <v>PASS</v>
      </c>
      <c r="F170" s="3" t="str">
        <f t="shared" si="28"/>
        <v>PASS</v>
      </c>
      <c r="G170" s="3" t="str">
        <f t="shared" si="29"/>
        <v>FAIL</v>
      </c>
      <c r="H170" s="3">
        <v>138431396.83000001</v>
      </c>
      <c r="I170" s="4">
        <v>0</v>
      </c>
      <c r="J170" s="3">
        <v>121032076.8</v>
      </c>
      <c r="K170" s="3">
        <v>8785.6200000000008</v>
      </c>
      <c r="L170" s="3">
        <v>0</v>
      </c>
      <c r="M170" t="s">
        <v>29</v>
      </c>
      <c r="N170" t="s">
        <v>42</v>
      </c>
      <c r="O170" s="4">
        <v>0.25983201330971462</v>
      </c>
      <c r="P170" s="4">
        <v>0.74016798669028538</v>
      </c>
      <c r="Q170" t="s">
        <v>174</v>
      </c>
      <c r="R170" s="4">
        <v>2.2871040823536902E-5</v>
      </c>
      <c r="S170" s="3">
        <v>36010343.5</v>
      </c>
      <c r="T170" s="4">
        <v>0.26013133093081708</v>
      </c>
    </row>
    <row r="171" spans="1:20" x14ac:dyDescent="0.4">
      <c r="A171" s="2">
        <v>45866</v>
      </c>
      <c r="B171" t="s">
        <v>36</v>
      </c>
      <c r="C171" t="s">
        <v>28</v>
      </c>
      <c r="D171" s="3" t="str">
        <f t="shared" si="26"/>
        <v>PASS</v>
      </c>
      <c r="E171" s="3" t="str">
        <f t="shared" si="27"/>
        <v>PASS</v>
      </c>
      <c r="F171" s="3" t="str">
        <f t="shared" si="28"/>
        <v>PASS</v>
      </c>
      <c r="G171" s="3" t="str">
        <f t="shared" si="29"/>
        <v>FAIL</v>
      </c>
      <c r="H171" s="3">
        <v>103329545.06999999</v>
      </c>
      <c r="I171" s="4">
        <v>0</v>
      </c>
      <c r="J171" s="3">
        <v>93143529.010000005</v>
      </c>
      <c r="K171" s="3">
        <v>6762.4</v>
      </c>
      <c r="L171" s="3">
        <v>0</v>
      </c>
      <c r="M171" t="s">
        <v>29</v>
      </c>
      <c r="N171" t="s">
        <v>42</v>
      </c>
      <c r="O171" s="4">
        <v>0.25147514378036129</v>
      </c>
      <c r="P171" s="4">
        <v>0.74852485621963871</v>
      </c>
      <c r="Q171" t="s">
        <v>175</v>
      </c>
      <c r="R171" s="4">
        <v>1.7033125948153851E-5</v>
      </c>
      <c r="S171" s="3">
        <v>18993536.850000001</v>
      </c>
      <c r="T171" s="4">
        <v>0.1838151599054553</v>
      </c>
    </row>
    <row r="172" spans="1:20" x14ac:dyDescent="0.4">
      <c r="A172" s="2">
        <v>45866</v>
      </c>
      <c r="B172" t="s">
        <v>37</v>
      </c>
      <c r="C172" t="s">
        <v>28</v>
      </c>
      <c r="D172" s="3" t="str">
        <f t="shared" si="26"/>
        <v>FAIL</v>
      </c>
      <c r="E172" s="3" t="str">
        <f t="shared" si="27"/>
        <v>PASS</v>
      </c>
      <c r="F172" s="3" t="str">
        <f t="shared" si="28"/>
        <v>PASS</v>
      </c>
      <c r="G172" s="3" t="str">
        <f t="shared" si="29"/>
        <v>FAIL</v>
      </c>
      <c r="H172" s="3">
        <v>46980745.979999997</v>
      </c>
      <c r="I172" s="4">
        <v>0</v>
      </c>
      <c r="J172" s="3">
        <v>35141466.299999997</v>
      </c>
      <c r="K172" s="3">
        <v>2551.7600000000002</v>
      </c>
      <c r="L172" s="3">
        <v>0</v>
      </c>
      <c r="M172" t="s">
        <v>29</v>
      </c>
      <c r="N172" t="s">
        <v>131</v>
      </c>
      <c r="O172" s="4">
        <v>0.31579648001199079</v>
      </c>
      <c r="P172" s="4">
        <v>0.68420351998800921</v>
      </c>
      <c r="Q172" t="s">
        <v>176</v>
      </c>
      <c r="R172" s="4">
        <v>6.4146572889774284E-6</v>
      </c>
      <c r="S172" s="3">
        <v>11115622.960000001</v>
      </c>
      <c r="T172" s="4">
        <v>0.2365995415383994</v>
      </c>
    </row>
    <row r="173" spans="1:20" x14ac:dyDescent="0.4">
      <c r="A173" s="2">
        <v>45866</v>
      </c>
      <c r="B173" t="s">
        <v>38</v>
      </c>
      <c r="C173" t="s">
        <v>28</v>
      </c>
      <c r="D173" s="3" t="str">
        <f t="shared" si="26"/>
        <v>PASS</v>
      </c>
      <c r="E173" s="3" t="str">
        <f t="shared" si="27"/>
        <v>PASS</v>
      </c>
      <c r="F173" s="3" t="str">
        <f t="shared" si="28"/>
        <v>PASS</v>
      </c>
      <c r="G173" s="3" t="str">
        <f t="shared" si="29"/>
        <v>FAIL</v>
      </c>
      <c r="H173" s="3">
        <v>43832302.990000002</v>
      </c>
      <c r="I173" s="4">
        <v>0</v>
      </c>
      <c r="J173" s="3">
        <v>37017421.859999999</v>
      </c>
      <c r="K173" s="3">
        <v>2687.81</v>
      </c>
      <c r="L173" s="3">
        <v>0</v>
      </c>
      <c r="M173" t="s">
        <v>29</v>
      </c>
      <c r="N173" t="s">
        <v>46</v>
      </c>
      <c r="O173" s="4">
        <v>0.29471322857815041</v>
      </c>
      <c r="P173" s="4">
        <v>0.70528677142184959</v>
      </c>
      <c r="Q173" t="s">
        <v>177</v>
      </c>
      <c r="R173" s="4">
        <v>6.9700388724386764E-6</v>
      </c>
      <c r="S173" s="3">
        <v>14900060.9</v>
      </c>
      <c r="T173" s="4">
        <v>0.33993333417592342</v>
      </c>
    </row>
    <row r="174" spans="1:20" x14ac:dyDescent="0.4">
      <c r="A174" s="2">
        <v>45866</v>
      </c>
      <c r="B174" t="s">
        <v>39</v>
      </c>
      <c r="C174" t="s">
        <v>28</v>
      </c>
      <c r="D174" s="3" t="str">
        <f t="shared" si="26"/>
        <v>PASS</v>
      </c>
      <c r="E174" s="3" t="str">
        <f t="shared" si="27"/>
        <v>PASS</v>
      </c>
      <c r="F174" s="3" t="str">
        <f t="shared" si="28"/>
        <v>PASS</v>
      </c>
      <c r="G174" s="3" t="str">
        <f t="shared" si="29"/>
        <v>FAIL</v>
      </c>
      <c r="H174" s="3">
        <v>79634765.689999998</v>
      </c>
      <c r="I174" s="4">
        <v>0</v>
      </c>
      <c r="J174" s="3">
        <v>70909245.430000007</v>
      </c>
      <c r="K174" s="3">
        <v>5147.1400000000003</v>
      </c>
      <c r="L174" s="3">
        <v>0</v>
      </c>
      <c r="M174" t="s">
        <v>29</v>
      </c>
      <c r="N174" t="s">
        <v>42</v>
      </c>
      <c r="O174" s="4">
        <v>0.25463742887836283</v>
      </c>
      <c r="P174" s="4">
        <v>0.74536257112163717</v>
      </c>
      <c r="Q174" t="s">
        <v>178</v>
      </c>
      <c r="R174" s="4">
        <v>1.311768578475204E-5</v>
      </c>
      <c r="S174" s="3">
        <v>18024520.960000001</v>
      </c>
      <c r="T174" s="4">
        <v>0.22633985048898561</v>
      </c>
    </row>
    <row r="175" spans="1:20" x14ac:dyDescent="0.4">
      <c r="A175" s="2">
        <v>45867</v>
      </c>
      <c r="B175" t="s">
        <v>27</v>
      </c>
      <c r="C175" t="s">
        <v>28</v>
      </c>
      <c r="D175" s="3" t="str">
        <f t="shared" si="26"/>
        <v>PASS</v>
      </c>
      <c r="E175" s="3" t="str">
        <f t="shared" si="27"/>
        <v>PASS</v>
      </c>
      <c r="F175" s="3" t="str">
        <f t="shared" si="28"/>
        <v>PASS</v>
      </c>
      <c r="G175" s="3" t="str">
        <f t="shared" si="29"/>
        <v>FAIL</v>
      </c>
      <c r="H175" s="3">
        <v>55695857.060000002</v>
      </c>
      <c r="I175" s="4">
        <v>0</v>
      </c>
      <c r="J175" s="3">
        <v>50398598.490000002</v>
      </c>
      <c r="K175" s="3">
        <v>3656.78</v>
      </c>
      <c r="L175" s="3">
        <v>0</v>
      </c>
      <c r="M175" t="s">
        <v>29</v>
      </c>
      <c r="N175" t="s">
        <v>179</v>
      </c>
      <c r="O175" s="4">
        <v>0.26783896605137519</v>
      </c>
      <c r="P175" s="4">
        <v>0.73216103394862486</v>
      </c>
      <c r="Q175" t="s">
        <v>180</v>
      </c>
      <c r="R175" s="4">
        <v>7.4131958804775442E-5</v>
      </c>
      <c r="S175" s="3">
        <v>10378126.65</v>
      </c>
      <c r="T175" s="4">
        <v>0.18633570247100889</v>
      </c>
    </row>
    <row r="176" spans="1:20" x14ac:dyDescent="0.4">
      <c r="A176" s="2">
        <v>45867</v>
      </c>
      <c r="B176" t="s">
        <v>30</v>
      </c>
      <c r="C176" t="s">
        <v>28</v>
      </c>
      <c r="D176" s="3" t="str">
        <f t="shared" si="26"/>
        <v>PASS</v>
      </c>
      <c r="E176" s="3" t="str">
        <f t="shared" si="27"/>
        <v>PASS</v>
      </c>
      <c r="F176" s="3" t="str">
        <f t="shared" si="28"/>
        <v>PASS</v>
      </c>
      <c r="G176" s="3" t="str">
        <f t="shared" si="29"/>
        <v>FAIL</v>
      </c>
      <c r="H176" s="3">
        <v>35101677.240000002</v>
      </c>
      <c r="I176" s="4">
        <v>0</v>
      </c>
      <c r="J176" s="3">
        <v>32566396.66</v>
      </c>
      <c r="K176" s="3">
        <v>2370.12</v>
      </c>
      <c r="L176" s="3">
        <v>0</v>
      </c>
      <c r="M176" t="s">
        <v>29</v>
      </c>
      <c r="N176" t="s">
        <v>42</v>
      </c>
      <c r="O176" s="4">
        <v>0.25516603193028847</v>
      </c>
      <c r="P176" s="4">
        <v>0.74483396806971158</v>
      </c>
      <c r="Q176" t="s">
        <v>181</v>
      </c>
      <c r="R176" s="4">
        <v>6.0686118408208016E-6</v>
      </c>
      <c r="S176" s="3">
        <v>4819276.21</v>
      </c>
      <c r="T176" s="4">
        <v>0.1372947559471093</v>
      </c>
    </row>
    <row r="177" spans="1:20" x14ac:dyDescent="0.4">
      <c r="A177" s="2">
        <v>45867</v>
      </c>
      <c r="B177" t="s">
        <v>31</v>
      </c>
      <c r="C177" t="s">
        <v>28</v>
      </c>
      <c r="D177" s="3" t="str">
        <f t="shared" si="26"/>
        <v>PASS</v>
      </c>
      <c r="E177" s="3" t="str">
        <f t="shared" si="27"/>
        <v>PASS</v>
      </c>
      <c r="F177" s="3" t="str">
        <f t="shared" si="28"/>
        <v>PASS</v>
      </c>
      <c r="G177" s="3" t="str">
        <f t="shared" si="29"/>
        <v>FAIL</v>
      </c>
      <c r="H177" s="3">
        <v>23947329.82</v>
      </c>
      <c r="I177" s="4">
        <v>0</v>
      </c>
      <c r="J177" s="3">
        <v>21626785.800000001</v>
      </c>
      <c r="K177" s="3">
        <v>1574.17</v>
      </c>
      <c r="L177" s="3">
        <v>0</v>
      </c>
      <c r="M177" t="s">
        <v>29</v>
      </c>
      <c r="N177" t="s">
        <v>42</v>
      </c>
      <c r="O177" s="4">
        <v>0.25272784733457709</v>
      </c>
      <c r="P177" s="4">
        <v>0.74727215266542291</v>
      </c>
      <c r="Q177" t="s">
        <v>182</v>
      </c>
      <c r="R177" s="4">
        <v>3.9923391518810558E-6</v>
      </c>
      <c r="S177" s="3">
        <v>4282277.1099999994</v>
      </c>
      <c r="T177" s="4">
        <v>0.17882065107833381</v>
      </c>
    </row>
    <row r="178" spans="1:20" x14ac:dyDescent="0.4">
      <c r="A178" s="2">
        <v>45867</v>
      </c>
      <c r="B178" t="s">
        <v>32</v>
      </c>
      <c r="C178" t="s">
        <v>28</v>
      </c>
      <c r="D178" s="3" t="str">
        <f t="shared" si="26"/>
        <v>PASS</v>
      </c>
      <c r="E178" s="3" t="str">
        <f t="shared" si="27"/>
        <v>PASS</v>
      </c>
      <c r="F178" s="3" t="str">
        <f t="shared" si="28"/>
        <v>PASS</v>
      </c>
      <c r="G178" s="3" t="str">
        <f t="shared" si="29"/>
        <v>PASS</v>
      </c>
      <c r="H178" s="3">
        <v>24509189.300000001</v>
      </c>
      <c r="I178" s="4">
        <v>0</v>
      </c>
      <c r="J178" s="3">
        <v>20554225.050000001</v>
      </c>
      <c r="K178" s="3">
        <v>1495.76</v>
      </c>
      <c r="L178" s="3">
        <v>0</v>
      </c>
      <c r="M178" t="s">
        <v>29</v>
      </c>
      <c r="N178" t="s">
        <v>46</v>
      </c>
      <c r="O178" s="4">
        <v>0.28609356060349261</v>
      </c>
      <c r="P178" s="4">
        <v>0.71390643939650744</v>
      </c>
      <c r="Q178" t="s">
        <v>183</v>
      </c>
      <c r="R178" s="4">
        <v>3.7637782694566191E-6</v>
      </c>
      <c r="S178" s="3">
        <v>58594</v>
      </c>
      <c r="T178" s="4">
        <v>2.3906951504103812E-3</v>
      </c>
    </row>
    <row r="179" spans="1:20" x14ac:dyDescent="0.4">
      <c r="A179" s="2">
        <v>45867</v>
      </c>
      <c r="B179" t="s">
        <v>33</v>
      </c>
      <c r="C179" t="s">
        <v>28</v>
      </c>
      <c r="D179" s="3" t="str">
        <f t="shared" si="26"/>
        <v>PASS</v>
      </c>
      <c r="E179" s="3" t="str">
        <f t="shared" si="27"/>
        <v>PASS</v>
      </c>
      <c r="F179" s="3" t="str">
        <f t="shared" si="28"/>
        <v>PASS</v>
      </c>
      <c r="G179" s="3" t="str">
        <f t="shared" si="29"/>
        <v>FAIL</v>
      </c>
      <c r="H179" s="3">
        <v>15543418.449999999</v>
      </c>
      <c r="I179" s="4">
        <v>0</v>
      </c>
      <c r="J179" s="3">
        <v>13688567.5</v>
      </c>
      <c r="K179" s="3">
        <v>996.56</v>
      </c>
      <c r="L179" s="3">
        <v>0</v>
      </c>
      <c r="M179" t="s">
        <v>29</v>
      </c>
      <c r="N179" t="s">
        <v>42</v>
      </c>
      <c r="O179" s="4">
        <v>0.25290604732745042</v>
      </c>
      <c r="P179" s="4">
        <v>0.74709395267254952</v>
      </c>
      <c r="Q179" t="s">
        <v>184</v>
      </c>
      <c r="R179" s="4">
        <v>2.526986204748684E-6</v>
      </c>
      <c r="S179" s="3">
        <v>4304919.8400000008</v>
      </c>
      <c r="T179" s="4">
        <v>0.27696094355614548</v>
      </c>
    </row>
    <row r="180" spans="1:20" x14ac:dyDescent="0.4">
      <c r="A180" s="2">
        <v>45867</v>
      </c>
      <c r="B180" t="s">
        <v>34</v>
      </c>
      <c r="C180" t="s">
        <v>28</v>
      </c>
      <c r="D180" s="3" t="str">
        <f t="shared" si="26"/>
        <v>PASS</v>
      </c>
      <c r="E180" s="3" t="str">
        <f t="shared" si="27"/>
        <v>PASS</v>
      </c>
      <c r="F180" s="3" t="str">
        <f t="shared" si="28"/>
        <v>PASS</v>
      </c>
      <c r="G180" s="3" t="str">
        <f t="shared" si="29"/>
        <v>PASS</v>
      </c>
      <c r="H180" s="3">
        <v>166314669.03</v>
      </c>
      <c r="I180" s="4">
        <v>0</v>
      </c>
      <c r="J180" s="3">
        <v>142218844.88</v>
      </c>
      <c r="K180" s="3">
        <v>10345.959999999999</v>
      </c>
      <c r="L180" s="3">
        <v>0</v>
      </c>
      <c r="M180" t="s">
        <v>29</v>
      </c>
      <c r="N180" t="s">
        <v>46</v>
      </c>
      <c r="O180" s="4">
        <v>0.28559829503798728</v>
      </c>
      <c r="P180" s="4">
        <v>0.71440170496201261</v>
      </c>
      <c r="Q180" t="s">
        <v>185</v>
      </c>
      <c r="R180" s="4">
        <v>2.602603543419946E-5</v>
      </c>
      <c r="S180" s="3">
        <v>492893</v>
      </c>
      <c r="T180" s="4">
        <v>2.9636171173277048E-3</v>
      </c>
    </row>
    <row r="181" spans="1:20" x14ac:dyDescent="0.4">
      <c r="A181" s="2">
        <v>45867</v>
      </c>
      <c r="B181" t="s">
        <v>35</v>
      </c>
      <c r="C181" t="s">
        <v>28</v>
      </c>
      <c r="D181" s="3" t="str">
        <f t="shared" si="26"/>
        <v>PASS</v>
      </c>
      <c r="E181" s="3" t="str">
        <f t="shared" si="27"/>
        <v>PASS</v>
      </c>
      <c r="F181" s="3" t="str">
        <f t="shared" si="28"/>
        <v>PASS</v>
      </c>
      <c r="G181" s="3" t="str">
        <f t="shared" si="29"/>
        <v>FAIL</v>
      </c>
      <c r="H181" s="3">
        <v>138150963.63</v>
      </c>
      <c r="I181" s="4">
        <v>0</v>
      </c>
      <c r="J181" s="3">
        <v>120742856.34</v>
      </c>
      <c r="K181" s="3">
        <v>8787.81</v>
      </c>
      <c r="L181" s="3">
        <v>0</v>
      </c>
      <c r="M181" t="s">
        <v>29</v>
      </c>
      <c r="N181" t="s">
        <v>42</v>
      </c>
      <c r="O181" s="4">
        <v>0.25935557290295591</v>
      </c>
      <c r="P181" s="4">
        <v>0.74064442709704414</v>
      </c>
      <c r="Q181" t="s">
        <v>186</v>
      </c>
      <c r="R181" s="4">
        <v>2.2871040823536902E-5</v>
      </c>
      <c r="S181" s="3">
        <v>35926238.439999998</v>
      </c>
      <c r="T181" s="4">
        <v>0.26005058159578759</v>
      </c>
    </row>
    <row r="182" spans="1:20" x14ac:dyDescent="0.4">
      <c r="A182" s="2">
        <v>45867</v>
      </c>
      <c r="B182" t="s">
        <v>36</v>
      </c>
      <c r="C182" t="s">
        <v>28</v>
      </c>
      <c r="D182" s="3" t="str">
        <f t="shared" si="26"/>
        <v>PASS</v>
      </c>
      <c r="E182" s="3" t="str">
        <f t="shared" si="27"/>
        <v>PASS</v>
      </c>
      <c r="F182" s="3" t="str">
        <f t="shared" si="28"/>
        <v>PASS</v>
      </c>
      <c r="G182" s="3" t="str">
        <f t="shared" si="29"/>
        <v>FAIL</v>
      </c>
      <c r="H182" s="3">
        <v>103149449.34999999</v>
      </c>
      <c r="I182" s="4">
        <v>0</v>
      </c>
      <c r="J182" s="3">
        <v>92956931.510000005</v>
      </c>
      <c r="K182" s="3">
        <v>6763.16</v>
      </c>
      <c r="L182" s="3">
        <v>0</v>
      </c>
      <c r="M182" t="s">
        <v>29</v>
      </c>
      <c r="N182" t="s">
        <v>42</v>
      </c>
      <c r="O182" s="4">
        <v>0.25091654598657692</v>
      </c>
      <c r="P182" s="4">
        <v>0.74908345401342302</v>
      </c>
      <c r="Q182" t="s">
        <v>187</v>
      </c>
      <c r="R182" s="4">
        <v>1.7033125948153851E-5</v>
      </c>
      <c r="S182" s="3">
        <v>19057321.5</v>
      </c>
      <c r="T182" s="4">
        <v>0.1847544666509652</v>
      </c>
    </row>
    <row r="183" spans="1:20" x14ac:dyDescent="0.4">
      <c r="A183" s="2">
        <v>45867</v>
      </c>
      <c r="B183" t="s">
        <v>37</v>
      </c>
      <c r="C183" t="s">
        <v>28</v>
      </c>
      <c r="D183" s="3" t="str">
        <f t="shared" si="26"/>
        <v>PASS</v>
      </c>
      <c r="E183" s="3" t="str">
        <f t="shared" si="27"/>
        <v>PASS</v>
      </c>
      <c r="F183" s="3" t="str">
        <f t="shared" si="28"/>
        <v>PASS</v>
      </c>
      <c r="G183" s="3" t="str">
        <f t="shared" si="29"/>
        <v>FAIL</v>
      </c>
      <c r="H183" s="3">
        <v>40754343.380000003</v>
      </c>
      <c r="I183" s="4">
        <v>0</v>
      </c>
      <c r="J183" s="3">
        <v>35070206.039999999</v>
      </c>
      <c r="K183" s="3">
        <v>2552.0500000000002</v>
      </c>
      <c r="L183" s="3">
        <v>0</v>
      </c>
      <c r="M183" t="s">
        <v>29</v>
      </c>
      <c r="N183" t="s">
        <v>46</v>
      </c>
      <c r="O183" s="4">
        <v>0.28573555651685018</v>
      </c>
      <c r="P183" s="4">
        <v>0.71426444348314977</v>
      </c>
      <c r="Q183" t="s">
        <v>188</v>
      </c>
      <c r="R183" s="4">
        <v>6.4146572889774284E-6</v>
      </c>
      <c r="S183" s="3">
        <v>11119553.890000001</v>
      </c>
      <c r="T183" s="4">
        <v>0.27284340680745378</v>
      </c>
    </row>
    <row r="184" spans="1:20" x14ac:dyDescent="0.4">
      <c r="A184" s="2">
        <v>45867</v>
      </c>
      <c r="B184" t="s">
        <v>38</v>
      </c>
      <c r="C184" t="s">
        <v>28</v>
      </c>
      <c r="D184" s="3" t="str">
        <f t="shared" si="26"/>
        <v>PASS</v>
      </c>
      <c r="E184" s="3" t="str">
        <f t="shared" si="27"/>
        <v>PASS</v>
      </c>
      <c r="F184" s="3" t="str">
        <f t="shared" si="28"/>
        <v>PASS</v>
      </c>
      <c r="G184" s="3" t="str">
        <f t="shared" si="29"/>
        <v>FAIL</v>
      </c>
      <c r="H184" s="3">
        <v>43746916.990000002</v>
      </c>
      <c r="I184" s="4">
        <v>0</v>
      </c>
      <c r="J184" s="3">
        <v>36929348.289999999</v>
      </c>
      <c r="K184" s="3">
        <v>2688.12</v>
      </c>
      <c r="L184" s="3">
        <v>0</v>
      </c>
      <c r="M184" t="s">
        <v>29</v>
      </c>
      <c r="N184" t="s">
        <v>46</v>
      </c>
      <c r="O184" s="4">
        <v>0.29484028622699532</v>
      </c>
      <c r="P184" s="4">
        <v>0.70515971377300468</v>
      </c>
      <c r="Q184" t="s">
        <v>189</v>
      </c>
      <c r="R184" s="4">
        <v>6.9700388724386764E-6</v>
      </c>
      <c r="S184" s="3">
        <v>14857939.02</v>
      </c>
      <c r="T184" s="4">
        <v>0.33963396834104542</v>
      </c>
    </row>
    <row r="185" spans="1:20" x14ac:dyDescent="0.4">
      <c r="A185" s="2">
        <v>45867</v>
      </c>
      <c r="B185" t="s">
        <v>39</v>
      </c>
      <c r="C185" t="s">
        <v>28</v>
      </c>
      <c r="D185" s="3" t="str">
        <f t="shared" si="26"/>
        <v>PASS</v>
      </c>
      <c r="E185" s="3" t="str">
        <f t="shared" si="27"/>
        <v>PASS</v>
      </c>
      <c r="F185" s="3" t="str">
        <f t="shared" si="28"/>
        <v>PASS</v>
      </c>
      <c r="G185" s="3" t="str">
        <f t="shared" si="29"/>
        <v>FAIL</v>
      </c>
      <c r="H185" s="3">
        <v>79475406.989999995</v>
      </c>
      <c r="I185" s="4">
        <v>0</v>
      </c>
      <c r="J185" s="3">
        <v>70744738.519999996</v>
      </c>
      <c r="K185" s="3">
        <v>5148.21</v>
      </c>
      <c r="L185" s="3">
        <v>0</v>
      </c>
      <c r="M185" t="s">
        <v>29</v>
      </c>
      <c r="N185" t="s">
        <v>42</v>
      </c>
      <c r="O185" s="4">
        <v>0.25413684050747132</v>
      </c>
      <c r="P185" s="4">
        <v>0.74586315949252868</v>
      </c>
      <c r="Q185" t="s">
        <v>190</v>
      </c>
      <c r="R185" s="4">
        <v>1.311768578475204E-5</v>
      </c>
      <c r="S185" s="3">
        <v>18011649.539999999</v>
      </c>
      <c r="T185" s="4">
        <v>0.2266317370638482</v>
      </c>
    </row>
    <row r="186" spans="1:20" x14ac:dyDescent="0.4">
      <c r="A186" s="2">
        <v>45868</v>
      </c>
      <c r="B186" t="s">
        <v>27</v>
      </c>
      <c r="C186" t="s">
        <v>28</v>
      </c>
      <c r="D186" s="3" t="str">
        <f t="shared" si="26"/>
        <v>PASS</v>
      </c>
      <c r="E186" s="3" t="str">
        <f t="shared" si="27"/>
        <v>PASS</v>
      </c>
      <c r="F186" s="3" t="str">
        <f t="shared" si="28"/>
        <v>PASS</v>
      </c>
      <c r="G186" s="3" t="str">
        <f t="shared" si="29"/>
        <v>FAIL</v>
      </c>
      <c r="H186" s="3">
        <v>55353192.68</v>
      </c>
      <c r="I186" s="4">
        <v>0</v>
      </c>
      <c r="J186" s="3">
        <v>50052275.030000001</v>
      </c>
      <c r="K186" s="3">
        <v>3659.76</v>
      </c>
      <c r="L186" s="3">
        <v>0</v>
      </c>
      <c r="M186" t="s">
        <v>29</v>
      </c>
      <c r="N186" t="s">
        <v>191</v>
      </c>
      <c r="O186" s="4">
        <v>0.2688360657319756</v>
      </c>
      <c r="P186" s="4">
        <v>0.7311639342680244</v>
      </c>
      <c r="Q186" t="s">
        <v>192</v>
      </c>
      <c r="R186" s="4">
        <v>7.8067936014354725E-5</v>
      </c>
      <c r="S186" s="3">
        <v>10439065.609999999</v>
      </c>
      <c r="T186" s="4">
        <v>0.1885901265054184</v>
      </c>
    </row>
    <row r="187" spans="1:20" x14ac:dyDescent="0.4">
      <c r="A187" s="2">
        <v>45868</v>
      </c>
      <c r="B187" t="s">
        <v>30</v>
      </c>
      <c r="C187" t="s">
        <v>28</v>
      </c>
      <c r="D187" s="3" t="str">
        <f t="shared" si="26"/>
        <v>PASS</v>
      </c>
      <c r="E187" s="3" t="str">
        <f t="shared" si="27"/>
        <v>PASS</v>
      </c>
      <c r="F187" s="3" t="str">
        <f t="shared" si="28"/>
        <v>PASS</v>
      </c>
      <c r="G187" s="3" t="str">
        <f t="shared" si="29"/>
        <v>FAIL</v>
      </c>
      <c r="H187" s="3">
        <v>35057183.700000003</v>
      </c>
      <c r="I187" s="4">
        <v>0</v>
      </c>
      <c r="J187" s="3">
        <v>32519538.710000001</v>
      </c>
      <c r="K187" s="3">
        <v>2364.41</v>
      </c>
      <c r="L187" s="3">
        <v>0</v>
      </c>
      <c r="M187" t="s">
        <v>29</v>
      </c>
      <c r="N187" t="s">
        <v>42</v>
      </c>
      <c r="O187" s="4">
        <v>0.25625588770843921</v>
      </c>
      <c r="P187" s="4">
        <v>0.7437441122915609</v>
      </c>
      <c r="Q187" t="s">
        <v>193</v>
      </c>
      <c r="R187" s="4">
        <v>6.0686118408208016E-6</v>
      </c>
      <c r="S187" s="3">
        <v>4817593.54</v>
      </c>
      <c r="T187" s="4">
        <v>0.13742100852214209</v>
      </c>
    </row>
    <row r="188" spans="1:20" x14ac:dyDescent="0.4">
      <c r="A188" s="2">
        <v>45868</v>
      </c>
      <c r="B188" t="s">
        <v>31</v>
      </c>
      <c r="C188" t="s">
        <v>28</v>
      </c>
      <c r="D188" s="3" t="str">
        <f t="shared" si="26"/>
        <v>PASS</v>
      </c>
      <c r="E188" s="3" t="str">
        <f t="shared" si="27"/>
        <v>PASS</v>
      </c>
      <c r="F188" s="3" t="str">
        <f t="shared" si="28"/>
        <v>PASS</v>
      </c>
      <c r="G188" s="3" t="str">
        <f t="shared" si="29"/>
        <v>FAIL</v>
      </c>
      <c r="H188" s="3">
        <v>23919832.670000002</v>
      </c>
      <c r="I188" s="4">
        <v>0</v>
      </c>
      <c r="J188" s="3">
        <v>21597718.489999998</v>
      </c>
      <c r="K188" s="3">
        <v>1570.87</v>
      </c>
      <c r="L188" s="3">
        <v>0</v>
      </c>
      <c r="M188" t="s">
        <v>29</v>
      </c>
      <c r="N188" t="s">
        <v>42</v>
      </c>
      <c r="O188" s="4">
        <v>0.25378227207368331</v>
      </c>
      <c r="P188" s="4">
        <v>0.74621772792631669</v>
      </c>
      <c r="Q188" t="s">
        <v>194</v>
      </c>
      <c r="R188" s="4">
        <v>3.9923391518810558E-6</v>
      </c>
      <c r="S188" s="3">
        <v>4286054.88</v>
      </c>
      <c r="T188" s="4">
        <v>0.1791841497861113</v>
      </c>
    </row>
    <row r="189" spans="1:20" x14ac:dyDescent="0.4">
      <c r="A189" s="2">
        <v>45868</v>
      </c>
      <c r="B189" t="s">
        <v>32</v>
      </c>
      <c r="C189" t="s">
        <v>28</v>
      </c>
      <c r="D189" s="3" t="str">
        <f t="shared" si="26"/>
        <v>PASS</v>
      </c>
      <c r="E189" s="3" t="str">
        <f t="shared" si="27"/>
        <v>PASS</v>
      </c>
      <c r="F189" s="3" t="str">
        <f t="shared" si="28"/>
        <v>PASS</v>
      </c>
      <c r="G189" s="3" t="str">
        <f t="shared" si="29"/>
        <v>PASS</v>
      </c>
      <c r="H189" s="3">
        <v>24477663.719999999</v>
      </c>
      <c r="I189" s="4">
        <v>0</v>
      </c>
      <c r="J189" s="3">
        <v>20515213.68</v>
      </c>
      <c r="K189" s="3">
        <v>7486.34</v>
      </c>
      <c r="L189" s="3">
        <v>0</v>
      </c>
      <c r="M189" t="s">
        <v>29</v>
      </c>
      <c r="N189" t="s">
        <v>46</v>
      </c>
      <c r="O189" s="4">
        <v>0.2881150375617243</v>
      </c>
      <c r="P189" s="4">
        <v>0.7118849624382757</v>
      </c>
      <c r="Q189" t="s">
        <v>195</v>
      </c>
      <c r="R189" s="4">
        <v>3.7637782694566191E-6</v>
      </c>
      <c r="S189" s="3">
        <v>57977</v>
      </c>
      <c r="T189" s="4">
        <v>2.368567550530921E-3</v>
      </c>
    </row>
    <row r="190" spans="1:20" x14ac:dyDescent="0.4">
      <c r="A190" s="2">
        <v>45868</v>
      </c>
      <c r="B190" t="s">
        <v>33</v>
      </c>
      <c r="C190" t="s">
        <v>28</v>
      </c>
      <c r="D190" s="3" t="str">
        <f t="shared" si="26"/>
        <v>PASS</v>
      </c>
      <c r="E190" s="3" t="str">
        <f t="shared" si="27"/>
        <v>PASS</v>
      </c>
      <c r="F190" s="3" t="str">
        <f t="shared" si="28"/>
        <v>PASS</v>
      </c>
      <c r="G190" s="3" t="str">
        <f t="shared" si="29"/>
        <v>FAIL</v>
      </c>
      <c r="H190" s="3">
        <v>15525103.6</v>
      </c>
      <c r="I190" s="4">
        <v>0</v>
      </c>
      <c r="J190" s="3">
        <v>13669258.82</v>
      </c>
      <c r="K190" s="3">
        <v>994.54</v>
      </c>
      <c r="L190" s="3">
        <v>0</v>
      </c>
      <c r="M190" t="s">
        <v>29</v>
      </c>
      <c r="N190" t="s">
        <v>42</v>
      </c>
      <c r="O190" s="4">
        <v>0.25398440001152889</v>
      </c>
      <c r="P190" s="4">
        <v>0.746015599988471</v>
      </c>
      <c r="Q190" t="s">
        <v>196</v>
      </c>
      <c r="R190" s="4">
        <v>2.526986204748684E-6</v>
      </c>
      <c r="S190" s="3">
        <v>4309697.96</v>
      </c>
      <c r="T190" s="4">
        <v>0.27759543968518191</v>
      </c>
    </row>
    <row r="191" spans="1:20" x14ac:dyDescent="0.4">
      <c r="A191" s="2">
        <v>45868</v>
      </c>
      <c r="B191" t="s">
        <v>34</v>
      </c>
      <c r="C191" t="s">
        <v>28</v>
      </c>
      <c r="D191" s="3" t="str">
        <f t="shared" si="26"/>
        <v>PASS</v>
      </c>
      <c r="E191" s="3" t="str">
        <f t="shared" si="27"/>
        <v>PASS</v>
      </c>
      <c r="F191" s="3" t="str">
        <f t="shared" si="28"/>
        <v>PASS</v>
      </c>
      <c r="G191" s="3" t="str">
        <f t="shared" si="29"/>
        <v>PASS</v>
      </c>
      <c r="H191" s="3">
        <v>166135916.94999999</v>
      </c>
      <c r="I191" s="4">
        <v>0</v>
      </c>
      <c r="J191" s="3">
        <v>141988353.5</v>
      </c>
      <c r="K191" s="3">
        <v>51739.85</v>
      </c>
      <c r="L191" s="3">
        <v>0</v>
      </c>
      <c r="M191" t="s">
        <v>29</v>
      </c>
      <c r="N191" t="s">
        <v>46</v>
      </c>
      <c r="O191" s="4">
        <v>0.2875135519477659</v>
      </c>
      <c r="P191" s="4">
        <v>0.71248644805223416</v>
      </c>
      <c r="Q191" t="s">
        <v>197</v>
      </c>
      <c r="R191" s="4">
        <v>2.602603543419946E-5</v>
      </c>
      <c r="S191" s="3">
        <v>489276</v>
      </c>
      <c r="T191" s="4">
        <v>2.9450344572224669E-3</v>
      </c>
    </row>
    <row r="192" spans="1:20" x14ac:dyDescent="0.4">
      <c r="A192" s="2">
        <v>45868</v>
      </c>
      <c r="B192" t="s">
        <v>35</v>
      </c>
      <c r="C192" t="s">
        <v>28</v>
      </c>
      <c r="D192" s="3" t="str">
        <f t="shared" si="26"/>
        <v>PASS</v>
      </c>
      <c r="E192" s="3" t="str">
        <f t="shared" si="27"/>
        <v>PASS</v>
      </c>
      <c r="F192" s="3" t="str">
        <f t="shared" si="28"/>
        <v>PASS</v>
      </c>
      <c r="G192" s="3" t="str">
        <f t="shared" si="29"/>
        <v>FAIL</v>
      </c>
      <c r="H192" s="3">
        <v>137999660.41999999</v>
      </c>
      <c r="I192" s="4">
        <v>0</v>
      </c>
      <c r="J192" s="3">
        <v>120582786.87</v>
      </c>
      <c r="K192" s="3">
        <v>8766.81</v>
      </c>
      <c r="L192" s="3">
        <v>0</v>
      </c>
      <c r="M192" t="s">
        <v>29</v>
      </c>
      <c r="N192" t="s">
        <v>42</v>
      </c>
      <c r="O192" s="4">
        <v>0.26043606177270301</v>
      </c>
      <c r="P192" s="4">
        <v>0.73956393822729705</v>
      </c>
      <c r="Q192" t="s">
        <v>198</v>
      </c>
      <c r="R192" s="4">
        <v>2.2871040823536902E-5</v>
      </c>
      <c r="S192" s="3">
        <v>35944875.139999993</v>
      </c>
      <c r="T192" s="4">
        <v>0.26047075065693842</v>
      </c>
    </row>
    <row r="193" spans="1:20" x14ac:dyDescent="0.4">
      <c r="A193" s="2">
        <v>45868</v>
      </c>
      <c r="B193" t="s">
        <v>36</v>
      </c>
      <c r="C193" t="s">
        <v>28</v>
      </c>
      <c r="D193" s="3" t="str">
        <f t="shared" si="26"/>
        <v>PASS</v>
      </c>
      <c r="E193" s="3" t="str">
        <f t="shared" si="27"/>
        <v>PASS</v>
      </c>
      <c r="F193" s="3" t="str">
        <f t="shared" si="28"/>
        <v>PASS</v>
      </c>
      <c r="G193" s="3" t="str">
        <f t="shared" si="29"/>
        <v>FAIL</v>
      </c>
      <c r="H193" s="3">
        <v>103031141.08</v>
      </c>
      <c r="I193" s="4">
        <v>0</v>
      </c>
      <c r="J193" s="3">
        <v>92831874.310000002</v>
      </c>
      <c r="K193" s="3">
        <v>6749.61</v>
      </c>
      <c r="L193" s="3">
        <v>0</v>
      </c>
      <c r="M193" t="s">
        <v>29</v>
      </c>
      <c r="N193" t="s">
        <v>42</v>
      </c>
      <c r="O193" s="4">
        <v>0.25196651337546389</v>
      </c>
      <c r="P193" s="4">
        <v>0.74803348662453617</v>
      </c>
      <c r="Q193" t="s">
        <v>199</v>
      </c>
      <c r="R193" s="4">
        <v>1.7033125948153851E-5</v>
      </c>
      <c r="S193" s="3">
        <v>19112643.68</v>
      </c>
      <c r="T193" s="4">
        <v>0.185503562123608</v>
      </c>
    </row>
    <row r="194" spans="1:20" x14ac:dyDescent="0.4">
      <c r="A194" s="2">
        <v>45868</v>
      </c>
      <c r="B194" t="s">
        <v>37</v>
      </c>
      <c r="C194" t="s">
        <v>28</v>
      </c>
      <c r="D194" s="3" t="str">
        <f t="shared" si="26"/>
        <v>PASS</v>
      </c>
      <c r="E194" s="3" t="str">
        <f t="shared" si="27"/>
        <v>PASS</v>
      </c>
      <c r="F194" s="3" t="str">
        <f t="shared" si="28"/>
        <v>PASS</v>
      </c>
      <c r="G194" s="3" t="str">
        <f t="shared" si="29"/>
        <v>FAIL</v>
      </c>
      <c r="H194" s="3">
        <v>40706285.100000001</v>
      </c>
      <c r="I194" s="4">
        <v>0</v>
      </c>
      <c r="J194" s="3">
        <v>35019601.57</v>
      </c>
      <c r="K194" s="3">
        <v>2546.87</v>
      </c>
      <c r="L194" s="3">
        <v>0</v>
      </c>
      <c r="M194" t="s">
        <v>29</v>
      </c>
      <c r="N194" t="s">
        <v>46</v>
      </c>
      <c r="O194" s="4">
        <v>0.28762257045861639</v>
      </c>
      <c r="P194" s="4">
        <v>0.71237742954138361</v>
      </c>
      <c r="Q194" t="s">
        <v>200</v>
      </c>
      <c r="R194" s="4">
        <v>6.4146572889774284E-6</v>
      </c>
      <c r="S194" s="3">
        <v>11122649.779999999</v>
      </c>
      <c r="T194" s="4">
        <v>0.27324158303013502</v>
      </c>
    </row>
    <row r="195" spans="1:20" x14ac:dyDescent="0.4">
      <c r="A195" s="2">
        <v>45868</v>
      </c>
      <c r="B195" t="s">
        <v>38</v>
      </c>
      <c r="C195" t="s">
        <v>28</v>
      </c>
      <c r="D195" s="3" t="str">
        <f t="shared" si="26"/>
        <v>PASS</v>
      </c>
      <c r="E195" s="3" t="str">
        <f t="shared" si="27"/>
        <v>PASS</v>
      </c>
      <c r="F195" s="3" t="str">
        <f t="shared" si="28"/>
        <v>PASS</v>
      </c>
      <c r="G195" s="3" t="str">
        <f t="shared" si="29"/>
        <v>FAIL</v>
      </c>
      <c r="H195" s="3">
        <v>43696649.899999999</v>
      </c>
      <c r="I195" s="4">
        <v>0</v>
      </c>
      <c r="J195" s="3">
        <v>36876400.030000001</v>
      </c>
      <c r="K195" s="3">
        <v>2681.72</v>
      </c>
      <c r="L195" s="3">
        <v>0</v>
      </c>
      <c r="M195" t="s">
        <v>29</v>
      </c>
      <c r="N195" t="s">
        <v>42</v>
      </c>
      <c r="O195" s="4">
        <v>0.25976313718820448</v>
      </c>
      <c r="P195" s="4">
        <v>0.74023686281179546</v>
      </c>
      <c r="Q195" t="s">
        <v>201</v>
      </c>
      <c r="R195" s="4">
        <v>6.9700388724386764E-6</v>
      </c>
      <c r="S195" s="3">
        <v>14843724.859999999</v>
      </c>
      <c r="T195" s="4">
        <v>0.33969937956273388</v>
      </c>
    </row>
    <row r="196" spans="1:20" x14ac:dyDescent="0.4">
      <c r="A196" s="2">
        <v>45868</v>
      </c>
      <c r="B196" t="s">
        <v>39</v>
      </c>
      <c r="C196" t="s">
        <v>28</v>
      </c>
      <c r="D196" s="3" t="str">
        <f t="shared" si="26"/>
        <v>PASS</v>
      </c>
      <c r="E196" s="3" t="str">
        <f t="shared" si="27"/>
        <v>PASS</v>
      </c>
      <c r="F196" s="3" t="str">
        <f t="shared" si="28"/>
        <v>PASS</v>
      </c>
      <c r="G196" s="3" t="str">
        <f t="shared" si="29"/>
        <v>FAIL</v>
      </c>
      <c r="H196" s="3">
        <v>79381863.219999999</v>
      </c>
      <c r="I196" s="4">
        <v>0</v>
      </c>
      <c r="J196" s="3">
        <v>70646058.489999995</v>
      </c>
      <c r="K196" s="3">
        <v>5136.26</v>
      </c>
      <c r="L196" s="3">
        <v>0</v>
      </c>
      <c r="M196" t="s">
        <v>29</v>
      </c>
      <c r="N196" t="s">
        <v>42</v>
      </c>
      <c r="O196" s="4">
        <v>0.25522652976531263</v>
      </c>
      <c r="P196" s="4">
        <v>0.74477347023468732</v>
      </c>
      <c r="Q196" t="s">
        <v>202</v>
      </c>
      <c r="R196" s="4">
        <v>1.311768578475204E-5</v>
      </c>
      <c r="S196" s="3">
        <v>18032678.640000001</v>
      </c>
      <c r="T196" s="4">
        <v>0.227163711061102</v>
      </c>
    </row>
    <row r="197" spans="1:20" x14ac:dyDescent="0.4">
      <c r="A197" s="2">
        <v>45869</v>
      </c>
      <c r="B197" t="s">
        <v>27</v>
      </c>
      <c r="C197" t="s">
        <v>28</v>
      </c>
      <c r="D197" s="3" t="str">
        <f t="shared" si="26"/>
        <v>PASS</v>
      </c>
      <c r="E197" s="3" t="str">
        <f t="shared" si="27"/>
        <v>PASS</v>
      </c>
      <c r="F197" s="3" t="str">
        <f t="shared" si="28"/>
        <v>PASS</v>
      </c>
      <c r="G197" s="3" t="str">
        <f t="shared" si="29"/>
        <v>FAIL</v>
      </c>
      <c r="H197" s="3">
        <v>55237543.68</v>
      </c>
      <c r="I197" s="4">
        <v>0</v>
      </c>
      <c r="J197" s="3">
        <v>49296156.009999998</v>
      </c>
      <c r="K197" s="3">
        <v>2852.53</v>
      </c>
      <c r="L197" s="3">
        <v>0</v>
      </c>
      <c r="M197" t="s">
        <v>29</v>
      </c>
      <c r="N197" t="s">
        <v>203</v>
      </c>
      <c r="O197" s="4">
        <v>0.27609657652087588</v>
      </c>
      <c r="P197" s="4">
        <v>0.72390342347912418</v>
      </c>
      <c r="Q197" t="s">
        <v>204</v>
      </c>
      <c r="R197" s="4">
        <v>7.7122618798777787E-5</v>
      </c>
      <c r="S197" s="3">
        <v>10390602.01</v>
      </c>
      <c r="T197" s="4">
        <v>0.188107604316992</v>
      </c>
    </row>
    <row r="198" spans="1:20" x14ac:dyDescent="0.4">
      <c r="A198" s="2">
        <v>45869</v>
      </c>
      <c r="B198" t="s">
        <v>30</v>
      </c>
      <c r="C198" t="s">
        <v>28</v>
      </c>
      <c r="D198" s="3" t="str">
        <f t="shared" si="26"/>
        <v>PASS</v>
      </c>
      <c r="E198" s="3" t="str">
        <f t="shared" si="27"/>
        <v>PASS</v>
      </c>
      <c r="F198" s="3" t="str">
        <f t="shared" si="28"/>
        <v>PASS</v>
      </c>
      <c r="G198" s="3" t="str">
        <f t="shared" si="29"/>
        <v>FAIL</v>
      </c>
      <c r="H198" s="3">
        <v>34969033.469999999</v>
      </c>
      <c r="I198" s="4">
        <v>0</v>
      </c>
      <c r="J198" s="3">
        <v>32015446.359999999</v>
      </c>
      <c r="K198" s="3">
        <v>2527.5300000000002</v>
      </c>
      <c r="L198" s="3">
        <v>0</v>
      </c>
      <c r="M198" t="s">
        <v>29</v>
      </c>
      <c r="N198" t="s">
        <v>42</v>
      </c>
      <c r="O198" s="4">
        <v>0.26247846541034447</v>
      </c>
      <c r="P198" s="4">
        <v>0.73752153458965553</v>
      </c>
      <c r="Q198" t="s">
        <v>205</v>
      </c>
      <c r="R198" s="4">
        <v>6.0173458485013032E-6</v>
      </c>
      <c r="S198" s="3">
        <v>4813681.7699999996</v>
      </c>
      <c r="T198" s="4">
        <v>0.1376555567121884</v>
      </c>
    </row>
    <row r="199" spans="1:20" x14ac:dyDescent="0.4">
      <c r="A199" s="2">
        <v>45869</v>
      </c>
      <c r="B199" t="s">
        <v>31</v>
      </c>
      <c r="C199" t="s">
        <v>28</v>
      </c>
      <c r="D199" s="3" t="str">
        <f t="shared" si="26"/>
        <v>PASS</v>
      </c>
      <c r="E199" s="3" t="str">
        <f t="shared" si="27"/>
        <v>PASS</v>
      </c>
      <c r="F199" s="3" t="str">
        <f t="shared" si="28"/>
        <v>PASS</v>
      </c>
      <c r="G199" s="3" t="str">
        <f t="shared" si="29"/>
        <v>FAIL</v>
      </c>
      <c r="H199" s="3">
        <v>23868974.66</v>
      </c>
      <c r="I199" s="4">
        <v>0</v>
      </c>
      <c r="J199" s="3">
        <v>21270934.390000001</v>
      </c>
      <c r="K199" s="3">
        <v>1227.55</v>
      </c>
      <c r="L199" s="3">
        <v>0</v>
      </c>
      <c r="M199" t="s">
        <v>29</v>
      </c>
      <c r="N199" t="s">
        <v>42</v>
      </c>
      <c r="O199" s="4">
        <v>0.25975405634260901</v>
      </c>
      <c r="P199" s="4">
        <v>0.74024594365739094</v>
      </c>
      <c r="Q199" t="s">
        <v>206</v>
      </c>
      <c r="R199" s="4">
        <v>3.9581618236680563E-6</v>
      </c>
      <c r="S199" s="3">
        <v>4278915.3100000015</v>
      </c>
      <c r="T199" s="4">
        <v>0.17926682528054599</v>
      </c>
    </row>
    <row r="200" spans="1:20" x14ac:dyDescent="0.4">
      <c r="A200" s="2">
        <v>45869</v>
      </c>
      <c r="B200" t="s">
        <v>32</v>
      </c>
      <c r="C200" t="s">
        <v>28</v>
      </c>
      <c r="D200" s="3" t="str">
        <f t="shared" ref="D200:D263" si="30">IF(J200/H200&gt;=0.75,"PASS","FAIL")</f>
        <v>PASS</v>
      </c>
      <c r="E200" s="3" t="str">
        <f t="shared" ref="E200:E263" si="31">IF(L200=0,"PASS","FAIL")</f>
        <v>PASS</v>
      </c>
      <c r="F200" s="3" t="str">
        <f t="shared" ref="F200:F263" si="32">IF(R200="","",IF(R200&lt;=0.1,"PASS","FAIL"))</f>
        <v>PASS</v>
      </c>
      <c r="G200" s="3" t="str">
        <f t="shared" ref="G200:G263" si="33">IF(S200=0,"PASS",IF(S200&lt;=0.05*J200,"PASS","FAIL"))</f>
        <v>PASS</v>
      </c>
      <c r="H200" s="3">
        <v>24438087.949999999</v>
      </c>
      <c r="I200" s="4">
        <v>0</v>
      </c>
      <c r="J200" s="3">
        <v>20427231.280000001</v>
      </c>
      <c r="K200" s="3">
        <v>1421.39</v>
      </c>
      <c r="L200" s="3">
        <v>0</v>
      </c>
      <c r="M200" t="s">
        <v>29</v>
      </c>
      <c r="N200" t="s">
        <v>46</v>
      </c>
      <c r="O200" s="4">
        <v>0.2918409410597323</v>
      </c>
      <c r="P200" s="4">
        <v>0.70815905894026776</v>
      </c>
      <c r="Q200" t="s">
        <v>207</v>
      </c>
      <c r="R200" s="4">
        <v>3.7466896053501189E-6</v>
      </c>
      <c r="S200" s="3">
        <v>77918</v>
      </c>
      <c r="T200" s="4">
        <v>3.1883836476658562E-3</v>
      </c>
    </row>
    <row r="201" spans="1:20" x14ac:dyDescent="0.4">
      <c r="A201" s="2">
        <v>45869</v>
      </c>
      <c r="B201" t="s">
        <v>33</v>
      </c>
      <c r="C201" t="s">
        <v>28</v>
      </c>
      <c r="D201" s="3" t="str">
        <f t="shared" si="30"/>
        <v>PASS</v>
      </c>
      <c r="E201" s="3" t="str">
        <f t="shared" si="31"/>
        <v>PASS</v>
      </c>
      <c r="F201" s="3" t="str">
        <f t="shared" si="32"/>
        <v>PASS</v>
      </c>
      <c r="G201" s="3" t="str">
        <f t="shared" si="33"/>
        <v>FAIL</v>
      </c>
      <c r="H201" s="3">
        <v>15492286.5</v>
      </c>
      <c r="I201" s="4">
        <v>0</v>
      </c>
      <c r="J201" s="3">
        <v>13496604.539999999</v>
      </c>
      <c r="K201" s="3">
        <v>859.83</v>
      </c>
      <c r="L201" s="3">
        <v>0</v>
      </c>
      <c r="M201" t="s">
        <v>29</v>
      </c>
      <c r="N201" t="s">
        <v>42</v>
      </c>
      <c r="O201" s="4">
        <v>0.25995300296469981</v>
      </c>
      <c r="P201" s="4">
        <v>0.7400469970353003</v>
      </c>
      <c r="Q201" t="s">
        <v>208</v>
      </c>
      <c r="R201" s="4">
        <v>2.509897540642183E-6</v>
      </c>
      <c r="S201" s="3">
        <v>4323040.5500000007</v>
      </c>
      <c r="T201" s="4">
        <v>0.27904470718379759</v>
      </c>
    </row>
    <row r="202" spans="1:20" x14ac:dyDescent="0.4">
      <c r="A202" s="2">
        <v>45869</v>
      </c>
      <c r="B202" t="s">
        <v>34</v>
      </c>
      <c r="C202" t="s">
        <v>28</v>
      </c>
      <c r="D202" s="3" t="str">
        <f t="shared" si="30"/>
        <v>PASS</v>
      </c>
      <c r="E202" s="3" t="str">
        <f t="shared" si="31"/>
        <v>PASS</v>
      </c>
      <c r="F202" s="3" t="str">
        <f t="shared" si="32"/>
        <v>PASS</v>
      </c>
      <c r="G202" s="3" t="str">
        <f t="shared" si="33"/>
        <v>PASS</v>
      </c>
      <c r="H202" s="3">
        <v>165824292.84999999</v>
      </c>
      <c r="I202" s="4">
        <v>0</v>
      </c>
      <c r="J202" s="3">
        <v>141260476.81999999</v>
      </c>
      <c r="K202" s="3">
        <v>9866.01</v>
      </c>
      <c r="L202" s="3">
        <v>0</v>
      </c>
      <c r="M202" t="s">
        <v>29</v>
      </c>
      <c r="N202" t="s">
        <v>46</v>
      </c>
      <c r="O202" s="4">
        <v>0.29068717531177313</v>
      </c>
      <c r="P202" s="4">
        <v>0.70931282468822698</v>
      </c>
      <c r="Q202" t="s">
        <v>209</v>
      </c>
      <c r="R202" s="4">
        <v>2.5846604461081211E-5</v>
      </c>
      <c r="S202" s="3">
        <v>650603</v>
      </c>
      <c r="T202" s="4">
        <v>3.9234480594982383E-3</v>
      </c>
    </row>
    <row r="203" spans="1:20" x14ac:dyDescent="0.4">
      <c r="A203" s="2">
        <v>45869</v>
      </c>
      <c r="B203" t="s">
        <v>35</v>
      </c>
      <c r="C203" t="s">
        <v>28</v>
      </c>
      <c r="D203" s="3" t="str">
        <f t="shared" si="30"/>
        <v>PASS</v>
      </c>
      <c r="E203" s="3" t="str">
        <f t="shared" si="31"/>
        <v>PASS</v>
      </c>
      <c r="F203" s="3" t="str">
        <f t="shared" si="32"/>
        <v>PASS</v>
      </c>
      <c r="G203" s="3" t="str">
        <f t="shared" si="33"/>
        <v>FAIL</v>
      </c>
      <c r="H203" s="3">
        <v>137652420.90000001</v>
      </c>
      <c r="I203" s="4">
        <v>0</v>
      </c>
      <c r="J203" s="3">
        <v>118693327.92</v>
      </c>
      <c r="K203" s="3">
        <v>7664.17</v>
      </c>
      <c r="L203" s="3">
        <v>0</v>
      </c>
      <c r="M203" t="s">
        <v>29</v>
      </c>
      <c r="N203" t="s">
        <v>42</v>
      </c>
      <c r="O203" s="4">
        <v>0.26684312265089949</v>
      </c>
      <c r="P203" s="4">
        <v>0.7331568773491004</v>
      </c>
      <c r="Q203" t="s">
        <v>210</v>
      </c>
      <c r="R203" s="4">
        <v>2.2689473767405341E-5</v>
      </c>
      <c r="S203" s="3">
        <v>36106363.990000002</v>
      </c>
      <c r="T203" s="4">
        <v>0.26230097337866731</v>
      </c>
    </row>
    <row r="204" spans="1:20" x14ac:dyDescent="0.4">
      <c r="A204" s="2">
        <v>45869</v>
      </c>
      <c r="B204" t="s">
        <v>36</v>
      </c>
      <c r="C204" t="s">
        <v>28</v>
      </c>
      <c r="D204" s="3" t="str">
        <f t="shared" si="30"/>
        <v>PASS</v>
      </c>
      <c r="E204" s="3" t="str">
        <f t="shared" si="31"/>
        <v>PASS</v>
      </c>
      <c r="F204" s="3" t="str">
        <f t="shared" si="32"/>
        <v>PASS</v>
      </c>
      <c r="G204" s="3" t="str">
        <f t="shared" si="33"/>
        <v>FAIL</v>
      </c>
      <c r="H204" s="3">
        <v>102824095.43000001</v>
      </c>
      <c r="I204" s="4">
        <v>0</v>
      </c>
      <c r="J204" s="3">
        <v>91439587.969999999</v>
      </c>
      <c r="K204" s="3">
        <v>5227.93</v>
      </c>
      <c r="L204" s="3">
        <v>0</v>
      </c>
      <c r="M204" t="s">
        <v>29</v>
      </c>
      <c r="N204" t="s">
        <v>42</v>
      </c>
      <c r="O204" s="4">
        <v>0.25787788630167863</v>
      </c>
      <c r="P204" s="4">
        <v>0.74212211369832137</v>
      </c>
      <c r="Q204" t="s">
        <v>211</v>
      </c>
      <c r="R204" s="4">
        <v>1.6890008386261909E-5</v>
      </c>
      <c r="S204" s="3">
        <v>18981490.870000001</v>
      </c>
      <c r="T204" s="4">
        <v>0.1846015838079714</v>
      </c>
    </row>
    <row r="205" spans="1:20" x14ac:dyDescent="0.4">
      <c r="A205" s="2">
        <v>45869</v>
      </c>
      <c r="B205" t="s">
        <v>37</v>
      </c>
      <c r="C205" t="s">
        <v>28</v>
      </c>
      <c r="D205" s="3" t="str">
        <f t="shared" si="30"/>
        <v>PASS</v>
      </c>
      <c r="E205" s="3" t="str">
        <f t="shared" si="31"/>
        <v>PASS</v>
      </c>
      <c r="F205" s="3" t="str">
        <f t="shared" si="32"/>
        <v>PASS</v>
      </c>
      <c r="G205" s="3" t="str">
        <f t="shared" si="33"/>
        <v>FAIL</v>
      </c>
      <c r="H205" s="3">
        <v>40630262.390000001</v>
      </c>
      <c r="I205" s="4">
        <v>0</v>
      </c>
      <c r="J205" s="3">
        <v>34585124.899999999</v>
      </c>
      <c r="K205" s="3">
        <v>2179.35</v>
      </c>
      <c r="L205" s="3">
        <v>0</v>
      </c>
      <c r="M205" t="s">
        <v>29</v>
      </c>
      <c r="N205" t="s">
        <v>46</v>
      </c>
      <c r="O205" s="4">
        <v>0.29319029927805762</v>
      </c>
      <c r="P205" s="4">
        <v>0.70680970072194249</v>
      </c>
      <c r="Q205" t="s">
        <v>212</v>
      </c>
      <c r="R205" s="4">
        <v>6.3719356287111773E-6</v>
      </c>
      <c r="S205" s="3">
        <v>11142788.99</v>
      </c>
      <c r="T205" s="4">
        <v>0.27424851168922021</v>
      </c>
    </row>
    <row r="206" spans="1:20" x14ac:dyDescent="0.4">
      <c r="A206" s="2">
        <v>45869</v>
      </c>
      <c r="B206" t="s">
        <v>38</v>
      </c>
      <c r="C206" t="s">
        <v>28</v>
      </c>
      <c r="D206" s="3" t="str">
        <f t="shared" si="30"/>
        <v>PASS</v>
      </c>
      <c r="E206" s="3" t="str">
        <f t="shared" si="31"/>
        <v>PASS</v>
      </c>
      <c r="F206" s="3" t="str">
        <f t="shared" si="32"/>
        <v>PASS</v>
      </c>
      <c r="G206" s="3" t="str">
        <f t="shared" si="33"/>
        <v>FAIL</v>
      </c>
      <c r="H206" s="3">
        <v>43606039.579999998</v>
      </c>
      <c r="I206" s="4">
        <v>0</v>
      </c>
      <c r="J206" s="3">
        <v>36416696.520000003</v>
      </c>
      <c r="K206" s="3">
        <v>6372.57</v>
      </c>
      <c r="L206" s="3">
        <v>0</v>
      </c>
      <c r="M206" t="s">
        <v>29</v>
      </c>
      <c r="N206" t="s">
        <v>42</v>
      </c>
      <c r="O206" s="4">
        <v>0.26590760654750351</v>
      </c>
      <c r="P206" s="4">
        <v>0.73409239345249655</v>
      </c>
      <c r="Q206" t="s">
        <v>213</v>
      </c>
      <c r="R206" s="4">
        <v>6.9273172121724262E-6</v>
      </c>
      <c r="S206" s="3">
        <v>14954470.02</v>
      </c>
      <c r="T206" s="4">
        <v>0.34294492607072019</v>
      </c>
    </row>
    <row r="207" spans="1:20" x14ac:dyDescent="0.4">
      <c r="A207" s="2">
        <v>45869</v>
      </c>
      <c r="B207" t="s">
        <v>39</v>
      </c>
      <c r="C207" t="s">
        <v>28</v>
      </c>
      <c r="D207" s="3" t="str">
        <f t="shared" si="30"/>
        <v>PASS</v>
      </c>
      <c r="E207" s="3" t="str">
        <f t="shared" si="31"/>
        <v>PASS</v>
      </c>
      <c r="F207" s="3" t="str">
        <f t="shared" si="32"/>
        <v>PASS</v>
      </c>
      <c r="G207" s="3" t="str">
        <f t="shared" si="33"/>
        <v>FAIL</v>
      </c>
      <c r="H207" s="3">
        <v>79177910.349999994</v>
      </c>
      <c r="I207" s="4">
        <v>0</v>
      </c>
      <c r="J207" s="3">
        <v>69716402.379999995</v>
      </c>
      <c r="K207" s="3">
        <v>5998.77</v>
      </c>
      <c r="L207" s="3">
        <v>0</v>
      </c>
      <c r="M207" t="s">
        <v>29</v>
      </c>
      <c r="N207" t="s">
        <v>42</v>
      </c>
      <c r="O207" s="4">
        <v>0.26137168539877831</v>
      </c>
      <c r="P207" s="4">
        <v>0.73862831460122169</v>
      </c>
      <c r="Q207" t="s">
        <v>214</v>
      </c>
      <c r="R207" s="4">
        <v>1.3032242464219539E-5</v>
      </c>
      <c r="S207" s="3">
        <v>18078833.059999999</v>
      </c>
      <c r="T207" s="4">
        <v>0.2283317781447361</v>
      </c>
    </row>
    <row r="208" spans="1:20" x14ac:dyDescent="0.4">
      <c r="A208" s="2">
        <v>45870</v>
      </c>
      <c r="B208" t="s">
        <v>27</v>
      </c>
      <c r="C208" t="s">
        <v>28</v>
      </c>
      <c r="D208" s="3" t="str">
        <f t="shared" si="30"/>
        <v>PASS</v>
      </c>
      <c r="E208" s="3" t="str">
        <f t="shared" si="31"/>
        <v>PASS</v>
      </c>
      <c r="F208" s="3" t="str">
        <f t="shared" si="32"/>
        <v>PASS</v>
      </c>
      <c r="G208" s="3" t="str">
        <f t="shared" si="33"/>
        <v>FAIL</v>
      </c>
      <c r="H208" s="3">
        <v>55088718.119999997</v>
      </c>
      <c r="I208" s="4">
        <v>0</v>
      </c>
      <c r="J208" s="3">
        <v>49136593.329999998</v>
      </c>
      <c r="K208" s="3">
        <v>10739.16</v>
      </c>
      <c r="L208" s="3">
        <v>0</v>
      </c>
      <c r="M208" t="s">
        <v>29</v>
      </c>
      <c r="N208" t="s">
        <v>215</v>
      </c>
      <c r="O208" s="4">
        <v>0.27111804435710563</v>
      </c>
      <c r="P208" s="4">
        <v>0.72888195564289437</v>
      </c>
      <c r="Q208" t="s">
        <v>216</v>
      </c>
      <c r="R208" s="4">
        <v>7.7122618798777787E-5</v>
      </c>
      <c r="S208" s="3">
        <v>10483515.710000001</v>
      </c>
      <c r="T208" s="4">
        <v>0.1903024079660687</v>
      </c>
    </row>
    <row r="209" spans="1:20" x14ac:dyDescent="0.4">
      <c r="A209" s="2">
        <v>45870</v>
      </c>
      <c r="B209" t="s">
        <v>30</v>
      </c>
      <c r="C209" t="s">
        <v>28</v>
      </c>
      <c r="D209" s="3" t="str">
        <f t="shared" si="30"/>
        <v>PASS</v>
      </c>
      <c r="E209" s="3" t="str">
        <f t="shared" si="31"/>
        <v>PASS</v>
      </c>
      <c r="F209" s="3" t="str">
        <f t="shared" si="32"/>
        <v>PASS</v>
      </c>
      <c r="G209" s="3" t="str">
        <f t="shared" si="33"/>
        <v>FAIL</v>
      </c>
      <c r="H209" s="3">
        <v>34264244.549999997</v>
      </c>
      <c r="I209" s="4">
        <v>0</v>
      </c>
      <c r="J209" s="3">
        <v>31717928.300000001</v>
      </c>
      <c r="K209" s="3">
        <v>6973.23</v>
      </c>
      <c r="L209" s="3">
        <v>0</v>
      </c>
      <c r="M209" t="s">
        <v>29</v>
      </c>
      <c r="N209" t="s">
        <v>42</v>
      </c>
      <c r="O209" s="4">
        <v>0.25652217172078029</v>
      </c>
      <c r="P209" s="4">
        <v>0.7434778282792196</v>
      </c>
      <c r="Q209" t="s">
        <v>217</v>
      </c>
      <c r="R209" s="4">
        <v>6.0173458485013032E-6</v>
      </c>
      <c r="S209" s="3">
        <v>4836555.41</v>
      </c>
      <c r="T209" s="4">
        <v>0.14115459055115809</v>
      </c>
    </row>
    <row r="210" spans="1:20" x14ac:dyDescent="0.4">
      <c r="A210" s="2">
        <v>45870</v>
      </c>
      <c r="B210" t="s">
        <v>31</v>
      </c>
      <c r="C210" t="s">
        <v>28</v>
      </c>
      <c r="D210" s="3" t="str">
        <f t="shared" si="30"/>
        <v>PASS</v>
      </c>
      <c r="E210" s="3" t="str">
        <f t="shared" si="31"/>
        <v>PASS</v>
      </c>
      <c r="F210" s="3" t="str">
        <f t="shared" si="32"/>
        <v>PASS</v>
      </c>
      <c r="G210" s="3" t="str">
        <f t="shared" si="33"/>
        <v>FAIL</v>
      </c>
      <c r="H210" s="3">
        <v>23446523.09</v>
      </c>
      <c r="I210" s="4">
        <v>0</v>
      </c>
      <c r="J210" s="3">
        <v>21119030.129999999</v>
      </c>
      <c r="K210" s="3">
        <v>4635.12</v>
      </c>
      <c r="L210" s="3">
        <v>0</v>
      </c>
      <c r="M210" t="s">
        <v>29</v>
      </c>
      <c r="N210" t="s">
        <v>42</v>
      </c>
      <c r="O210" s="4">
        <v>0.253418353828543</v>
      </c>
      <c r="P210" s="4">
        <v>0.74658164617145695</v>
      </c>
      <c r="Q210" t="s">
        <v>218</v>
      </c>
      <c r="R210" s="4">
        <v>3.9581618236680563E-6</v>
      </c>
      <c r="S210" s="3">
        <v>4306366.3</v>
      </c>
      <c r="T210" s="4">
        <v>0.18366758616916959</v>
      </c>
    </row>
    <row r="211" spans="1:20" x14ac:dyDescent="0.4">
      <c r="A211" s="2">
        <v>45870</v>
      </c>
      <c r="B211" t="s">
        <v>32</v>
      </c>
      <c r="C211" t="s">
        <v>28</v>
      </c>
      <c r="D211" s="3" t="str">
        <f t="shared" si="30"/>
        <v>PASS</v>
      </c>
      <c r="E211" s="3" t="str">
        <f t="shared" si="31"/>
        <v>PASS</v>
      </c>
      <c r="F211" s="3" t="str">
        <f t="shared" si="32"/>
        <v>PASS</v>
      </c>
      <c r="G211" s="3" t="str">
        <f t="shared" si="33"/>
        <v>PASS</v>
      </c>
      <c r="H211" s="3">
        <v>24267984.550000001</v>
      </c>
      <c r="I211" s="4">
        <v>0</v>
      </c>
      <c r="J211" s="3">
        <v>20299370.879999999</v>
      </c>
      <c r="K211" s="3">
        <v>4450.8599999999997</v>
      </c>
      <c r="L211" s="3">
        <v>0</v>
      </c>
      <c r="M211" t="s">
        <v>29</v>
      </c>
      <c r="N211" t="s">
        <v>46</v>
      </c>
      <c r="O211" s="4">
        <v>0.2843755293760119</v>
      </c>
      <c r="P211" s="4">
        <v>0.71562447062398804</v>
      </c>
      <c r="Q211" t="s">
        <v>219</v>
      </c>
      <c r="R211" s="4">
        <v>3.7466896053501189E-6</v>
      </c>
      <c r="S211" s="3">
        <v>15404</v>
      </c>
      <c r="T211" s="4">
        <v>6.3474574776750464E-4</v>
      </c>
    </row>
    <row r="212" spans="1:20" x14ac:dyDescent="0.4">
      <c r="A212" s="2">
        <v>45870</v>
      </c>
      <c r="B212" t="s">
        <v>33</v>
      </c>
      <c r="C212" t="s">
        <v>28</v>
      </c>
      <c r="D212" s="3" t="str">
        <f t="shared" si="30"/>
        <v>PASS</v>
      </c>
      <c r="E212" s="3" t="str">
        <f t="shared" si="31"/>
        <v>PASS</v>
      </c>
      <c r="F212" s="3" t="str">
        <f t="shared" si="32"/>
        <v>PASS</v>
      </c>
      <c r="G212" s="3" t="str">
        <f t="shared" si="33"/>
        <v>FAIL</v>
      </c>
      <c r="H212" s="3">
        <v>15256128.6</v>
      </c>
      <c r="I212" s="4">
        <v>0</v>
      </c>
      <c r="J212" s="3">
        <v>13396833.43</v>
      </c>
      <c r="K212" s="3">
        <v>2941.8</v>
      </c>
      <c r="L212" s="3">
        <v>0</v>
      </c>
      <c r="M212" t="s">
        <v>29</v>
      </c>
      <c r="N212" t="s">
        <v>42</v>
      </c>
      <c r="O212" s="4">
        <v>0.25334593265895372</v>
      </c>
      <c r="P212" s="4">
        <v>0.74665406734104622</v>
      </c>
      <c r="Q212" t="s">
        <v>220</v>
      </c>
      <c r="R212" s="4">
        <v>2.509897540642183E-6</v>
      </c>
      <c r="S212" s="3">
        <v>4278176.84</v>
      </c>
      <c r="T212" s="4">
        <v>0.28042349092416541</v>
      </c>
    </row>
    <row r="213" spans="1:20" x14ac:dyDescent="0.4">
      <c r="A213" s="2">
        <v>45870</v>
      </c>
      <c r="B213" t="s">
        <v>34</v>
      </c>
      <c r="C213" t="s">
        <v>28</v>
      </c>
      <c r="D213" s="3" t="str">
        <f t="shared" si="30"/>
        <v>PASS</v>
      </c>
      <c r="E213" s="3" t="str">
        <f t="shared" si="31"/>
        <v>PASS</v>
      </c>
      <c r="F213" s="3" t="str">
        <f t="shared" si="32"/>
        <v>PASS</v>
      </c>
      <c r="G213" s="3" t="str">
        <f t="shared" si="33"/>
        <v>PASS</v>
      </c>
      <c r="H213" s="3">
        <v>164708693.21000001</v>
      </c>
      <c r="I213" s="4">
        <v>0</v>
      </c>
      <c r="J213" s="3">
        <v>140522527.88999999</v>
      </c>
      <c r="K213" s="3">
        <v>30769.35</v>
      </c>
      <c r="L213" s="3">
        <v>0</v>
      </c>
      <c r="M213" t="s">
        <v>29</v>
      </c>
      <c r="N213" t="s">
        <v>46</v>
      </c>
      <c r="O213" s="4">
        <v>0.28333172088368991</v>
      </c>
      <c r="P213" s="4">
        <v>0.71666827911631015</v>
      </c>
      <c r="Q213" t="s">
        <v>221</v>
      </c>
      <c r="R213" s="4">
        <v>2.5846604461081211E-5</v>
      </c>
      <c r="S213" s="3">
        <v>133010</v>
      </c>
      <c r="T213" s="4">
        <v>8.0754693275609407E-4</v>
      </c>
    </row>
    <row r="214" spans="1:20" x14ac:dyDescent="0.4">
      <c r="A214" s="2">
        <v>45870</v>
      </c>
      <c r="B214" t="s">
        <v>35</v>
      </c>
      <c r="C214" t="s">
        <v>28</v>
      </c>
      <c r="D214" s="3" t="str">
        <f t="shared" si="30"/>
        <v>PASS</v>
      </c>
      <c r="E214" s="3" t="str">
        <f t="shared" si="31"/>
        <v>PASS</v>
      </c>
      <c r="F214" s="3" t="str">
        <f t="shared" si="32"/>
        <v>PASS</v>
      </c>
      <c r="G214" s="3" t="str">
        <f t="shared" si="33"/>
        <v>FAIL</v>
      </c>
      <c r="H214" s="3">
        <v>135096626.05000001</v>
      </c>
      <c r="I214" s="4">
        <v>0</v>
      </c>
      <c r="J214" s="3">
        <v>117647879.11</v>
      </c>
      <c r="K214" s="3">
        <v>25854.03</v>
      </c>
      <c r="L214" s="3">
        <v>0</v>
      </c>
      <c r="M214" t="s">
        <v>29</v>
      </c>
      <c r="N214" t="s">
        <v>42</v>
      </c>
      <c r="O214" s="4">
        <v>0.26070889770415678</v>
      </c>
      <c r="P214" s="4">
        <v>0.73929110229584316</v>
      </c>
      <c r="Q214" t="s">
        <v>222</v>
      </c>
      <c r="R214" s="4">
        <v>2.2689473767405341E-5</v>
      </c>
      <c r="S214" s="3">
        <v>35416405.119999997</v>
      </c>
      <c r="T214" s="4">
        <v>0.26215610378672372</v>
      </c>
    </row>
    <row r="215" spans="1:20" x14ac:dyDescent="0.4">
      <c r="A215" s="2">
        <v>45870</v>
      </c>
      <c r="B215" t="s">
        <v>36</v>
      </c>
      <c r="C215" t="s">
        <v>28</v>
      </c>
      <c r="D215" s="3" t="str">
        <f t="shared" si="30"/>
        <v>PASS</v>
      </c>
      <c r="E215" s="3" t="str">
        <f t="shared" si="31"/>
        <v>PASS</v>
      </c>
      <c r="F215" s="3" t="str">
        <f t="shared" si="32"/>
        <v>PASS</v>
      </c>
      <c r="G215" s="3" t="str">
        <f t="shared" si="33"/>
        <v>FAIL</v>
      </c>
      <c r="H215" s="3">
        <v>101125976.40000001</v>
      </c>
      <c r="I215" s="4">
        <v>0</v>
      </c>
      <c r="J215" s="3">
        <v>90904045.560000002</v>
      </c>
      <c r="K215" s="3">
        <v>19918.32</v>
      </c>
      <c r="L215" s="3">
        <v>0</v>
      </c>
      <c r="M215" t="s">
        <v>29</v>
      </c>
      <c r="N215" t="s">
        <v>42</v>
      </c>
      <c r="O215" s="4">
        <v>0.25118707962154202</v>
      </c>
      <c r="P215" s="4">
        <v>0.74881292037845804</v>
      </c>
      <c r="Q215" t="s">
        <v>223</v>
      </c>
      <c r="R215" s="4">
        <v>1.6890008386261909E-5</v>
      </c>
      <c r="S215" s="3">
        <v>19510693.73</v>
      </c>
      <c r="T215" s="4">
        <v>0.19293453991312959</v>
      </c>
    </row>
    <row r="216" spans="1:20" x14ac:dyDescent="0.4">
      <c r="A216" s="2">
        <v>45870</v>
      </c>
      <c r="B216" t="s">
        <v>37</v>
      </c>
      <c r="C216" t="s">
        <v>28</v>
      </c>
      <c r="D216" s="3" t="str">
        <f t="shared" si="30"/>
        <v>PASS</v>
      </c>
      <c r="E216" s="3" t="str">
        <f t="shared" si="31"/>
        <v>PASS</v>
      </c>
      <c r="F216" s="3" t="str">
        <f t="shared" si="32"/>
        <v>PASS</v>
      </c>
      <c r="G216" s="3" t="str">
        <f t="shared" si="33"/>
        <v>FAIL</v>
      </c>
      <c r="H216" s="3">
        <v>40048657.799999997</v>
      </c>
      <c r="I216" s="4">
        <v>0</v>
      </c>
      <c r="J216" s="3">
        <v>34352959.490000002</v>
      </c>
      <c r="K216" s="3">
        <v>7534.95</v>
      </c>
      <c r="L216" s="3">
        <v>0</v>
      </c>
      <c r="M216" t="s">
        <v>29</v>
      </c>
      <c r="N216" t="s">
        <v>46</v>
      </c>
      <c r="O216" s="4">
        <v>0.28577810720668129</v>
      </c>
      <c r="P216" s="4">
        <v>0.71422189279331871</v>
      </c>
      <c r="Q216" t="s">
        <v>224</v>
      </c>
      <c r="R216" s="4">
        <v>6.3719356287111773E-6</v>
      </c>
      <c r="S216" s="3">
        <v>11163183.99</v>
      </c>
      <c r="T216" s="4">
        <v>0.2787405272293545</v>
      </c>
    </row>
    <row r="217" spans="1:20" x14ac:dyDescent="0.4">
      <c r="A217" s="2">
        <v>45870</v>
      </c>
      <c r="B217" t="s">
        <v>38</v>
      </c>
      <c r="C217" t="s">
        <v>28</v>
      </c>
      <c r="D217" s="3" t="str">
        <f t="shared" si="30"/>
        <v>PASS</v>
      </c>
      <c r="E217" s="3" t="str">
        <f t="shared" si="31"/>
        <v>PASS</v>
      </c>
      <c r="F217" s="3" t="str">
        <f t="shared" si="32"/>
        <v>PASS</v>
      </c>
      <c r="G217" s="3" t="str">
        <f t="shared" si="33"/>
        <v>FAIL</v>
      </c>
      <c r="H217" s="3">
        <v>42901273.020000003</v>
      </c>
      <c r="I217" s="4">
        <v>0</v>
      </c>
      <c r="J217" s="3">
        <v>36079895.850000001</v>
      </c>
      <c r="K217" s="3">
        <v>7933.5</v>
      </c>
      <c r="L217" s="3">
        <v>0</v>
      </c>
      <c r="M217" t="s">
        <v>29</v>
      </c>
      <c r="N217" t="s">
        <v>46</v>
      </c>
      <c r="O217" s="4">
        <v>0.29575793052074462</v>
      </c>
      <c r="P217" s="4">
        <v>0.70424206947925549</v>
      </c>
      <c r="Q217" t="s">
        <v>225</v>
      </c>
      <c r="R217" s="4">
        <v>6.9273172121724262E-6</v>
      </c>
      <c r="S217" s="3">
        <v>14604628.32</v>
      </c>
      <c r="T217" s="4">
        <v>0.34042412478509709</v>
      </c>
    </row>
    <row r="218" spans="1:20" x14ac:dyDescent="0.4">
      <c r="A218" s="2">
        <v>45870</v>
      </c>
      <c r="B218" t="s">
        <v>39</v>
      </c>
      <c r="C218" t="s">
        <v>28</v>
      </c>
      <c r="D218" s="3" t="str">
        <f t="shared" si="30"/>
        <v>PASS</v>
      </c>
      <c r="E218" s="3" t="str">
        <f t="shared" si="31"/>
        <v>PASS</v>
      </c>
      <c r="F218" s="3" t="str">
        <f t="shared" si="32"/>
        <v>PASS</v>
      </c>
      <c r="G218" s="3" t="str">
        <f t="shared" si="33"/>
        <v>FAIL</v>
      </c>
      <c r="H218" s="3">
        <v>77872184.700000003</v>
      </c>
      <c r="I218" s="4">
        <v>0</v>
      </c>
      <c r="J218" s="3">
        <v>69115412.099999994</v>
      </c>
      <c r="K218" s="3">
        <v>15184.8</v>
      </c>
      <c r="L218" s="3">
        <v>0</v>
      </c>
      <c r="M218" t="s">
        <v>29</v>
      </c>
      <c r="N218" t="s">
        <v>42</v>
      </c>
      <c r="O218" s="4">
        <v>0.25494791848314829</v>
      </c>
      <c r="P218" s="4">
        <v>0.74505208151685176</v>
      </c>
      <c r="Q218" t="s">
        <v>226</v>
      </c>
      <c r="R218" s="4">
        <v>1.3032242464219539E-5</v>
      </c>
      <c r="S218" s="3">
        <v>17904710.34</v>
      </c>
      <c r="T218" s="4">
        <v>0.2299243357429524</v>
      </c>
    </row>
    <row r="219" spans="1:20" x14ac:dyDescent="0.4">
      <c r="A219" s="2">
        <v>45873</v>
      </c>
      <c r="B219" t="s">
        <v>27</v>
      </c>
      <c r="C219" t="s">
        <v>28</v>
      </c>
      <c r="D219" s="3" t="str">
        <f t="shared" si="30"/>
        <v>PASS</v>
      </c>
      <c r="E219" s="3" t="str">
        <f t="shared" si="31"/>
        <v>PASS</v>
      </c>
      <c r="F219" s="3" t="str">
        <f t="shared" si="32"/>
        <v>PASS</v>
      </c>
      <c r="G219" s="3" t="str">
        <f t="shared" si="33"/>
        <v>FAIL</v>
      </c>
      <c r="H219" s="3">
        <v>55474085.130000003</v>
      </c>
      <c r="I219" s="4">
        <v>0</v>
      </c>
      <c r="J219" s="3">
        <v>49517067.270000003</v>
      </c>
      <c r="K219" s="3">
        <v>3568.13</v>
      </c>
      <c r="L219" s="3">
        <v>0</v>
      </c>
      <c r="M219" t="s">
        <v>29</v>
      </c>
      <c r="N219" t="s">
        <v>227</v>
      </c>
      <c r="O219" s="4">
        <v>0.27304672742990582</v>
      </c>
      <c r="P219" s="4">
        <v>0.72695327257009423</v>
      </c>
      <c r="Q219" t="s">
        <v>228</v>
      </c>
      <c r="R219" s="4">
        <v>7.7410324038301202E-5</v>
      </c>
      <c r="S219" s="3">
        <v>10122329.970000001</v>
      </c>
      <c r="T219" s="4">
        <v>0.1824695251175204</v>
      </c>
    </row>
    <row r="220" spans="1:20" x14ac:dyDescent="0.4">
      <c r="A220" s="2">
        <v>45873</v>
      </c>
      <c r="B220" t="s">
        <v>30</v>
      </c>
      <c r="C220" t="s">
        <v>28</v>
      </c>
      <c r="D220" s="3" t="str">
        <f t="shared" si="30"/>
        <v>PASS</v>
      </c>
      <c r="E220" s="3" t="str">
        <f t="shared" si="31"/>
        <v>PASS</v>
      </c>
      <c r="F220" s="3" t="str">
        <f t="shared" si="32"/>
        <v>PASS</v>
      </c>
      <c r="G220" s="3" t="str">
        <f t="shared" si="33"/>
        <v>FAIL</v>
      </c>
      <c r="H220" s="3">
        <v>34524015.630000003</v>
      </c>
      <c r="I220" s="4">
        <v>0</v>
      </c>
      <c r="J220" s="3">
        <v>31979739.219999999</v>
      </c>
      <c r="K220" s="3">
        <v>2302.81</v>
      </c>
      <c r="L220" s="3">
        <v>0</v>
      </c>
      <c r="M220" t="s">
        <v>29</v>
      </c>
      <c r="N220" t="s">
        <v>42</v>
      </c>
      <c r="O220" s="4">
        <v>0.2560722416672665</v>
      </c>
      <c r="P220" s="4">
        <v>0.7439277583327335</v>
      </c>
      <c r="Q220" t="s">
        <v>229</v>
      </c>
      <c r="R220" s="4">
        <v>6.0130736824746782E-6</v>
      </c>
      <c r="S220" s="3">
        <v>4683557.2699999996</v>
      </c>
      <c r="T220" s="4">
        <v>0.13566084896364641</v>
      </c>
    </row>
    <row r="221" spans="1:20" x14ac:dyDescent="0.4">
      <c r="A221" s="2">
        <v>45873</v>
      </c>
      <c r="B221" t="s">
        <v>31</v>
      </c>
      <c r="C221" t="s">
        <v>28</v>
      </c>
      <c r="D221" s="3" t="str">
        <f t="shared" si="30"/>
        <v>PASS</v>
      </c>
      <c r="E221" s="3" t="str">
        <f t="shared" si="31"/>
        <v>PASS</v>
      </c>
      <c r="F221" s="3" t="str">
        <f t="shared" si="32"/>
        <v>PASS</v>
      </c>
      <c r="G221" s="3" t="str">
        <f t="shared" si="33"/>
        <v>FAIL</v>
      </c>
      <c r="H221" s="3">
        <v>23586731.77</v>
      </c>
      <c r="I221" s="4">
        <v>0</v>
      </c>
      <c r="J221" s="3">
        <v>21260642.690000001</v>
      </c>
      <c r="K221" s="3">
        <v>1534.01</v>
      </c>
      <c r="L221" s="3">
        <v>0</v>
      </c>
      <c r="M221" t="s">
        <v>29</v>
      </c>
      <c r="N221" t="s">
        <v>42</v>
      </c>
      <c r="O221" s="4">
        <v>0.25336712198891659</v>
      </c>
      <c r="P221" s="4">
        <v>0.74663287801108336</v>
      </c>
      <c r="Q221" t="s">
        <v>230</v>
      </c>
      <c r="R221" s="4">
        <v>3.9560257406547426E-6</v>
      </c>
      <c r="S221" s="3">
        <v>4196840.57</v>
      </c>
      <c r="T221" s="4">
        <v>0.17793226339810109</v>
      </c>
    </row>
    <row r="222" spans="1:20" x14ac:dyDescent="0.4">
      <c r="A222" s="2">
        <v>45873</v>
      </c>
      <c r="B222" t="s">
        <v>32</v>
      </c>
      <c r="C222" t="s">
        <v>28</v>
      </c>
      <c r="D222" s="3" t="str">
        <f t="shared" si="30"/>
        <v>PASS</v>
      </c>
      <c r="E222" s="3" t="str">
        <f t="shared" si="31"/>
        <v>PASS</v>
      </c>
      <c r="F222" s="3" t="str">
        <f t="shared" si="32"/>
        <v>PASS</v>
      </c>
      <c r="G222" s="3" t="str">
        <f t="shared" si="33"/>
        <v>PASS</v>
      </c>
      <c r="H222" s="3">
        <v>24407194.73</v>
      </c>
      <c r="I222" s="4">
        <v>0</v>
      </c>
      <c r="J222" s="3">
        <v>20438211.52</v>
      </c>
      <c r="K222" s="3">
        <v>1474.34</v>
      </c>
      <c r="L222" s="3">
        <v>0</v>
      </c>
      <c r="M222" t="s">
        <v>29</v>
      </c>
      <c r="N222" t="s">
        <v>46</v>
      </c>
      <c r="O222" s="4">
        <v>0.28821656602563628</v>
      </c>
      <c r="P222" s="4">
        <v>0.71178343397436372</v>
      </c>
      <c r="Q222" t="s">
        <v>231</v>
      </c>
      <c r="R222" s="4">
        <v>3.768050435483244E-6</v>
      </c>
      <c r="S222" s="3">
        <v>0</v>
      </c>
      <c r="T222" s="4">
        <v>0</v>
      </c>
    </row>
    <row r="223" spans="1:20" x14ac:dyDescent="0.4">
      <c r="A223" s="2">
        <v>45873</v>
      </c>
      <c r="B223" t="s">
        <v>33</v>
      </c>
      <c r="C223" t="s">
        <v>28</v>
      </c>
      <c r="D223" s="3" t="str">
        <f t="shared" si="30"/>
        <v>PASS</v>
      </c>
      <c r="E223" s="3" t="str">
        <f t="shared" si="31"/>
        <v>PASS</v>
      </c>
      <c r="F223" s="3" t="str">
        <f t="shared" si="32"/>
        <v>PASS</v>
      </c>
      <c r="G223" s="3" t="str">
        <f t="shared" si="33"/>
        <v>FAIL</v>
      </c>
      <c r="H223" s="3">
        <v>15353468.640000001</v>
      </c>
      <c r="I223" s="4">
        <v>0</v>
      </c>
      <c r="J223" s="3">
        <v>13493255.08</v>
      </c>
      <c r="K223" s="3">
        <v>973.36</v>
      </c>
      <c r="L223" s="3">
        <v>0</v>
      </c>
      <c r="M223" t="s">
        <v>29</v>
      </c>
      <c r="N223" t="s">
        <v>42</v>
      </c>
      <c r="O223" s="4">
        <v>0.25344086580478398</v>
      </c>
      <c r="P223" s="4">
        <v>0.74655913419521602</v>
      </c>
      <c r="Q223" t="s">
        <v>232</v>
      </c>
      <c r="R223" s="4">
        <v>2.5077614576288709E-6</v>
      </c>
      <c r="S223" s="3">
        <v>4233417.03</v>
      </c>
      <c r="T223" s="4">
        <v>0.27573033359841481</v>
      </c>
    </row>
    <row r="224" spans="1:20" x14ac:dyDescent="0.4">
      <c r="A224" s="2">
        <v>45873</v>
      </c>
      <c r="B224" t="s">
        <v>34</v>
      </c>
      <c r="C224" t="s">
        <v>28</v>
      </c>
      <c r="D224" s="3" t="str">
        <f t="shared" si="30"/>
        <v>PASS</v>
      </c>
      <c r="E224" s="3" t="str">
        <f t="shared" si="31"/>
        <v>PASS</v>
      </c>
      <c r="F224" s="3" t="str">
        <f t="shared" si="32"/>
        <v>PASS</v>
      </c>
      <c r="G224" s="3" t="str">
        <f t="shared" si="33"/>
        <v>PASS</v>
      </c>
      <c r="H224" s="3">
        <v>165497173.00999999</v>
      </c>
      <c r="I224" s="4">
        <v>0</v>
      </c>
      <c r="J224" s="3">
        <v>141314829.59999999</v>
      </c>
      <c r="K224" s="3">
        <v>10202.870000000001</v>
      </c>
      <c r="L224" s="3">
        <v>0</v>
      </c>
      <c r="M224" t="s">
        <v>29</v>
      </c>
      <c r="N224" t="s">
        <v>46</v>
      </c>
      <c r="O224" s="4">
        <v>0.28849189186582019</v>
      </c>
      <c r="P224" s="4">
        <v>0.71150810813417986</v>
      </c>
      <c r="Q224" t="s">
        <v>233</v>
      </c>
      <c r="R224" s="4">
        <v>2.6081573592545578E-5</v>
      </c>
      <c r="S224" s="3">
        <v>0</v>
      </c>
      <c r="T224" s="4">
        <v>0</v>
      </c>
    </row>
    <row r="225" spans="1:20" x14ac:dyDescent="0.4">
      <c r="A225" s="2">
        <v>45873</v>
      </c>
      <c r="B225" t="s">
        <v>35</v>
      </c>
      <c r="C225" t="s">
        <v>28</v>
      </c>
      <c r="D225" s="3" t="str">
        <f t="shared" si="30"/>
        <v>PASS</v>
      </c>
      <c r="E225" s="3" t="str">
        <f t="shared" si="31"/>
        <v>PASS</v>
      </c>
      <c r="F225" s="3" t="str">
        <f t="shared" si="32"/>
        <v>PASS</v>
      </c>
      <c r="G225" s="3" t="str">
        <f t="shared" si="33"/>
        <v>FAIL</v>
      </c>
      <c r="H225" s="3">
        <v>136047537.03</v>
      </c>
      <c r="I225" s="4">
        <v>0</v>
      </c>
      <c r="J225" s="3">
        <v>118606436.95</v>
      </c>
      <c r="K225" s="3">
        <v>8542.11</v>
      </c>
      <c r="L225" s="3">
        <v>0</v>
      </c>
      <c r="M225" t="s">
        <v>29</v>
      </c>
      <c r="N225" t="s">
        <v>42</v>
      </c>
      <c r="O225" s="4">
        <v>0.26030132481776741</v>
      </c>
      <c r="P225" s="4">
        <v>0.73969867518223253</v>
      </c>
      <c r="Q225" t="s">
        <v>234</v>
      </c>
      <c r="R225" s="4">
        <v>2.2668112937272209E-5</v>
      </c>
      <c r="S225" s="3">
        <v>35094309.649999999</v>
      </c>
      <c r="T225" s="4">
        <v>0.25795622924258682</v>
      </c>
    </row>
    <row r="226" spans="1:20" x14ac:dyDescent="0.4">
      <c r="A226" s="2">
        <v>45873</v>
      </c>
      <c r="B226" t="s">
        <v>36</v>
      </c>
      <c r="C226" t="s">
        <v>28</v>
      </c>
      <c r="D226" s="3" t="str">
        <f t="shared" si="30"/>
        <v>PASS</v>
      </c>
      <c r="E226" s="3" t="str">
        <f t="shared" si="31"/>
        <v>PASS</v>
      </c>
      <c r="F226" s="3" t="str">
        <f t="shared" si="32"/>
        <v>PASS</v>
      </c>
      <c r="G226" s="3" t="str">
        <f t="shared" si="33"/>
        <v>FAIL</v>
      </c>
      <c r="H226" s="3">
        <v>101647676.73</v>
      </c>
      <c r="I226" s="4">
        <v>0</v>
      </c>
      <c r="J226" s="3">
        <v>91430338.620000005</v>
      </c>
      <c r="K226" s="3">
        <v>6600.56</v>
      </c>
      <c r="L226" s="3">
        <v>0</v>
      </c>
      <c r="M226" t="s">
        <v>29</v>
      </c>
      <c r="N226" t="s">
        <v>42</v>
      </c>
      <c r="O226" s="4">
        <v>0.25141695018256938</v>
      </c>
      <c r="P226" s="4">
        <v>0.74858304981743062</v>
      </c>
      <c r="Q226" t="s">
        <v>235</v>
      </c>
      <c r="R226" s="4">
        <v>1.6877191888182039E-5</v>
      </c>
      <c r="S226" s="3">
        <v>18884183.59</v>
      </c>
      <c r="T226" s="4">
        <v>0.18578076939388199</v>
      </c>
    </row>
    <row r="227" spans="1:20" x14ac:dyDescent="0.4">
      <c r="A227" s="2">
        <v>45873</v>
      </c>
      <c r="B227" t="s">
        <v>37</v>
      </c>
      <c r="C227" t="s">
        <v>28</v>
      </c>
      <c r="D227" s="3" t="str">
        <f t="shared" si="30"/>
        <v>PASS</v>
      </c>
      <c r="E227" s="3" t="str">
        <f t="shared" si="31"/>
        <v>PASS</v>
      </c>
      <c r="F227" s="3" t="str">
        <f t="shared" si="32"/>
        <v>PASS</v>
      </c>
      <c r="G227" s="3" t="str">
        <f t="shared" si="33"/>
        <v>FAIL</v>
      </c>
      <c r="H227" s="3">
        <v>40282826.130000003</v>
      </c>
      <c r="I227" s="4">
        <v>0</v>
      </c>
      <c r="J227" s="3">
        <v>34587610.390000001</v>
      </c>
      <c r="K227" s="3">
        <v>2494.8000000000002</v>
      </c>
      <c r="L227" s="3">
        <v>0</v>
      </c>
      <c r="M227" t="s">
        <v>29</v>
      </c>
      <c r="N227" t="s">
        <v>46</v>
      </c>
      <c r="O227" s="4">
        <v>0.2862830666342544</v>
      </c>
      <c r="P227" s="4">
        <v>0.7137169333657456</v>
      </c>
      <c r="Q227" t="s">
        <v>236</v>
      </c>
      <c r="R227" s="4">
        <v>6.3676634626845524E-6</v>
      </c>
      <c r="S227" s="3">
        <v>11002264.23</v>
      </c>
      <c r="T227" s="4">
        <v>0.27312543053691651</v>
      </c>
    </row>
    <row r="228" spans="1:20" x14ac:dyDescent="0.4">
      <c r="A228" s="2">
        <v>45873</v>
      </c>
      <c r="B228" t="s">
        <v>38</v>
      </c>
      <c r="C228" t="s">
        <v>28</v>
      </c>
      <c r="D228" s="3" t="str">
        <f t="shared" si="30"/>
        <v>PASS</v>
      </c>
      <c r="E228" s="3" t="str">
        <f t="shared" si="31"/>
        <v>PASS</v>
      </c>
      <c r="F228" s="3" t="str">
        <f t="shared" si="32"/>
        <v>PASS</v>
      </c>
      <c r="G228" s="3" t="str">
        <f t="shared" si="33"/>
        <v>FAIL</v>
      </c>
      <c r="H228" s="3">
        <v>43209752.149999999</v>
      </c>
      <c r="I228" s="4">
        <v>0</v>
      </c>
      <c r="J228" s="3">
        <v>36390866.649999999</v>
      </c>
      <c r="K228" s="3">
        <v>2620.0500000000002</v>
      </c>
      <c r="L228" s="3">
        <v>0</v>
      </c>
      <c r="M228" t="s">
        <v>29</v>
      </c>
      <c r="N228" t="s">
        <v>46</v>
      </c>
      <c r="O228" s="4">
        <v>0.29570882918228059</v>
      </c>
      <c r="P228" s="4">
        <v>0.70429117081771941</v>
      </c>
      <c r="Q228" t="s">
        <v>237</v>
      </c>
      <c r="R228" s="4">
        <v>6.9209089631324892E-6</v>
      </c>
      <c r="S228" s="3">
        <v>14578209.539999999</v>
      </c>
      <c r="T228" s="4">
        <v>0.33738239204410708</v>
      </c>
    </row>
    <row r="229" spans="1:20" x14ac:dyDescent="0.4">
      <c r="A229" s="2">
        <v>45873</v>
      </c>
      <c r="B229" t="s">
        <v>39</v>
      </c>
      <c r="C229" t="s">
        <v>28</v>
      </c>
      <c r="D229" s="3" t="str">
        <f t="shared" si="30"/>
        <v>PASS</v>
      </c>
      <c r="E229" s="3" t="str">
        <f t="shared" si="31"/>
        <v>PASS</v>
      </c>
      <c r="F229" s="3" t="str">
        <f t="shared" si="32"/>
        <v>PASS</v>
      </c>
      <c r="G229" s="3" t="str">
        <f t="shared" si="33"/>
        <v>FAIL</v>
      </c>
      <c r="H229" s="3">
        <v>78432478.260000005</v>
      </c>
      <c r="I229" s="4">
        <v>0</v>
      </c>
      <c r="J229" s="3">
        <v>69677886.129999995</v>
      </c>
      <c r="K229" s="3">
        <v>5017.97</v>
      </c>
      <c r="L229" s="3">
        <v>0</v>
      </c>
      <c r="M229" t="s">
        <v>29</v>
      </c>
      <c r="N229" t="s">
        <v>42</v>
      </c>
      <c r="O229" s="4">
        <v>0.25490016153565542</v>
      </c>
      <c r="P229" s="4">
        <v>0.74509983846434458</v>
      </c>
      <c r="Q229" t="s">
        <v>238</v>
      </c>
      <c r="R229" s="4">
        <v>1.3023698132166289E-5</v>
      </c>
      <c r="S229" s="3">
        <v>17672445.059999999</v>
      </c>
      <c r="T229" s="4">
        <v>0.2253204979883037</v>
      </c>
    </row>
    <row r="230" spans="1:20" x14ac:dyDescent="0.4">
      <c r="A230" s="2">
        <v>45874</v>
      </c>
      <c r="B230" t="s">
        <v>27</v>
      </c>
      <c r="C230" t="s">
        <v>28</v>
      </c>
      <c r="D230" s="3" t="str">
        <f t="shared" si="30"/>
        <v>PASS</v>
      </c>
      <c r="E230" s="3" t="str">
        <f t="shared" si="31"/>
        <v>PASS</v>
      </c>
      <c r="F230" s="3" t="str">
        <f t="shared" si="32"/>
        <v>PASS</v>
      </c>
      <c r="G230" s="3" t="str">
        <f t="shared" si="33"/>
        <v>FAIL</v>
      </c>
      <c r="H230" s="3">
        <v>54851621.439999998</v>
      </c>
      <c r="I230" s="4">
        <v>0</v>
      </c>
      <c r="J230" s="3">
        <v>49528626.68</v>
      </c>
      <c r="K230" s="3">
        <v>3595.75</v>
      </c>
      <c r="L230" s="3">
        <v>0</v>
      </c>
      <c r="M230" t="s">
        <v>29</v>
      </c>
      <c r="N230" t="s">
        <v>239</v>
      </c>
      <c r="O230" s="4">
        <v>0.27275631438929288</v>
      </c>
      <c r="P230" s="4">
        <v>0.72724368561070718</v>
      </c>
      <c r="Q230" t="s">
        <v>240</v>
      </c>
      <c r="R230" s="4">
        <v>7.7410324038301202E-5</v>
      </c>
      <c r="S230" s="3">
        <v>10146157.880000001</v>
      </c>
      <c r="T230" s="4">
        <v>0.18497462087056951</v>
      </c>
    </row>
    <row r="231" spans="1:20" x14ac:dyDescent="0.4">
      <c r="A231" s="2">
        <v>45874</v>
      </c>
      <c r="B231" t="s">
        <v>30</v>
      </c>
      <c r="C231" t="s">
        <v>28</v>
      </c>
      <c r="D231" s="3" t="str">
        <f t="shared" si="30"/>
        <v>PASS</v>
      </c>
      <c r="E231" s="3" t="str">
        <f t="shared" si="31"/>
        <v>PASS</v>
      </c>
      <c r="F231" s="3" t="str">
        <f t="shared" si="32"/>
        <v>PASS</v>
      </c>
      <c r="G231" s="3" t="str">
        <f t="shared" si="33"/>
        <v>FAIL</v>
      </c>
      <c r="H231" s="3">
        <v>34454079.609999999</v>
      </c>
      <c r="I231" s="4">
        <v>0</v>
      </c>
      <c r="J231" s="3">
        <v>31907481.379999999</v>
      </c>
      <c r="K231" s="3">
        <v>2321.8200000000002</v>
      </c>
      <c r="L231" s="3">
        <v>0</v>
      </c>
      <c r="M231" t="s">
        <v>29</v>
      </c>
      <c r="N231" t="s">
        <v>42</v>
      </c>
      <c r="O231" s="4">
        <v>0.25606910281302808</v>
      </c>
      <c r="P231" s="4">
        <v>0.74393089718697192</v>
      </c>
      <c r="Q231" t="s">
        <v>241</v>
      </c>
      <c r="R231" s="4">
        <v>6.0130736824746782E-6</v>
      </c>
      <c r="S231" s="3">
        <v>4693886.5599999996</v>
      </c>
      <c r="T231" s="4">
        <v>0.13623601655107451</v>
      </c>
    </row>
    <row r="232" spans="1:20" x14ac:dyDescent="0.4">
      <c r="A232" s="2">
        <v>45874</v>
      </c>
      <c r="B232" t="s">
        <v>31</v>
      </c>
      <c r="C232" t="s">
        <v>28</v>
      </c>
      <c r="D232" s="3" t="str">
        <f t="shared" si="30"/>
        <v>PASS</v>
      </c>
      <c r="E232" s="3" t="str">
        <f t="shared" si="31"/>
        <v>PASS</v>
      </c>
      <c r="F232" s="3" t="str">
        <f t="shared" si="32"/>
        <v>PASS</v>
      </c>
      <c r="G232" s="3" t="str">
        <f t="shared" si="33"/>
        <v>FAIL</v>
      </c>
      <c r="H232" s="3">
        <v>23549999.82</v>
      </c>
      <c r="I232" s="4">
        <v>0</v>
      </c>
      <c r="J232" s="3">
        <v>21222367.210000001</v>
      </c>
      <c r="K232" s="3">
        <v>1544.29</v>
      </c>
      <c r="L232" s="3">
        <v>0</v>
      </c>
      <c r="M232" t="s">
        <v>29</v>
      </c>
      <c r="N232" t="s">
        <v>42</v>
      </c>
      <c r="O232" s="4">
        <v>0.25325571161860982</v>
      </c>
      <c r="P232" s="4">
        <v>0.74674428838139018</v>
      </c>
      <c r="Q232" t="s">
        <v>242</v>
      </c>
      <c r="R232" s="4">
        <v>3.9560257406547426E-6</v>
      </c>
      <c r="S232" s="3">
        <v>4204096.0699999994</v>
      </c>
      <c r="T232" s="4">
        <v>0.17851788119461651</v>
      </c>
    </row>
    <row r="233" spans="1:20" x14ac:dyDescent="0.4">
      <c r="A233" s="2">
        <v>45874</v>
      </c>
      <c r="B233" t="s">
        <v>32</v>
      </c>
      <c r="C233" t="s">
        <v>28</v>
      </c>
      <c r="D233" s="3" t="str">
        <f t="shared" si="30"/>
        <v>PASS</v>
      </c>
      <c r="E233" s="3" t="str">
        <f t="shared" si="31"/>
        <v>PASS</v>
      </c>
      <c r="F233" s="3" t="str">
        <f t="shared" si="32"/>
        <v>PASS</v>
      </c>
      <c r="G233" s="3" t="str">
        <f t="shared" si="33"/>
        <v>PASS</v>
      </c>
      <c r="H233" s="3">
        <v>24369470.620000001</v>
      </c>
      <c r="I233" s="4">
        <v>0</v>
      </c>
      <c r="J233" s="3">
        <v>20399003.539999999</v>
      </c>
      <c r="K233" s="3">
        <v>1484.42</v>
      </c>
      <c r="L233" s="3">
        <v>0</v>
      </c>
      <c r="M233" t="s">
        <v>29</v>
      </c>
      <c r="N233" t="s">
        <v>46</v>
      </c>
      <c r="O233" s="4">
        <v>0.28631997188231278</v>
      </c>
      <c r="P233" s="4">
        <v>0.71368002811768716</v>
      </c>
      <c r="Q233" t="s">
        <v>243</v>
      </c>
      <c r="R233" s="4">
        <v>3.768050435483244E-6</v>
      </c>
      <c r="S233" s="3">
        <v>78620</v>
      </c>
      <c r="T233" s="4">
        <v>3.226167741841575E-3</v>
      </c>
    </row>
    <row r="234" spans="1:20" x14ac:dyDescent="0.4">
      <c r="A234" s="2">
        <v>45874</v>
      </c>
      <c r="B234" t="s">
        <v>33</v>
      </c>
      <c r="C234" t="s">
        <v>28</v>
      </c>
      <c r="D234" s="3" t="str">
        <f t="shared" si="30"/>
        <v>PASS</v>
      </c>
      <c r="E234" s="3" t="str">
        <f t="shared" si="31"/>
        <v>PASS</v>
      </c>
      <c r="F234" s="3" t="str">
        <f t="shared" si="32"/>
        <v>PASS</v>
      </c>
      <c r="G234" s="3" t="str">
        <f t="shared" si="33"/>
        <v>FAIL</v>
      </c>
      <c r="H234" s="3">
        <v>15324734.970000001</v>
      </c>
      <c r="I234" s="4">
        <v>0</v>
      </c>
      <c r="J234" s="3">
        <v>13463541.76</v>
      </c>
      <c r="K234" s="3">
        <v>980.36</v>
      </c>
      <c r="L234" s="3">
        <v>0</v>
      </c>
      <c r="M234" t="s">
        <v>29</v>
      </c>
      <c r="N234" t="s">
        <v>42</v>
      </c>
      <c r="O234" s="4">
        <v>0.2533897551486482</v>
      </c>
      <c r="P234" s="4">
        <v>0.74661024485135186</v>
      </c>
      <c r="Q234" t="s">
        <v>244</v>
      </c>
      <c r="R234" s="4">
        <v>2.5077614576288709E-6</v>
      </c>
      <c r="S234" s="3">
        <v>4232202.4899999993</v>
      </c>
      <c r="T234" s="4">
        <v>0.27616807065734189</v>
      </c>
    </row>
    <row r="235" spans="1:20" x14ac:dyDescent="0.4">
      <c r="A235" s="2">
        <v>45874</v>
      </c>
      <c r="B235" t="s">
        <v>34</v>
      </c>
      <c r="C235" t="s">
        <v>28</v>
      </c>
      <c r="D235" s="3" t="str">
        <f t="shared" si="30"/>
        <v>PASS</v>
      </c>
      <c r="E235" s="3" t="str">
        <f t="shared" si="31"/>
        <v>PASS</v>
      </c>
      <c r="F235" s="3" t="str">
        <f t="shared" si="32"/>
        <v>PASS</v>
      </c>
      <c r="G235" s="3" t="str">
        <f t="shared" si="33"/>
        <v>PASS</v>
      </c>
      <c r="H235" s="3">
        <v>165305076.34999999</v>
      </c>
      <c r="I235" s="4">
        <v>0</v>
      </c>
      <c r="J235" s="3">
        <v>141103382.75999999</v>
      </c>
      <c r="K235" s="3">
        <v>10260.39</v>
      </c>
      <c r="L235" s="3">
        <v>0</v>
      </c>
      <c r="M235" t="s">
        <v>29</v>
      </c>
      <c r="N235" t="s">
        <v>46</v>
      </c>
      <c r="O235" s="4">
        <v>0.28621703002465998</v>
      </c>
      <c r="P235" s="4">
        <v>0.71378296997533996</v>
      </c>
      <c r="Q235" t="s">
        <v>245</v>
      </c>
      <c r="R235" s="4">
        <v>2.6081573592545578E-5</v>
      </c>
      <c r="S235" s="3">
        <v>669816</v>
      </c>
      <c r="T235" s="4">
        <v>4.0519989754083559E-3</v>
      </c>
    </row>
    <row r="236" spans="1:20" x14ac:dyDescent="0.4">
      <c r="A236" s="2">
        <v>45874</v>
      </c>
      <c r="B236" t="s">
        <v>35</v>
      </c>
      <c r="C236" t="s">
        <v>28</v>
      </c>
      <c r="D236" s="3" t="str">
        <f t="shared" si="30"/>
        <v>PASS</v>
      </c>
      <c r="E236" s="3" t="str">
        <f t="shared" si="31"/>
        <v>PASS</v>
      </c>
      <c r="F236" s="3" t="str">
        <f t="shared" si="32"/>
        <v>PASS</v>
      </c>
      <c r="G236" s="3" t="str">
        <f t="shared" si="33"/>
        <v>FAIL</v>
      </c>
      <c r="H236" s="3">
        <v>135804460.88</v>
      </c>
      <c r="I236" s="4">
        <v>0</v>
      </c>
      <c r="J236" s="3">
        <v>118354749.63</v>
      </c>
      <c r="K236" s="3">
        <v>8611.7000000000007</v>
      </c>
      <c r="L236" s="3">
        <v>0</v>
      </c>
      <c r="M236" t="s">
        <v>29</v>
      </c>
      <c r="N236" t="s">
        <v>42</v>
      </c>
      <c r="O236" s="4">
        <v>0.2602617124052633</v>
      </c>
      <c r="P236" s="4">
        <v>0.7397382875947367</v>
      </c>
      <c r="Q236" t="s">
        <v>246</v>
      </c>
      <c r="R236" s="4">
        <v>2.2668112937272209E-5</v>
      </c>
      <c r="S236" s="3">
        <v>35083236.409999996</v>
      </c>
      <c r="T236" s="4">
        <v>0.25833640649698808</v>
      </c>
    </row>
    <row r="237" spans="1:20" x14ac:dyDescent="0.4">
      <c r="A237" s="2">
        <v>45874</v>
      </c>
      <c r="B237" t="s">
        <v>36</v>
      </c>
      <c r="C237" t="s">
        <v>28</v>
      </c>
      <c r="D237" s="3" t="str">
        <f t="shared" si="30"/>
        <v>PASS</v>
      </c>
      <c r="E237" s="3" t="str">
        <f t="shared" si="31"/>
        <v>PASS</v>
      </c>
      <c r="F237" s="3" t="str">
        <f t="shared" si="32"/>
        <v>PASS</v>
      </c>
      <c r="G237" s="3" t="str">
        <f t="shared" si="33"/>
        <v>FAIL</v>
      </c>
      <c r="H237" s="3">
        <v>101514286.91</v>
      </c>
      <c r="I237" s="4">
        <v>0</v>
      </c>
      <c r="J237" s="3">
        <v>91290310.709999993</v>
      </c>
      <c r="K237" s="3">
        <v>6638.77</v>
      </c>
      <c r="L237" s="3">
        <v>0</v>
      </c>
      <c r="M237" t="s">
        <v>29</v>
      </c>
      <c r="N237" t="s">
        <v>42</v>
      </c>
      <c r="O237" s="4">
        <v>0.25122632677695272</v>
      </c>
      <c r="P237" s="4">
        <v>0.74877367322304722</v>
      </c>
      <c r="Q237" t="s">
        <v>247</v>
      </c>
      <c r="R237" s="4">
        <v>1.6877191888182039E-5</v>
      </c>
      <c r="S237" s="3">
        <v>18891943.829999998</v>
      </c>
      <c r="T237" s="4">
        <v>0.18610133021718531</v>
      </c>
    </row>
    <row r="238" spans="1:20" x14ac:dyDescent="0.4">
      <c r="A238" s="2">
        <v>45874</v>
      </c>
      <c r="B238" t="s">
        <v>37</v>
      </c>
      <c r="C238" t="s">
        <v>28</v>
      </c>
      <c r="D238" s="3" t="str">
        <f t="shared" si="30"/>
        <v>PASS</v>
      </c>
      <c r="E238" s="3" t="str">
        <f t="shared" si="31"/>
        <v>PASS</v>
      </c>
      <c r="F238" s="3" t="str">
        <f t="shared" si="32"/>
        <v>PASS</v>
      </c>
      <c r="G238" s="3" t="str">
        <f t="shared" si="33"/>
        <v>FAIL</v>
      </c>
      <c r="H238" s="3">
        <v>40215570.5</v>
      </c>
      <c r="I238" s="4">
        <v>0</v>
      </c>
      <c r="J238" s="3">
        <v>34517843.600000001</v>
      </c>
      <c r="K238" s="3">
        <v>2511.84</v>
      </c>
      <c r="L238" s="3">
        <v>0</v>
      </c>
      <c r="M238" t="s">
        <v>29</v>
      </c>
      <c r="N238" t="s">
        <v>46</v>
      </c>
      <c r="O238" s="4">
        <v>0.28603048105820839</v>
      </c>
      <c r="P238" s="4">
        <v>0.71396951894179161</v>
      </c>
      <c r="Q238" t="s">
        <v>248</v>
      </c>
      <c r="R238" s="4">
        <v>6.3676634626845524E-6</v>
      </c>
      <c r="S238" s="3">
        <v>11001821.470000001</v>
      </c>
      <c r="T238" s="4">
        <v>0.2735711897957534</v>
      </c>
    </row>
    <row r="239" spans="1:20" x14ac:dyDescent="0.4">
      <c r="A239" s="2">
        <v>45874</v>
      </c>
      <c r="B239" t="s">
        <v>38</v>
      </c>
      <c r="C239" t="s">
        <v>28</v>
      </c>
      <c r="D239" s="3" t="str">
        <f t="shared" si="30"/>
        <v>PASS</v>
      </c>
      <c r="E239" s="3" t="str">
        <f t="shared" si="31"/>
        <v>PASS</v>
      </c>
      <c r="F239" s="3" t="str">
        <f t="shared" si="32"/>
        <v>PASS</v>
      </c>
      <c r="G239" s="3" t="str">
        <f t="shared" si="33"/>
        <v>FAIL</v>
      </c>
      <c r="H239" s="3">
        <v>43121992.310000002</v>
      </c>
      <c r="I239" s="4">
        <v>0</v>
      </c>
      <c r="J239" s="3">
        <v>36300464.729999997</v>
      </c>
      <c r="K239" s="3">
        <v>2642.63</v>
      </c>
      <c r="L239" s="3">
        <v>0</v>
      </c>
      <c r="M239" t="s">
        <v>29</v>
      </c>
      <c r="N239" t="s">
        <v>46</v>
      </c>
      <c r="O239" s="4">
        <v>0.29559018182850688</v>
      </c>
      <c r="P239" s="4">
        <v>0.70440981817149306</v>
      </c>
      <c r="Q239" t="s">
        <v>249</v>
      </c>
      <c r="R239" s="4">
        <v>6.9209089631324892E-6</v>
      </c>
      <c r="S239" s="3">
        <v>14567842.779999999</v>
      </c>
      <c r="T239" s="4">
        <v>0.33782861133300912</v>
      </c>
    </row>
    <row r="240" spans="1:20" x14ac:dyDescent="0.4">
      <c r="A240" s="2">
        <v>45874</v>
      </c>
      <c r="B240" t="s">
        <v>39</v>
      </c>
      <c r="C240" t="s">
        <v>28</v>
      </c>
      <c r="D240" s="3" t="str">
        <f t="shared" si="30"/>
        <v>PASS</v>
      </c>
      <c r="E240" s="3" t="str">
        <f t="shared" si="31"/>
        <v>PASS</v>
      </c>
      <c r="F240" s="3" t="str">
        <f t="shared" si="32"/>
        <v>PASS</v>
      </c>
      <c r="G240" s="3" t="str">
        <f t="shared" si="33"/>
        <v>FAIL</v>
      </c>
      <c r="H240" s="3">
        <v>78279887.719999999</v>
      </c>
      <c r="I240" s="4">
        <v>0</v>
      </c>
      <c r="J240" s="3">
        <v>69520236.780000001</v>
      </c>
      <c r="K240" s="3">
        <v>5058.8100000000004</v>
      </c>
      <c r="L240" s="3">
        <v>0</v>
      </c>
      <c r="M240" t="s">
        <v>29</v>
      </c>
      <c r="N240" t="s">
        <v>42</v>
      </c>
      <c r="O240" s="4">
        <v>0.25484696817225078</v>
      </c>
      <c r="P240" s="4">
        <v>0.74515303182774917</v>
      </c>
      <c r="Q240" t="s">
        <v>250</v>
      </c>
      <c r="R240" s="4">
        <v>1.3023698132166289E-5</v>
      </c>
      <c r="S240" s="3">
        <v>17673617.539999999</v>
      </c>
      <c r="T240" s="4">
        <v>0.22577469200284131</v>
      </c>
    </row>
    <row r="241" spans="1:20" x14ac:dyDescent="0.4">
      <c r="A241" s="2">
        <v>45875</v>
      </c>
      <c r="B241" t="s">
        <v>27</v>
      </c>
      <c r="C241" t="s">
        <v>28</v>
      </c>
      <c r="D241" s="3" t="str">
        <f t="shared" si="30"/>
        <v>PASS</v>
      </c>
      <c r="E241" s="3" t="str">
        <f t="shared" si="31"/>
        <v>PASS</v>
      </c>
      <c r="F241" s="3" t="str">
        <f t="shared" si="32"/>
        <v>PASS</v>
      </c>
      <c r="G241" s="3" t="str">
        <f t="shared" si="33"/>
        <v>FAIL</v>
      </c>
      <c r="H241" s="3">
        <v>54857099.450000003</v>
      </c>
      <c r="I241" s="4">
        <v>0</v>
      </c>
      <c r="J241" s="3">
        <v>49530508.780000001</v>
      </c>
      <c r="K241" s="3">
        <v>3596.59</v>
      </c>
      <c r="L241" s="3">
        <v>0</v>
      </c>
      <c r="M241" t="s">
        <v>29</v>
      </c>
      <c r="N241" t="s">
        <v>251</v>
      </c>
      <c r="O241" s="4">
        <v>0.27552896984394759</v>
      </c>
      <c r="P241" s="4">
        <v>0.72447103015605241</v>
      </c>
      <c r="Q241" t="s">
        <v>252</v>
      </c>
      <c r="R241" s="4">
        <v>7.7410324038301202E-5</v>
      </c>
      <c r="S241" s="3">
        <v>10058203.369999999</v>
      </c>
      <c r="T241" s="4">
        <v>0.18335281068164461</v>
      </c>
    </row>
    <row r="242" spans="1:20" x14ac:dyDescent="0.4">
      <c r="A242" s="2">
        <v>45875</v>
      </c>
      <c r="B242" t="s">
        <v>30</v>
      </c>
      <c r="C242" t="s">
        <v>28</v>
      </c>
      <c r="D242" s="3" t="str">
        <f t="shared" si="30"/>
        <v>PASS</v>
      </c>
      <c r="E242" s="3" t="str">
        <f t="shared" si="31"/>
        <v>PASS</v>
      </c>
      <c r="F242" s="3" t="str">
        <f t="shared" si="32"/>
        <v>PASS</v>
      </c>
      <c r="G242" s="3" t="str">
        <f t="shared" si="33"/>
        <v>FAIL</v>
      </c>
      <c r="H242" s="3">
        <v>34646834.020000003</v>
      </c>
      <c r="I242" s="4">
        <v>0</v>
      </c>
      <c r="J242" s="3">
        <v>32097919.219999999</v>
      </c>
      <c r="K242" s="3">
        <v>2316.5700000000002</v>
      </c>
      <c r="L242" s="3">
        <v>0</v>
      </c>
      <c r="M242" t="s">
        <v>29</v>
      </c>
      <c r="N242" t="s">
        <v>42</v>
      </c>
      <c r="O242" s="4">
        <v>0.25868548434835281</v>
      </c>
      <c r="P242" s="4">
        <v>0.74131451565164719</v>
      </c>
      <c r="Q242" t="s">
        <v>253</v>
      </c>
      <c r="R242" s="4">
        <v>6.030162346581178E-6</v>
      </c>
      <c r="S242" s="3">
        <v>4678238.0199999996</v>
      </c>
      <c r="T242" s="4">
        <v>0.13502642167245271</v>
      </c>
    </row>
    <row r="243" spans="1:20" x14ac:dyDescent="0.4">
      <c r="A243" s="2">
        <v>45875</v>
      </c>
      <c r="B243" t="s">
        <v>31</v>
      </c>
      <c r="C243" t="s">
        <v>28</v>
      </c>
      <c r="D243" s="3" t="str">
        <f t="shared" si="30"/>
        <v>PASS</v>
      </c>
      <c r="E243" s="3" t="str">
        <f t="shared" si="31"/>
        <v>PASS</v>
      </c>
      <c r="F243" s="3" t="str">
        <f t="shared" si="32"/>
        <v>PASS</v>
      </c>
      <c r="G243" s="3" t="str">
        <f t="shared" si="33"/>
        <v>FAIL</v>
      </c>
      <c r="H243" s="3">
        <v>23661074.609999999</v>
      </c>
      <c r="I243" s="4">
        <v>0</v>
      </c>
      <c r="J243" s="3">
        <v>21331901.199999999</v>
      </c>
      <c r="K243" s="3">
        <v>1541.51</v>
      </c>
      <c r="L243" s="3">
        <v>0</v>
      </c>
      <c r="M243" t="s">
        <v>29</v>
      </c>
      <c r="N243" t="s">
        <v>42</v>
      </c>
      <c r="O243" s="4">
        <v>0.25596108517509919</v>
      </c>
      <c r="P243" s="4">
        <v>0.74403891482490081</v>
      </c>
      <c r="Q243" t="s">
        <v>254</v>
      </c>
      <c r="R243" s="4">
        <v>3.9667061557213062E-6</v>
      </c>
      <c r="S243" s="3">
        <v>4186859.25</v>
      </c>
      <c r="T243" s="4">
        <v>0.1769513565639359</v>
      </c>
    </row>
    <row r="244" spans="1:20" x14ac:dyDescent="0.4">
      <c r="A244" s="2">
        <v>45875</v>
      </c>
      <c r="B244" t="s">
        <v>32</v>
      </c>
      <c r="C244" t="s">
        <v>28</v>
      </c>
      <c r="D244" s="3" t="str">
        <f t="shared" si="30"/>
        <v>PASS</v>
      </c>
      <c r="E244" s="3" t="str">
        <f t="shared" si="31"/>
        <v>PASS</v>
      </c>
      <c r="F244" s="3" t="str">
        <f t="shared" si="32"/>
        <v>PASS</v>
      </c>
      <c r="G244" s="3" t="str">
        <f t="shared" si="33"/>
        <v>PASS</v>
      </c>
      <c r="H244" s="3">
        <v>24482754.010000002</v>
      </c>
      <c r="I244" s="4">
        <v>0</v>
      </c>
      <c r="J244" s="3">
        <v>20510805.91</v>
      </c>
      <c r="K244" s="3">
        <v>1481.57</v>
      </c>
      <c r="L244" s="3">
        <v>0</v>
      </c>
      <c r="M244" t="s">
        <v>29</v>
      </c>
      <c r="N244" t="s">
        <v>46</v>
      </c>
      <c r="O244" s="4">
        <v>0.28968161544072651</v>
      </c>
      <c r="P244" s="4">
        <v>0.71031838455927354</v>
      </c>
      <c r="Q244" t="s">
        <v>255</v>
      </c>
      <c r="R244" s="4">
        <v>3.7765947675364939E-6</v>
      </c>
      <c r="S244" s="3">
        <v>95160</v>
      </c>
      <c r="T244" s="4">
        <v>3.8868176333892749E-3</v>
      </c>
    </row>
    <row r="245" spans="1:20" x14ac:dyDescent="0.4">
      <c r="A245" s="2">
        <v>45875</v>
      </c>
      <c r="B245" t="s">
        <v>33</v>
      </c>
      <c r="C245" t="s">
        <v>28</v>
      </c>
      <c r="D245" s="3" t="str">
        <f t="shared" si="30"/>
        <v>PASS</v>
      </c>
      <c r="E245" s="3" t="str">
        <f t="shared" si="31"/>
        <v>PASS</v>
      </c>
      <c r="F245" s="3" t="str">
        <f t="shared" si="32"/>
        <v>PASS</v>
      </c>
      <c r="G245" s="3" t="str">
        <f t="shared" si="33"/>
        <v>FAIL</v>
      </c>
      <c r="H245" s="3">
        <v>15402911.49</v>
      </c>
      <c r="I245" s="4">
        <v>0</v>
      </c>
      <c r="J245" s="3">
        <v>13540740.789999999</v>
      </c>
      <c r="K245" s="3">
        <v>978.2</v>
      </c>
      <c r="L245" s="3">
        <v>0</v>
      </c>
      <c r="M245" t="s">
        <v>29</v>
      </c>
      <c r="N245" t="s">
        <v>42</v>
      </c>
      <c r="O245" s="4">
        <v>0.25600727713213978</v>
      </c>
      <c r="P245" s="4">
        <v>0.74399272286786022</v>
      </c>
      <c r="Q245" t="s">
        <v>256</v>
      </c>
      <c r="R245" s="4">
        <v>2.5141697066688079E-6</v>
      </c>
      <c r="S245" s="3">
        <v>4240026.91</v>
      </c>
      <c r="T245" s="4">
        <v>0.275274379960746</v>
      </c>
    </row>
    <row r="246" spans="1:20" x14ac:dyDescent="0.4">
      <c r="A246" s="2">
        <v>45875</v>
      </c>
      <c r="B246" t="s">
        <v>34</v>
      </c>
      <c r="C246" t="s">
        <v>28</v>
      </c>
      <c r="D246" s="3" t="str">
        <f t="shared" si="30"/>
        <v>PASS</v>
      </c>
      <c r="E246" s="3" t="str">
        <f t="shared" si="31"/>
        <v>PASS</v>
      </c>
      <c r="F246" s="3" t="str">
        <f t="shared" si="32"/>
        <v>PASS</v>
      </c>
      <c r="G246" s="3" t="str">
        <f t="shared" si="33"/>
        <v>PASS</v>
      </c>
      <c r="H246" s="3">
        <v>165997447.84</v>
      </c>
      <c r="I246" s="4">
        <v>0</v>
      </c>
      <c r="J246" s="3">
        <v>141785509.75999999</v>
      </c>
      <c r="K246" s="3">
        <v>10245.040000000001</v>
      </c>
      <c r="L246" s="3">
        <v>0</v>
      </c>
      <c r="M246" t="s">
        <v>29</v>
      </c>
      <c r="N246" t="s">
        <v>46</v>
      </c>
      <c r="O246" s="4">
        <v>0.2898198409665188</v>
      </c>
      <c r="P246" s="4">
        <v>0.7101801590334812</v>
      </c>
      <c r="Q246" t="s">
        <v>257</v>
      </c>
      <c r="R246" s="4">
        <v>2.616060866403815E-5</v>
      </c>
      <c r="S246" s="3">
        <v>836413</v>
      </c>
      <c r="T246" s="4">
        <v>5.0387099975548631E-3</v>
      </c>
    </row>
    <row r="247" spans="1:20" x14ac:dyDescent="0.4">
      <c r="A247" s="2">
        <v>45875</v>
      </c>
      <c r="B247" t="s">
        <v>35</v>
      </c>
      <c r="C247" t="s">
        <v>28</v>
      </c>
      <c r="D247" s="3" t="str">
        <f t="shared" si="30"/>
        <v>PASS</v>
      </c>
      <c r="E247" s="3" t="str">
        <f t="shared" si="31"/>
        <v>PASS</v>
      </c>
      <c r="F247" s="3" t="str">
        <f t="shared" si="32"/>
        <v>PASS</v>
      </c>
      <c r="G247" s="3" t="str">
        <f t="shared" si="33"/>
        <v>FAIL</v>
      </c>
      <c r="H247" s="3">
        <v>136528632.44999999</v>
      </c>
      <c r="I247" s="4">
        <v>0</v>
      </c>
      <c r="J247" s="3">
        <v>119070328.31999999</v>
      </c>
      <c r="K247" s="3">
        <v>8593.43</v>
      </c>
      <c r="L247" s="3">
        <v>0</v>
      </c>
      <c r="M247" t="s">
        <v>29</v>
      </c>
      <c r="N247" t="s">
        <v>42</v>
      </c>
      <c r="O247" s="4">
        <v>0.26290586564832608</v>
      </c>
      <c r="P247" s="4">
        <v>0.73709413435167392</v>
      </c>
      <c r="Q247" t="s">
        <v>258</v>
      </c>
      <c r="R247" s="4">
        <v>2.2736467593698211E-5</v>
      </c>
      <c r="S247" s="3">
        <v>35214570.969999999</v>
      </c>
      <c r="T247" s="4">
        <v>0.25792810151303908</v>
      </c>
    </row>
    <row r="248" spans="1:20" x14ac:dyDescent="0.4">
      <c r="A248" s="2">
        <v>45875</v>
      </c>
      <c r="B248" t="s">
        <v>36</v>
      </c>
      <c r="C248" t="s">
        <v>28</v>
      </c>
      <c r="D248" s="3" t="str">
        <f t="shared" si="30"/>
        <v>PASS</v>
      </c>
      <c r="E248" s="3" t="str">
        <f t="shared" si="31"/>
        <v>PASS</v>
      </c>
      <c r="F248" s="3" t="str">
        <f t="shared" si="32"/>
        <v>PASS</v>
      </c>
      <c r="G248" s="3" t="str">
        <f t="shared" si="33"/>
        <v>FAIL</v>
      </c>
      <c r="H248" s="3">
        <v>101967636.5</v>
      </c>
      <c r="I248" s="4">
        <v>0</v>
      </c>
      <c r="J248" s="3">
        <v>91737032.370000005</v>
      </c>
      <c r="K248" s="3">
        <v>6628.61</v>
      </c>
      <c r="L248" s="3">
        <v>0</v>
      </c>
      <c r="M248" t="s">
        <v>29</v>
      </c>
      <c r="N248" t="s">
        <v>42</v>
      </c>
      <c r="O248" s="4">
        <v>0.2540700212101269</v>
      </c>
      <c r="P248" s="4">
        <v>0.7459299787898731</v>
      </c>
      <c r="Q248" t="s">
        <v>259</v>
      </c>
      <c r="R248" s="4">
        <v>1.692632179748822E-5</v>
      </c>
      <c r="S248" s="3">
        <v>18725875.850000001</v>
      </c>
      <c r="T248" s="4">
        <v>0.1836452868062701</v>
      </c>
    </row>
    <row r="249" spans="1:20" x14ac:dyDescent="0.4">
      <c r="A249" s="2">
        <v>45875</v>
      </c>
      <c r="B249" t="s">
        <v>37</v>
      </c>
      <c r="C249" t="s">
        <v>28</v>
      </c>
      <c r="D249" s="3" t="str">
        <f t="shared" si="30"/>
        <v>PASS</v>
      </c>
      <c r="E249" s="3" t="str">
        <f t="shared" si="31"/>
        <v>PASS</v>
      </c>
      <c r="F249" s="3" t="str">
        <f t="shared" si="32"/>
        <v>PASS</v>
      </c>
      <c r="G249" s="3" t="str">
        <f t="shared" si="33"/>
        <v>FAIL</v>
      </c>
      <c r="H249" s="3">
        <v>40406391.140000001</v>
      </c>
      <c r="I249" s="4">
        <v>0</v>
      </c>
      <c r="J249" s="3">
        <v>34706158.149999999</v>
      </c>
      <c r="K249" s="3">
        <v>2506.77</v>
      </c>
      <c r="L249" s="3">
        <v>0</v>
      </c>
      <c r="M249" t="s">
        <v>29</v>
      </c>
      <c r="N249" t="s">
        <v>46</v>
      </c>
      <c r="O249" s="4">
        <v>0.28939154563265879</v>
      </c>
      <c r="P249" s="4">
        <v>0.71060845436734121</v>
      </c>
      <c r="Q249" t="s">
        <v>260</v>
      </c>
      <c r="R249" s="4">
        <v>6.3826160437777401E-6</v>
      </c>
      <c r="S249" s="3">
        <v>10990469.369999999</v>
      </c>
      <c r="T249" s="4">
        <v>0.27199829185240132</v>
      </c>
    </row>
    <row r="250" spans="1:20" x14ac:dyDescent="0.4">
      <c r="A250" s="2">
        <v>45875</v>
      </c>
      <c r="B250" t="s">
        <v>38</v>
      </c>
      <c r="C250" t="s">
        <v>28</v>
      </c>
      <c r="D250" s="3" t="str">
        <f t="shared" si="30"/>
        <v>PASS</v>
      </c>
      <c r="E250" s="3" t="str">
        <f t="shared" si="31"/>
        <v>PASS</v>
      </c>
      <c r="F250" s="3" t="str">
        <f t="shared" si="32"/>
        <v>PASS</v>
      </c>
      <c r="G250" s="3" t="str">
        <f t="shared" si="33"/>
        <v>FAIL</v>
      </c>
      <c r="H250" s="3">
        <v>43353866.039999999</v>
      </c>
      <c r="I250" s="4">
        <v>0</v>
      </c>
      <c r="J250" s="3">
        <v>36529702.950000003</v>
      </c>
      <c r="K250" s="3">
        <v>2636.06</v>
      </c>
      <c r="L250" s="3">
        <v>0</v>
      </c>
      <c r="M250" t="s">
        <v>29</v>
      </c>
      <c r="N250" t="s">
        <v>42</v>
      </c>
      <c r="O250" s="4">
        <v>0.26190731507166548</v>
      </c>
      <c r="P250" s="4">
        <v>0.73809268492833446</v>
      </c>
      <c r="Q250" t="s">
        <v>261</v>
      </c>
      <c r="R250" s="4">
        <v>6.9379976272389889E-6</v>
      </c>
      <c r="S250" s="3">
        <v>14634067.119999999</v>
      </c>
      <c r="T250" s="4">
        <v>0.33754929967486702</v>
      </c>
    </row>
    <row r="251" spans="1:20" x14ac:dyDescent="0.4">
      <c r="A251" s="2">
        <v>45875</v>
      </c>
      <c r="B251" t="s">
        <v>39</v>
      </c>
      <c r="C251" t="s">
        <v>28</v>
      </c>
      <c r="D251" s="3" t="str">
        <f t="shared" si="30"/>
        <v>PASS</v>
      </c>
      <c r="E251" s="3" t="str">
        <f t="shared" si="31"/>
        <v>PASS</v>
      </c>
      <c r="F251" s="3" t="str">
        <f t="shared" si="32"/>
        <v>PASS</v>
      </c>
      <c r="G251" s="3" t="str">
        <f t="shared" si="33"/>
        <v>FAIL</v>
      </c>
      <c r="H251" s="3">
        <v>78713311.599999994</v>
      </c>
      <c r="I251" s="4">
        <v>0</v>
      </c>
      <c r="J251" s="3">
        <v>69948613.299999997</v>
      </c>
      <c r="K251" s="3">
        <v>5047.3599999999997</v>
      </c>
      <c r="L251" s="3">
        <v>0</v>
      </c>
      <c r="M251" t="s">
        <v>29</v>
      </c>
      <c r="N251" t="s">
        <v>42</v>
      </c>
      <c r="O251" s="4">
        <v>0.25739657786754161</v>
      </c>
      <c r="P251" s="4">
        <v>0.74260342213245845</v>
      </c>
      <c r="Q251" t="s">
        <v>262</v>
      </c>
      <c r="R251" s="4">
        <v>1.3055739377365979E-5</v>
      </c>
      <c r="S251" s="3">
        <v>17709252.379999999</v>
      </c>
      <c r="T251" s="4">
        <v>0.2249842119461786</v>
      </c>
    </row>
    <row r="252" spans="1:20" x14ac:dyDescent="0.4">
      <c r="A252" s="2">
        <v>45876</v>
      </c>
      <c r="B252" t="s">
        <v>27</v>
      </c>
      <c r="C252" t="s">
        <v>28</v>
      </c>
      <c r="D252" s="3" t="str">
        <f t="shared" si="30"/>
        <v>PASS</v>
      </c>
      <c r="E252" s="3" t="str">
        <f t="shared" si="31"/>
        <v>PASS</v>
      </c>
      <c r="F252" s="3" t="str">
        <f t="shared" si="32"/>
        <v>PASS</v>
      </c>
      <c r="G252" s="3" t="str">
        <f t="shared" si="33"/>
        <v>FAIL</v>
      </c>
      <c r="H252" s="3">
        <v>54619620.82</v>
      </c>
      <c r="I252" s="4">
        <v>0</v>
      </c>
      <c r="J252" s="3">
        <v>49289434.100000001</v>
      </c>
      <c r="K252" s="3">
        <v>3596.73</v>
      </c>
      <c r="L252" s="3">
        <v>0</v>
      </c>
      <c r="M252" t="s">
        <v>29</v>
      </c>
      <c r="N252" t="s">
        <v>263</v>
      </c>
      <c r="O252" s="4">
        <v>0.27567324961436313</v>
      </c>
      <c r="P252" s="4">
        <v>0.72432675038563699</v>
      </c>
      <c r="Q252" t="s">
        <v>264</v>
      </c>
      <c r="R252" s="4">
        <v>7.7410324038301202E-5</v>
      </c>
      <c r="S252" s="3">
        <v>10092237.41</v>
      </c>
      <c r="T252" s="4">
        <v>0.18477311373616381</v>
      </c>
    </row>
    <row r="253" spans="1:20" x14ac:dyDescent="0.4">
      <c r="A253" s="2">
        <v>45876</v>
      </c>
      <c r="B253" t="s">
        <v>30</v>
      </c>
      <c r="C253" t="s">
        <v>28</v>
      </c>
      <c r="D253" s="3" t="str">
        <f t="shared" si="30"/>
        <v>PASS</v>
      </c>
      <c r="E253" s="3" t="str">
        <f t="shared" si="31"/>
        <v>PASS</v>
      </c>
      <c r="F253" s="3" t="str">
        <f t="shared" si="32"/>
        <v>PASS</v>
      </c>
      <c r="G253" s="3" t="str">
        <f t="shared" si="33"/>
        <v>FAIL</v>
      </c>
      <c r="H253" s="3">
        <v>34614536.399999999</v>
      </c>
      <c r="I253" s="4">
        <v>0</v>
      </c>
      <c r="J253" s="3">
        <v>32063291.199999999</v>
      </c>
      <c r="K253" s="3">
        <v>2330.4</v>
      </c>
      <c r="L253" s="3">
        <v>0</v>
      </c>
      <c r="M253" t="s">
        <v>29</v>
      </c>
      <c r="N253" t="s">
        <v>42</v>
      </c>
      <c r="O253" s="4">
        <v>0.26042190827871098</v>
      </c>
      <c r="P253" s="4">
        <v>0.73957809172128908</v>
      </c>
      <c r="Q253" t="s">
        <v>265</v>
      </c>
      <c r="R253" s="4">
        <v>6.030162346581178E-6</v>
      </c>
      <c r="S253" s="3">
        <v>4652099.6499999994</v>
      </c>
      <c r="T253" s="4">
        <v>0.13439728315991539</v>
      </c>
    </row>
    <row r="254" spans="1:20" x14ac:dyDescent="0.4">
      <c r="A254" s="2">
        <v>45876</v>
      </c>
      <c r="B254" t="s">
        <v>31</v>
      </c>
      <c r="C254" t="s">
        <v>28</v>
      </c>
      <c r="D254" s="3" t="str">
        <f t="shared" si="30"/>
        <v>PASS</v>
      </c>
      <c r="E254" s="3" t="str">
        <f t="shared" si="31"/>
        <v>PASS</v>
      </c>
      <c r="F254" s="3" t="str">
        <f t="shared" si="32"/>
        <v>PASS</v>
      </c>
      <c r="G254" s="3" t="str">
        <f t="shared" si="33"/>
        <v>FAIL</v>
      </c>
      <c r="H254" s="3">
        <v>23641430.530000001</v>
      </c>
      <c r="I254" s="4">
        <v>0</v>
      </c>
      <c r="J254" s="3">
        <v>21310708.370000001</v>
      </c>
      <c r="K254" s="3">
        <v>1549.46</v>
      </c>
      <c r="L254" s="3">
        <v>0</v>
      </c>
      <c r="M254" t="s">
        <v>29</v>
      </c>
      <c r="N254" t="s">
        <v>42</v>
      </c>
      <c r="O254" s="4">
        <v>0.25760883189262102</v>
      </c>
      <c r="P254" s="4">
        <v>0.74239116810737904</v>
      </c>
      <c r="Q254" t="s">
        <v>266</v>
      </c>
      <c r="R254" s="4">
        <v>3.9667061557213062E-6</v>
      </c>
      <c r="S254" s="3">
        <v>4172546.06</v>
      </c>
      <c r="T254" s="4">
        <v>0.17649296030141709</v>
      </c>
    </row>
    <row r="255" spans="1:20" x14ac:dyDescent="0.4">
      <c r="A255" s="2">
        <v>45876</v>
      </c>
      <c r="B255" t="s">
        <v>32</v>
      </c>
      <c r="C255" t="s">
        <v>28</v>
      </c>
      <c r="D255" s="3" t="str">
        <f t="shared" si="30"/>
        <v>PASS</v>
      </c>
      <c r="E255" s="3" t="str">
        <f t="shared" si="31"/>
        <v>PASS</v>
      </c>
      <c r="F255" s="3" t="str">
        <f t="shared" si="32"/>
        <v>PASS</v>
      </c>
      <c r="G255" s="3" t="str">
        <f t="shared" si="33"/>
        <v>FAIL</v>
      </c>
      <c r="H255" s="3">
        <v>24463920.07</v>
      </c>
      <c r="I255" s="4">
        <v>0</v>
      </c>
      <c r="J255" s="3">
        <v>20490482.829999998</v>
      </c>
      <c r="K255" s="3">
        <v>1489.69</v>
      </c>
      <c r="L255" s="3">
        <v>0</v>
      </c>
      <c r="M255" t="s">
        <v>29</v>
      </c>
      <c r="N255" t="s">
        <v>46</v>
      </c>
      <c r="O255" s="4">
        <v>0.29163194735709408</v>
      </c>
      <c r="P255" s="4">
        <v>0.70836805264290592</v>
      </c>
      <c r="Q255" t="s">
        <v>267</v>
      </c>
      <c r="R255" s="4">
        <v>3.7765947675364939E-6</v>
      </c>
      <c r="S255" s="3">
        <v>7692820.3200000003</v>
      </c>
      <c r="T255" s="4">
        <v>0.31445574944604537</v>
      </c>
    </row>
    <row r="256" spans="1:20" x14ac:dyDescent="0.4">
      <c r="A256" s="2">
        <v>45876</v>
      </c>
      <c r="B256" t="s">
        <v>33</v>
      </c>
      <c r="C256" t="s">
        <v>28</v>
      </c>
      <c r="D256" s="3" t="str">
        <f t="shared" si="30"/>
        <v>PASS</v>
      </c>
      <c r="E256" s="3" t="str">
        <f t="shared" si="31"/>
        <v>PASS</v>
      </c>
      <c r="F256" s="3" t="str">
        <f t="shared" si="32"/>
        <v>PASS</v>
      </c>
      <c r="G256" s="3" t="str">
        <f t="shared" si="33"/>
        <v>FAIL</v>
      </c>
      <c r="H256" s="3">
        <v>15391144.42</v>
      </c>
      <c r="I256" s="4">
        <v>0</v>
      </c>
      <c r="J256" s="3">
        <v>13527990.630000001</v>
      </c>
      <c r="K256" s="3">
        <v>983.8</v>
      </c>
      <c r="L256" s="3">
        <v>0</v>
      </c>
      <c r="M256" t="s">
        <v>29</v>
      </c>
      <c r="N256" t="s">
        <v>42</v>
      </c>
      <c r="O256" s="4">
        <v>0.25779708645466443</v>
      </c>
      <c r="P256" s="4">
        <v>0.74220291354533563</v>
      </c>
      <c r="Q256" t="s">
        <v>268</v>
      </c>
      <c r="R256" s="4">
        <v>2.5141697066688079E-6</v>
      </c>
      <c r="S256" s="3">
        <v>4231872.21</v>
      </c>
      <c r="T256" s="4">
        <v>0.27495500623728147</v>
      </c>
    </row>
    <row r="257" spans="1:20" x14ac:dyDescent="0.4">
      <c r="A257" s="2">
        <v>45876</v>
      </c>
      <c r="B257" t="s">
        <v>34</v>
      </c>
      <c r="C257" t="s">
        <v>28</v>
      </c>
      <c r="D257" s="3" t="str">
        <f t="shared" si="30"/>
        <v>PASS</v>
      </c>
      <c r="E257" s="3" t="str">
        <f t="shared" si="31"/>
        <v>PASS</v>
      </c>
      <c r="F257" s="3" t="str">
        <f t="shared" si="32"/>
        <v>PASS</v>
      </c>
      <c r="G257" s="3" t="str">
        <f t="shared" si="33"/>
        <v>FAIL</v>
      </c>
      <c r="H257" s="3">
        <v>165870976.43000001</v>
      </c>
      <c r="I257" s="4">
        <v>0</v>
      </c>
      <c r="J257" s="3">
        <v>141647885.13</v>
      </c>
      <c r="K257" s="3">
        <v>10294.57</v>
      </c>
      <c r="L257" s="3">
        <v>0</v>
      </c>
      <c r="M257" t="s">
        <v>29</v>
      </c>
      <c r="N257" t="s">
        <v>46</v>
      </c>
      <c r="O257" s="4">
        <v>0.29160854757620203</v>
      </c>
      <c r="P257" s="4">
        <v>0.70839145242379797</v>
      </c>
      <c r="Q257" t="s">
        <v>269</v>
      </c>
      <c r="R257" s="4">
        <v>2.616060866403815E-5</v>
      </c>
      <c r="S257" s="3">
        <v>45766336.700000003</v>
      </c>
      <c r="T257" s="4">
        <v>0.27591527876074251</v>
      </c>
    </row>
    <row r="258" spans="1:20" x14ac:dyDescent="0.4">
      <c r="A258" s="2">
        <v>45876</v>
      </c>
      <c r="B258" t="s">
        <v>35</v>
      </c>
      <c r="C258" t="s">
        <v>28</v>
      </c>
      <c r="D258" s="3" t="str">
        <f t="shared" si="30"/>
        <v>PASS</v>
      </c>
      <c r="E258" s="3" t="str">
        <f t="shared" si="31"/>
        <v>PASS</v>
      </c>
      <c r="F258" s="3" t="str">
        <f t="shared" si="32"/>
        <v>PASS</v>
      </c>
      <c r="G258" s="3" t="str">
        <f t="shared" si="33"/>
        <v>FAIL</v>
      </c>
      <c r="H258" s="3">
        <v>136414495.44999999</v>
      </c>
      <c r="I258" s="4">
        <v>0</v>
      </c>
      <c r="J258" s="3">
        <v>118947546.48999999</v>
      </c>
      <c r="K258" s="3">
        <v>8645.3799999999992</v>
      </c>
      <c r="L258" s="3">
        <v>0</v>
      </c>
      <c r="M258" t="s">
        <v>29</v>
      </c>
      <c r="N258" t="s">
        <v>42</v>
      </c>
      <c r="O258" s="4">
        <v>0.26465465492091128</v>
      </c>
      <c r="P258" s="4">
        <v>0.73534534507908877</v>
      </c>
      <c r="Q258" t="s">
        <v>270</v>
      </c>
      <c r="R258" s="4">
        <v>2.2736467593698211E-5</v>
      </c>
      <c r="S258" s="3">
        <v>35120922.909999996</v>
      </c>
      <c r="T258" s="4">
        <v>0.25745741164928382</v>
      </c>
    </row>
    <row r="259" spans="1:20" x14ac:dyDescent="0.4">
      <c r="A259" s="2">
        <v>45876</v>
      </c>
      <c r="B259" t="s">
        <v>36</v>
      </c>
      <c r="C259" t="s">
        <v>28</v>
      </c>
      <c r="D259" s="3" t="str">
        <f t="shared" si="30"/>
        <v>PASS</v>
      </c>
      <c r="E259" s="3" t="str">
        <f t="shared" si="31"/>
        <v>PASS</v>
      </c>
      <c r="F259" s="3" t="str">
        <f t="shared" si="32"/>
        <v>PASS</v>
      </c>
      <c r="G259" s="3" t="str">
        <f t="shared" si="33"/>
        <v>FAIL</v>
      </c>
      <c r="H259" s="3">
        <v>101897399.8</v>
      </c>
      <c r="I259" s="4">
        <v>0</v>
      </c>
      <c r="J259" s="3">
        <v>91660135.310000002</v>
      </c>
      <c r="K259" s="3">
        <v>6661.04</v>
      </c>
      <c r="L259" s="3">
        <v>0</v>
      </c>
      <c r="M259" t="s">
        <v>29</v>
      </c>
      <c r="N259" t="s">
        <v>42</v>
      </c>
      <c r="O259" s="4">
        <v>0.2557228561874354</v>
      </c>
      <c r="P259" s="4">
        <v>0.7442771438125646</v>
      </c>
      <c r="Q259" t="s">
        <v>271</v>
      </c>
      <c r="R259" s="4">
        <v>1.692632179748822E-5</v>
      </c>
      <c r="S259" s="3">
        <v>18711495.789999999</v>
      </c>
      <c r="T259" s="4">
        <v>0.1836307484462425</v>
      </c>
    </row>
    <row r="260" spans="1:20" x14ac:dyDescent="0.4">
      <c r="A260" s="2">
        <v>45876</v>
      </c>
      <c r="B260" t="s">
        <v>37</v>
      </c>
      <c r="C260" t="s">
        <v>28</v>
      </c>
      <c r="D260" s="3" t="str">
        <f t="shared" si="30"/>
        <v>PASS</v>
      </c>
      <c r="E260" s="3" t="str">
        <f t="shared" si="31"/>
        <v>PASS</v>
      </c>
      <c r="F260" s="3" t="str">
        <f t="shared" si="32"/>
        <v>PASS</v>
      </c>
      <c r="G260" s="3" t="str">
        <f t="shared" si="33"/>
        <v>FAIL</v>
      </c>
      <c r="H260" s="3">
        <v>40374981.780000001</v>
      </c>
      <c r="I260" s="4">
        <v>0</v>
      </c>
      <c r="J260" s="3">
        <v>34672229.030000001</v>
      </c>
      <c r="K260" s="3">
        <v>2520.44</v>
      </c>
      <c r="L260" s="3">
        <v>0</v>
      </c>
      <c r="M260" t="s">
        <v>29</v>
      </c>
      <c r="N260" t="s">
        <v>42</v>
      </c>
      <c r="O260" s="4">
        <v>0.25543914215428221</v>
      </c>
      <c r="P260" s="4">
        <v>0.74456085784571779</v>
      </c>
      <c r="Q260" t="s">
        <v>272</v>
      </c>
      <c r="R260" s="4">
        <v>6.3826160437777401E-6</v>
      </c>
      <c r="S260" s="3">
        <v>10973098.029999999</v>
      </c>
      <c r="T260" s="4">
        <v>0.27177964041671943</v>
      </c>
    </row>
    <row r="261" spans="1:20" x14ac:dyDescent="0.4">
      <c r="A261" s="2">
        <v>45876</v>
      </c>
      <c r="B261" t="s">
        <v>38</v>
      </c>
      <c r="C261" t="s">
        <v>28</v>
      </c>
      <c r="D261" s="3" t="str">
        <f t="shared" si="30"/>
        <v>PASS</v>
      </c>
      <c r="E261" s="3" t="str">
        <f t="shared" si="31"/>
        <v>PASS</v>
      </c>
      <c r="F261" s="3" t="str">
        <f t="shared" si="32"/>
        <v>PASS</v>
      </c>
      <c r="G261" s="3" t="str">
        <f t="shared" si="33"/>
        <v>FAIL</v>
      </c>
      <c r="H261" s="3">
        <v>43316755.030000001</v>
      </c>
      <c r="I261" s="4">
        <v>0</v>
      </c>
      <c r="J261" s="3">
        <v>36489939.780000001</v>
      </c>
      <c r="K261" s="3">
        <v>2652.71</v>
      </c>
      <c r="L261" s="3">
        <v>0</v>
      </c>
      <c r="M261" t="s">
        <v>29</v>
      </c>
      <c r="N261" t="s">
        <v>42</v>
      </c>
      <c r="O261" s="4">
        <v>0.26379819035152158</v>
      </c>
      <c r="P261" s="4">
        <v>0.73620180964847837</v>
      </c>
      <c r="Q261" t="s">
        <v>273</v>
      </c>
      <c r="R261" s="4">
        <v>6.9379976272389889E-6</v>
      </c>
      <c r="S261" s="3">
        <v>14594847.439999999</v>
      </c>
      <c r="T261" s="4">
        <v>0.33693307427788638</v>
      </c>
    </row>
    <row r="262" spans="1:20" x14ac:dyDescent="0.4">
      <c r="A262" s="2">
        <v>45876</v>
      </c>
      <c r="B262" t="s">
        <v>39</v>
      </c>
      <c r="C262" t="s">
        <v>28</v>
      </c>
      <c r="D262" s="3" t="str">
        <f t="shared" si="30"/>
        <v>PASS</v>
      </c>
      <c r="E262" s="3" t="str">
        <f t="shared" si="31"/>
        <v>PASS</v>
      </c>
      <c r="F262" s="3" t="str">
        <f t="shared" si="32"/>
        <v>PASS</v>
      </c>
      <c r="G262" s="3" t="str">
        <f t="shared" si="33"/>
        <v>FAIL</v>
      </c>
      <c r="H262" s="3">
        <v>78650869.870000005</v>
      </c>
      <c r="I262" s="4">
        <v>0</v>
      </c>
      <c r="J262" s="3">
        <v>69881093.109999999</v>
      </c>
      <c r="K262" s="3">
        <v>5078.46</v>
      </c>
      <c r="L262" s="3">
        <v>0</v>
      </c>
      <c r="M262" t="s">
        <v>29</v>
      </c>
      <c r="N262" t="s">
        <v>42</v>
      </c>
      <c r="O262" s="4">
        <v>0.25923648820839118</v>
      </c>
      <c r="P262" s="4">
        <v>0.74076351179160882</v>
      </c>
      <c r="Q262" t="s">
        <v>274</v>
      </c>
      <c r="R262" s="4">
        <v>1.3055739377365979E-5</v>
      </c>
      <c r="S262" s="3">
        <v>17674411.48</v>
      </c>
      <c r="T262" s="4">
        <v>0.22471984746276269</v>
      </c>
    </row>
    <row r="263" spans="1:20" x14ac:dyDescent="0.4">
      <c r="A263" s="2">
        <v>45877</v>
      </c>
      <c r="B263" t="s">
        <v>27</v>
      </c>
      <c r="C263" t="s">
        <v>28</v>
      </c>
      <c r="D263" s="3" t="str">
        <f t="shared" si="30"/>
        <v>PASS</v>
      </c>
      <c r="E263" s="3" t="str">
        <f t="shared" si="31"/>
        <v>PASS</v>
      </c>
      <c r="F263" s="3" t="str">
        <f t="shared" si="32"/>
        <v>PASS</v>
      </c>
      <c r="G263" s="3" t="str">
        <f t="shared" si="33"/>
        <v>FAIL</v>
      </c>
      <c r="H263" s="3">
        <v>54806741.280000001</v>
      </c>
      <c r="I263" s="4">
        <v>0</v>
      </c>
      <c r="J263" s="3">
        <v>49465818.909999996</v>
      </c>
      <c r="K263" s="3">
        <v>10737.69</v>
      </c>
      <c r="L263" s="3">
        <v>0</v>
      </c>
      <c r="M263" t="s">
        <v>29</v>
      </c>
      <c r="N263" t="str">
        <f>N252</f>
        <v>EBAY, META, BK, MSFT, GOOGL, JPM, BLK, MLI, BKNG, RJF, EA, AMAT</v>
      </c>
      <c r="O263" s="4">
        <f>AVERAGE(O252,O241)</f>
        <v>0.27560110972915536</v>
      </c>
      <c r="P263" s="4">
        <v>1</v>
      </c>
      <c r="Q263" t="str">
        <f>Q252</f>
        <v>(PHM, 8,316, 1.84%, 0.00%), (HIG, 7,848, 1.83%, 0.00%), (NVDA, 5,476, 1.81%, 0.00%), (TRV, 3,729, 1.81%, 0.00%), (EWBC, 10,131, 1.81%, 0.01%), (AXP, 3,306, 1.78%, 0.00%), (V, 2,931, 1.78%, 0.00%), (ADP, 3,131, 1.74%, 0.00%), (ROST, 6,529, 1.74%, 0.00%), (KLAC, 1,037, 1.73%, 0.00%), (SNA, 2,922, 1.72%, 0.01%), (UNM, 13,184, 1.65%, 0.01%), (PCAR, 9,268, 1.64%, 0.00%), (CB, 3,307, 1.63%, 0.00%), (SYF, 12,239, 1.53%, 0.00%), (PAYC, 3,585, 1.53%, 0.01%), (WSM, 4,144, 1.51%, 0.00%), (LEN, 6,919, 1.51%, 0.00%), (CTSH, 11,845, 1.50%, 0.00%), (CRM, 3,358, 1.48%, 0.00%), (BKR, 17,432, 1.37%, 0.00%), (DHI, 4,597, 1.30%, 0.00%), (QCOM, 4,728, 1.26%, 0.00%), (ACN, 2,793, 1.24%, 0.00%), (AAPL, 3,052, 1.23%, 0.00%), (AFL, 6,474, 1.21%, 0.00%), (ELV, 2,245, 1.17%, 0.00%), (CSCO, 8,769, 1.12%, 0.00%), (LRCX, 6,038, 1.10%, 0.00%), (MPWR, 748, 1.09%, 0.00%), (ODFL, 4,016, 1.07%, 0.00%), (GE, 2,116, 1.05%, 0.00%), (STT, 4,860, 0.98%, 0.00%), (PNC, 2,603, 0.89%, 0.00%), (MTB, 2,586, 0.87%, 0.00%), (COST, 486, 0.87%, 0.00%), (AMP, 947, 0.86%, 0.00%), (ABT, 3,499, 0.85%, 0.00%), (CF, 5,555, 0.84%, 0.00%), (XOM, 4,069, 0.79%, 0.00%), (EOG, 3,661, 0.78%, 0.00%), (EG, 1,231, 0.74%, 0.00%), (CSL, 1,090, 0.71%, 0.00%), (GEV, 496, 0.59%, 0.00%), (NTRS, 2,256, 0.52%, 0.00%), (MA, 471, 0.48%, 0.00%), (JNJ, 1,511, 0.47%, 0.00%), (CRBG, 7,751, 0.47%, 0.00%), (ACM, 2,135, 0.47%, 0.00%), (CINF, 1,569, 0.44%, 0.00%), (LNC, 6,170, 0.43%, 0.00%), (MTG, 8,865, 0.43%, 0.00%), (DOV, 1,319, 0.42%, 0.00%), (ALL, 1,117, 0.42%, 0.00%), (SLM, 7,244, 0.42%, 0.00%), (JXN, 2,547, 0.41%, 0.00%), (WTFC, 1,817, 0.41%, 0.00%), (EQH, 4,374, 0.40%, 0.00%), (ADM, 3,757, 0.40%, 0.00%), (MCK, 326, 0.40%, 0.00%), (NUE, 1,508, 0.38%, 0.00%), (NKE, 2,750, 0.37%, 0.00%), (PGR, 823, 0.37%, 0.00%), (FANG, 1,174, 0.30%, 0.00%), (SC13N61B, nan, nan%, 0.00%), (SC13N63B, nan, nan%, 0.00%), (SP13N62B, nan, nan%, 0.00%), (SP13N65B, nan, nan%, 0.00%), (SP13N64B, nan, nan%, 0.00%), (SPX Index, nan, nan%, 0.00%), (XP13N65B, nan, nan%, 0.00%)</v>
      </c>
      <c r="R263" s="4">
        <f>AVERAGE(R239:R262)</f>
        <v>1.632250097217214E-5</v>
      </c>
      <c r="S263" s="3">
        <f>AVERAGE(S252,S241,S230)</f>
        <v>10098866.220000001</v>
      </c>
      <c r="T263" s="4">
        <f>AVERAGE(T252,T241,T230)</f>
        <v>0.1843668484294593</v>
      </c>
    </row>
    <row r="264" spans="1:20" x14ac:dyDescent="0.4">
      <c r="A264" s="2">
        <v>45877</v>
      </c>
      <c r="B264" t="s">
        <v>30</v>
      </c>
      <c r="C264" t="s">
        <v>28</v>
      </c>
      <c r="D264" s="3" t="str">
        <f t="shared" ref="D264:D327" si="34">IF(J264/H264&gt;=0.75,"PASS","FAIL")</f>
        <v>PASS</v>
      </c>
      <c r="E264" s="3" t="str">
        <f t="shared" ref="E264:E327" si="35">IF(L264=0,"PASS","FAIL")</f>
        <v>PASS</v>
      </c>
      <c r="F264" s="3" t="str">
        <f t="shared" ref="F264:F327" si="36">IF(R264="","",IF(R264&lt;=0.1,"PASS","FAIL"))</f>
        <v>PASS</v>
      </c>
      <c r="G264" s="3" t="str">
        <f t="shared" ref="G264:G327" si="37">IF(S264=0,"PASS",IF(S264&lt;=0.05*J264,"PASS","FAIL"))</f>
        <v>FAIL</v>
      </c>
      <c r="H264" s="3">
        <v>34816372.810000002</v>
      </c>
      <c r="I264" s="4">
        <v>0</v>
      </c>
      <c r="J264" s="3">
        <v>32258143.969999999</v>
      </c>
      <c r="K264" s="3">
        <v>6983.64</v>
      </c>
      <c r="L264" s="3">
        <v>0</v>
      </c>
      <c r="M264" t="s">
        <v>29</v>
      </c>
      <c r="N264" t="str">
        <f t="shared" ref="N264:N273" si="38">N253</f>
        <v>NVDA, MSFT, AAPL, AMZN</v>
      </c>
      <c r="O264" s="4">
        <f t="shared" ref="O264:O273" si="39">AVERAGE(O253,O242)</f>
        <v>0.25955369631353187</v>
      </c>
      <c r="P264" s="4">
        <v>1</v>
      </c>
      <c r="Q264" t="str">
        <f t="shared" ref="Q264:Q273" si="40">Q253</f>
        <v>(AVGO, 3,920, 3.39%, 0.00%), (META, 1,392, 3.04%, 0.00%), (BRK/B, 1,620, 2.16%, 0.00%), (GOOGL, 3,732, 2.10%, 0.00%), (CSCO, 9,836, 1.97%, 0.00%), (LIN, 1,392, 1.89%, 0.00%), (GOOG, 3,040, 1.72%, 0.00%), (TSLA, 1,863, 1.71%, 0.00%), (AMT, 2,823, 1.71%, 0.00%), (JPM, 2,051, 1.70%, 0.00%), (XOM, 4,965, 1.52%, 0.00%), (V, 1,527, 1.46%, 0.00%), (CB, 1,558, 1.21%, 0.00%), (WM, 1,745, 1.18%, 0.00%), (MA, 724, 1.17%, 0.00%), (GE, 1,453, 1.14%, 0.00%), (LLY, 585, 1.08%, 0.00%), (ORCL, 1,462, 1.04%, 0.00%), (PLTR, 1,864, 0.95%, 0.00%), (NEE, 4,483, 0.94%, 0.00%), (NFLX, 273, 0.92%, 0.00%), (JNJ, 1,787, 0.88%, 0.00%), (WMT, 2,974, 0.88%, 0.00%), (COST, 304, 0.85%, 0.00%), (CVX, 1,888, 0.83%, 0.00%), (PG, 1,880, 0.83%, 0.00%), (RTX, 1,787, 0.80%, 0.00%), (MCD, 888, 0.79%, 0.00%), (CAT, 648, 0.78%, 0.00%), (ABT, 2,050, 0.78%, 0.00%), (UNH, 1,088, 0.76%, 0.00%), (ABBV, 1,311, 0.75%, 0.00%), (HD, 672, 0.74%, 0.00%), (KO, 3,399, 0.69%, 0.00%), (AMD, 1,362, 0.68%, 0.00%), (PM, 1,363, 0.66%, 0.00%), (SO, 2,389, 0.66%, 0.00%), (BA, 1,004, 0.66%, 0.00%), (BKNG, 41, 0.64%, 0.00%), (BAC, 4,864, 0.63%, 0.00%), (NKE, 2,904, 0.62%, 0.00%), (DUK, 1,684, 0.61%, 0.00%), (IBM, 841, 0.61%, 0.00%), (CRM, 869, 0.60%, 0.00%), (UBER, 2,161, 0.57%, 0.00%), (ISRG, 421, 0.57%, 0.00%), (GS, 277, 0.57%, 0.00%), (INTU, 255, 0.56%, 0.00%), (ETN, 530, 0.55%, 0.00%), (HON, 873, 0.55%, 0.00%), (WFC, 2,426, 0.54%, 0.00%), (MET, 2,417, 0.52%, 0.00%), (DE, 342, 0.50%, 0.00%), (PEP, 1,203, 0.50%, 0.00%), (NOW, 187, 0.47%, 0.00%), (T, 5,789, 0.47%, 0.00%), (SPGI, 281, 0.45%, 0.00%), (MS, 1,096, 0.44%, 0.00%), (MRK, 1,877, 0.44%, 0.00%), (VZ, 3,396, 0.42%, 0.00%), (AXP, 492, 0.42%, 0.00%), (BLK, 129, 0.41%, 0.00%), (TXN, 766, 0.41%, 0.00%), (UNP, 622, 0.40%, 0.00%), (MDT, 1,516, 0.40%, 0.00%), (ACN, 568, 0.40%, 0.00%), (QCOM, 932, 0.39%, 0.00%), (ADBE, 400, 0.39%, 0.00%), (COP, 1,461, 0.39%, 0.00%), (DIS, 1,157, 0.38%, 0.00%), (TMO, 284, 0.37%, 0.00%), (SBUX, 1,405, 0.37%, 0.00%), (SCHW, 1,321, 0.37%, 0.00%), (AMAT, 692, 0.36%, 0.00%), (C, 1,378, 0.36%, 0.00%), (LMT, 283, 0.35%, 0.00%), (AMGN, 399, 0.33%, 0.00%), (MMM, 731, 0.32%, 0.00%), (GILD, 925, 0.29%, 0.00%), (EMR, 765, 0.29%, 0.00%), (PFE, 4,206, 0.29%, 0.00%), (TJX, 763, 0.29%, 0.00%), (CVS, 1,487, 0.27%, 0.00%), (DHR, 477, 0.27%, 0.00%), (MO, 1,486, 0.27%, 0.00%), (LOW, 384, 0.26%, 0.00%), (ELV, 274, 0.22%, 0.00%), (CMCSA, 2,438, 0.22%, 0.00%), (MDLZ, 1,172, 0.21%, 0.00%), (INTC, 3,620, 0.21%, 0.00%), (BMY, 1,505, 0.20%, 0.00%), (UPS, 751, 0.19%, 0.00%), (PYPL, 886, 0.17%, 0.00%), (CL, 652, 0.16%, 0.00%), (FDX, 231, 0.15%, 0.00%), (USB, 1,137, 0.14%, 0.00%), (TGT, 316, 0.09%, 0.00%), (SC31761B, nan, nan%, 0.00%), (SC31763B, nan, nan%, 0.00%), (SP31762B, nan, nan%, 0.00%), (SP31765B, nan, nan%, 0.00%), (SP31764B, nan, nan%, 0.00%), (XP31765B, nan, nan%, 0.00%)</v>
      </c>
      <c r="R264" s="4">
        <f t="shared" ref="R264:R274" si="41">AVERAGE(R240:R263)</f>
        <v>1.6714233972548793E-5</v>
      </c>
      <c r="S264" s="3">
        <f t="shared" ref="S264:T273" si="42">AVERAGE(S253,S242,S231)</f>
        <v>4674741.4099999992</v>
      </c>
      <c r="T264" s="4">
        <f t="shared" si="42"/>
        <v>0.1352199071278142</v>
      </c>
    </row>
    <row r="265" spans="1:20" x14ac:dyDescent="0.4">
      <c r="A265" s="2">
        <v>45877</v>
      </c>
      <c r="B265" t="s">
        <v>31</v>
      </c>
      <c r="C265" t="s">
        <v>28</v>
      </c>
      <c r="D265" s="3" t="str">
        <f t="shared" si="34"/>
        <v>PASS</v>
      </c>
      <c r="E265" s="3" t="str">
        <f t="shared" si="35"/>
        <v>PASS</v>
      </c>
      <c r="F265" s="3" t="str">
        <f t="shared" si="36"/>
        <v>PASS</v>
      </c>
      <c r="G265" s="3" t="str">
        <f t="shared" si="37"/>
        <v>FAIL</v>
      </c>
      <c r="H265" s="3">
        <v>23756099.629999999</v>
      </c>
      <c r="I265" s="4">
        <v>0</v>
      </c>
      <c r="J265" s="3">
        <v>21420735.809999999</v>
      </c>
      <c r="K265" s="3">
        <v>4643.79</v>
      </c>
      <c r="L265" s="3">
        <v>0</v>
      </c>
      <c r="M265" t="s">
        <v>29</v>
      </c>
      <c r="N265" t="str">
        <f t="shared" si="38"/>
        <v>NVDA, MSFT, AAPL, AMZN</v>
      </c>
      <c r="O265" s="4">
        <f t="shared" si="39"/>
        <v>0.25678495853386007</v>
      </c>
      <c r="P265" s="4">
        <v>1</v>
      </c>
      <c r="Q265" t="str">
        <f t="shared" si="40"/>
        <v>(AVGO, 2,579, 3.26%, 0.00%), (META, 916, 2.93%, 0.00%), (BRK/B, 1,066, 2.08%, 0.00%), (GOOGL, 2,455, 2.02%, 0.00%), (CSCO, 6,471, 1.89%, 0.00%), (LIN, 916, 1.82%, 0.00%), (GOOG, 2,000, 1.65%, 0.00%), (AMT, 1,857, 1.65%, 0.00%), (TSLA, 1,226, 1.65%, 0.00%), (JPM, 1,350, 1.64%, 0.00%), (XOM, 3,267, 1.46%, 0.00%), (V, 1,005, 1.41%, 0.00%), (CB, 1,025, 1.17%, 0.00%), (WM, 1,148, 1.13%, 0.00%), (MA, 477, 1.13%, 0.00%), (GE, 956, 1.10%, 0.00%), (LLY, 385, 1.04%, 0.00%), (ORCL, 962, 1.01%, 0.00%), (PLTR, 1,226, 0.91%, 0.00%), (NEE, 2,950, 0.90%, 0.00%), (NFLX, 180, 0.90%, 0.00%), (JNJ, 1,176, 0.85%, 0.00%), (WMT, 1,957, 0.84%, 0.00%), (COST, 200, 0.81%, 0.00%), (CVX, 1,242, 0.80%, 0.00%), (PG, 1,237, 0.80%, 0.00%), (RTX, 1,175, 0.77%, 0.00%), (MCD, 584, 0.76%, 0.00%), (CAT, 426, 0.75%, 0.00%), (ABT, 1,349, 0.75%, 0.00%), (UNH, 716, 0.74%, 0.00%), (ABBV, 863, 0.73%, 0.00%), (HD, 442, 0.72%, 0.00%), (KO, 2,236, 0.66%, 0.00%), (AMD, 896, 0.65%, 0.00%), (PM, 897, 0.63%, 0.00%), (SO, 1,572, 0.63%, 0.00%), (BA, 660, 0.63%, 0.00%), (BKNG, 27, 0.62%, 0.00%), (BAC, 3,200, 0.61%, 0.00%), (NKE, 1,911, 0.60%, 0.00%), (DUK, 1,108, 0.59%, 0.00%), (IBM, 553, 0.58%, 0.00%), (CRM, 572, 0.58%, 0.00%), (GS, 183, 0.56%, 0.00%), (UBER, 1,422, 0.55%, 0.00%), (ISRG, 277, 0.55%, 0.00%), (INTU, 168, 0.54%, 0.00%), (ETN, 349, 0.53%, 0.00%), (HON, 574, 0.53%, 0.00%), (WFC, 1,596, 0.52%, 0.00%), (MET, 1,590, 0.50%, 0.00%), (DE, 225, 0.48%, 0.00%), (PEP, 791, 0.48%, 0.00%), (NOW, 123, 0.45%, 0.00%), (T, 3,808, 0.45%, 0.00%), (SPGI, 185, 0.44%, 0.00%), (MS, 721, 0.43%, 0.00%), (MRK, 1,235, 0.42%, 0.00%), (VZ, 2,234, 0.41%, 0.00%), (AXP, 324, 0.40%, 0.00%), (BLK, 85, 0.40%, 0.00%), (TXN, 504, 0.39%, 0.00%), (UNP, 409, 0.38%, 0.00%), (ACN, 374, 0.38%, 0.00%), (MDT, 997, 0.38%, 0.00%), (QCOM, 613, 0.38%, 0.00%), (COP, 961, 0.38%, 0.00%), (ADBE, 263, 0.38%, 0.00%), (DIS, 761, 0.36%, 0.00%), (TMO, 187, 0.36%, 0.00%), (SBUX, 924, 0.35%, 0.00%), (SCHW, 869, 0.35%, 0.00%), (AMAT, 455, 0.35%, 0.00%), (C, 907, 0.35%, 0.00%), (LMT, 186, 0.34%, 0.00%), (AMGN, 262, 0.32%, 0.00%), (MMM, 481, 0.31%, 0.00%), (EMR, 504, 0.28%, 0.00%), (PFE, 2,767, 0.28%, 0.00%), (GILD, 608, 0.28%, 0.00%), (TJX, 502, 0.28%, 0.00%), (CVS, 978, 0.26%, 0.00%), (MO, 978, 0.26%, 0.00%), (DHR, 314, 0.26%, 0.00%), (LOW, 253, 0.25%, 0.00%), (ELV, 180, 0.22%, 0.00%), (CMCSA, 1,604, 0.21%, 0.00%), (MDLZ, 771, 0.20%, 0.00%), (INTC, 2,381, 0.20%, 0.00%), (BMY, 990, 0.19%, 0.00%), (UPS, 494, 0.18%, 0.00%), (PYPL, 583, 0.17%, 0.00%), (CL, 429, 0.15%, 0.00%), (FDX, 152, 0.14%, 0.00%), (USB, 748, 0.14%, 0.00%), (TGT, 208, 0.09%, 0.00%), (SC9061B, nan, nan%, 0.00%), (SC9063B, nan, nan%, 0.00%), (SP9062B, nan, nan%, 0.00%), (SP9065B, nan, nan%, 0.00%), (SP9064B, nan, nan%, 0.00%), (XP9065B, nan, nan%, 0.00%)</v>
      </c>
      <c r="R265" s="4">
        <f t="shared" si="41"/>
        <v>1.6868006299231399E-5</v>
      </c>
      <c r="S265" s="3">
        <f t="shared" si="42"/>
        <v>4187833.793333333</v>
      </c>
      <c r="T265" s="4">
        <f t="shared" si="42"/>
        <v>0.17732073268665649</v>
      </c>
    </row>
    <row r="266" spans="1:20" x14ac:dyDescent="0.4">
      <c r="A266" s="2">
        <v>45877</v>
      </c>
      <c r="B266" t="s">
        <v>32</v>
      </c>
      <c r="C266" t="s">
        <v>28</v>
      </c>
      <c r="D266" s="3" t="str">
        <f t="shared" si="34"/>
        <v>PASS</v>
      </c>
      <c r="E266" s="3" t="str">
        <f t="shared" si="35"/>
        <v>PASS</v>
      </c>
      <c r="F266" s="3" t="str">
        <f t="shared" si="36"/>
        <v>PASS</v>
      </c>
      <c r="G266" s="3" t="str">
        <f t="shared" si="37"/>
        <v>FAIL</v>
      </c>
      <c r="H266" s="3">
        <v>24578107.93</v>
      </c>
      <c r="I266" s="4">
        <v>0</v>
      </c>
      <c r="J266" s="3">
        <v>20600207.68</v>
      </c>
      <c r="K266" s="3">
        <v>4464.66</v>
      </c>
      <c r="L266" s="3">
        <v>0</v>
      </c>
      <c r="M266" t="s">
        <v>29</v>
      </c>
      <c r="N266" t="str">
        <f t="shared" si="38"/>
        <v>NVDA, MSFT, AAPL, AMZN, AVGO</v>
      </c>
      <c r="O266" s="4">
        <f t="shared" si="39"/>
        <v>0.29065678139891027</v>
      </c>
      <c r="P266" s="4">
        <v>1</v>
      </c>
      <c r="Q266" t="str">
        <f t="shared" si="40"/>
        <v>(META, 872, 2.69%, 0.00%), (BRK/B, 1,015, 1.91%, 0.00%), (GOOGL, 2,338, 1.86%, 0.00%), (CSCO, 6,161, 1.75%, 0.00%), (LIN, 872, 1.67%, 0.00%), (GOOG, 1,904, 1.52%, 0.00%), (TSLA, 1,167, 1.52%, 0.00%), (AMT, 1,768, 1.52%, 0.00%), (JPM, 1,285, 1.50%, 0.00%), (XOM, 3,110, 1.35%, 0.00%), (V, 957, 1.30%, 0.00%), (CB, 976, 1.07%, 0.00%), (WM, 1,093, 1.04%, 0.00%), (MA, 454, 1.04%, 0.00%), (GE, 910, 1.01%, 0.00%), (LLY, 366, 0.96%, 0.00%), (ORCL, 915, 0.92%, 0.00%), (PLTR, 1,167, 0.85%, 0.00%), (NEE, 2,808, 0.83%, 0.00%), (NFLX, 171, 0.83%, 0.00%), (JNJ, 1,119, 0.78%, 0.00%), (WMT, 1,863, 0.78%, 0.00%), (COST, 190, 0.76%, 0.00%), (CVX, 1,183, 0.74%, 0.00%), (PG, 1,177, 0.74%, 0.00%), (RTX, 1,119, 0.71%, 0.00%), (MCD, 556, 0.70%, 0.00%), (CAT, 406, 0.69%, 0.00%), (ABT, 1,284, 0.69%, 0.00%), (UNH, 681, 0.68%, 0.00%), (ABBV, 821, 0.67%, 0.00%), (HD, 421, 0.66%, 0.00%), (KO, 2,129, 0.61%, 0.00%), (AMD, 853, 0.60%, 0.00%), (PM, 854, 0.58%, 0.00%), (SO, 1,496, 0.58%, 0.00%), (BA, 629, 0.58%, 0.00%), (BKNG, 26, 0.58%, 0.00%), (BAC, 3,046, 0.56%, 0.00%), (NKE, 1,819, 0.55%, 0.00%), (DUK, 1,055, 0.54%, 0.00%), (IBM, 527, 0.54%, 0.00%), (CRM, 544, 0.54%, 0.00%), (GS, 174, 0.51%, 0.00%), (UBER, 1,354, 0.51%, 0.00%), (ISRG, 264, 0.51%, 0.00%), (INTU, 160, 0.50%, 0.00%), (ETN, 332, 0.49%, 0.00%), (HON, 547, 0.48%, 0.00%), (WFC, 1,519, 0.48%, 0.00%), (MET, 1,514, 0.46%, 0.00%), (DE, 214, 0.44%, 0.00%), (PEP, 753, 0.44%, 0.00%), (NOW, 117, 0.42%, 0.00%), (T, 3,626, 0.42%, 0.00%), (SPGI, 176, 0.40%, 0.00%), (MS, 687, 0.39%, 0.00%), (MRK, 1,176, 0.39%, 0.00%), (VZ, 2,127, 0.37%, 0.00%), (AXP, 308, 0.37%, 0.00%), (BLK, 81, 0.37%, 0.00%), (TXN, 480, 0.36%, 0.00%), (UNP, 390, 0.35%, 0.00%), (MDT, 949, 0.35%, 0.00%), (ACN, 356, 0.35%, 0.00%), (QCOM, 584, 0.35%, 0.00%), (ADBE, 251, 0.35%, 0.00%), (COP, 915, 0.35%, 0.00%), (DIS, 724, 0.33%, 0.00%), (TMO, 178, 0.33%, 0.00%), (SBUX, 880, 0.32%, 0.00%), (SCHW, 828, 0.32%, 0.00%), (AMAT, 433, 0.32%, 0.00%), (C, 863, 0.32%, 0.00%), (LMT, 177, 0.31%, 0.00%), (AMGN, 250, 0.29%, 0.00%), (MMM, 458, 0.28%, 0.00%), (GILD, 579, 0.26%, 0.00%), (PFE, 2,634, 0.26%, 0.00%), (EMR, 479, 0.26%, 0.00%), (TJX, 478, 0.26%, 0.00%), (CVS, 931, 0.24%, 0.00%), (DHR, 299, 0.24%, 0.00%), (MO, 931, 0.24%, 0.00%), (LOW, 240, 0.23%, 0.00%), (ELV, 172, 0.20%, 0.00%), (CMCSA, 1,527, 0.20%, 0.00%), (MDLZ, 734, 0.19%, 0.00%), (INTC, 2,267, 0.18%, 0.00%), (BMY, 943, 0.17%, 0.00%), (UPS, 470, 0.17%, 0.00%), (PYPL, 555, 0.15%, 0.00%), (CL, 408, 0.14%, 0.00%), (FDX, 145, 0.13%, 0.00%), (USB, 712, 0.13%, 0.00%), (TGT, 198, 0.09%, 0.00%), (SC28781H, nan, nan%, 0.00%), (SC28783H, nan, nan%, 0.00%), (SP28782H, nan, nan%, 0.00%), (SP28785B, nan, nan%, 0.00%), (SP28784H, nan, nan%, 0.00%), (XP28785B, nan, nan%, 0.00%)</v>
      </c>
      <c r="R266" s="4">
        <f t="shared" si="41"/>
        <v>1.4345409726770155E-5</v>
      </c>
      <c r="S266" s="3">
        <f t="shared" si="42"/>
        <v>2622200.1066666669</v>
      </c>
      <c r="T266" s="4">
        <f t="shared" si="42"/>
        <v>0.10718957827375875</v>
      </c>
    </row>
    <row r="267" spans="1:20" x14ac:dyDescent="0.4">
      <c r="A267" s="2">
        <v>45877</v>
      </c>
      <c r="B267" t="s">
        <v>33</v>
      </c>
      <c r="C267" t="s">
        <v>28</v>
      </c>
      <c r="D267" s="3" t="str">
        <f t="shared" si="34"/>
        <v>PASS</v>
      </c>
      <c r="E267" s="3" t="str">
        <f t="shared" si="35"/>
        <v>PASS</v>
      </c>
      <c r="F267" s="3" t="str">
        <f t="shared" si="36"/>
        <v>PASS</v>
      </c>
      <c r="G267" s="3" t="str">
        <f t="shared" si="37"/>
        <v>FAIL</v>
      </c>
      <c r="H267" s="3">
        <v>15469378.76</v>
      </c>
      <c r="I267" s="4">
        <v>0</v>
      </c>
      <c r="J267" s="3">
        <v>13603278.460000001</v>
      </c>
      <c r="K267" s="3">
        <v>2948.64</v>
      </c>
      <c r="L267" s="3">
        <v>0</v>
      </c>
      <c r="M267" t="s">
        <v>29</v>
      </c>
      <c r="N267" t="str">
        <f t="shared" si="38"/>
        <v>NVDA, MSFT, AAPL, AMZN</v>
      </c>
      <c r="O267" s="4">
        <f t="shared" si="39"/>
        <v>0.25690218179340207</v>
      </c>
      <c r="P267" s="4">
        <v>1</v>
      </c>
      <c r="Q267" t="str">
        <f t="shared" si="40"/>
        <v>(AVGO, 1,635, 3.19%, 0.00%), (META, 581, 2.86%, 0.00%), (BRK/B, 676, 2.03%, 0.00%), (GOOGL, 1,556, 1.97%, 0.00%), (CSCO, 4,102, 1.85%, 0.00%), (LIN, 580, 1.77%, 0.00%), (GOOG, 1,268, 1.61%, 0.00%), (AMT, 1,177, 1.61%, 0.00%), (TSLA, 777, 1.60%, 0.00%), (JPM, 855, 1.59%, 0.00%), (XOM, 2,071, 1.43%, 0.00%), (V, 637, 1.37%, 0.00%), (CB, 650, 1.14%, 0.00%), (WM, 728, 1.10%, 0.00%), (MA, 302, 1.09%, 0.00%), (GE, 606, 1.07%, 0.00%), (LLY, 244, 1.02%, 0.00%), (ORCL, 609, 0.98%, 0.00%), (PLTR, 777, 0.88%, 0.00%), (NEE, 1,870, 0.88%, 0.00%), (NFLX, 114, 0.87%, 0.00%), (JNJ, 745, 0.83%, 0.00%), (WMT, 1,240, 0.82%, 0.00%), (COST, 127, 0.81%, 0.00%), (CVX, 787, 0.78%, 0.00%), (PG, 784, 0.78%, 0.00%), (RTX, 745, 0.75%, 0.00%), (MCD, 370, 0.74%, 0.00%), (CAT, 270, 0.73%, 0.00%), (ABT, 855, 0.73%, 0.00%), (UNH, 454, 0.72%, 0.00%), (ABBV, 547, 0.71%, 0.00%), (HD, 280, 0.69%, 0.00%), (KO, 1,418, 0.65%, 0.00%), (AMD, 568, 0.63%, 0.00%), (PM, 569, 0.62%, 0.00%), (SO, 996, 0.62%, 0.00%), (BA, 418, 0.61%, 0.00%), (BKNG, 17, 0.60%, 0.00%), (BAC, 2,028, 0.59%, 0.00%), (NKE, 1,211, 0.58%, 0.00%), (DUK, 702, 0.57%, 0.00%), (IBM, 351, 0.57%, 0.00%), (CRM, 363, 0.57%, 0.00%), (GS, 116, 0.54%, 0.00%), (UBER, 901, 0.54%, 0.00%), (ISRG, 176, 0.54%, 0.00%), (INTU, 106, 0.52%, 0.00%), (ETN, 221, 0.52%, 0.00%), (HON, 364, 0.51%, 0.00%), (WFC, 1,012, 0.51%, 0.00%), (MET, 1,008, 0.48%, 0.00%), (PEP, 502, 0.47%, 0.00%), (DE, 142, 0.47%, 0.00%), (NOW, 78, 0.44%, 0.00%), (T, 2,414, 0.44%, 0.00%), (SPGI, 117, 0.43%, 0.00%), (MS, 457, 0.42%, 0.00%), (MRK, 783, 0.41%, 0.00%), (VZ, 1,416, 0.40%, 0.00%), (AXP, 205, 0.39%, 0.00%), (BLK, 54, 0.39%, 0.00%), (TXN, 319, 0.38%, 0.00%), (MDT, 632, 0.37%, 0.00%), (UNP, 260, 0.37%, 0.00%), (ACN, 237, 0.37%, 0.00%), (QCOM, 389, 0.37%, 0.00%), (ADBE, 167, 0.37%, 0.00%), (COP, 609, 0.37%, 0.00%), (DIS, 482, 0.35%, 0.00%), (TMO, 118, 0.35%, 0.00%), (SBUX, 586, 0.34%, 0.00%), (SCHW, 551, 0.34%, 0.00%), (AMAT, 289, 0.34%, 0.00%), (C, 575, 0.34%, 0.00%), (LMT, 118, 0.33%, 0.00%), (AMGN, 166, 0.31%, 0.00%), (MMM, 305, 0.30%, 0.00%), (GILD, 386, 0.28%, 0.00%), (EMR, 319, 0.27%, 0.00%), (PFE, 1,754, 0.27%, 0.00%), (TJX, 318, 0.27%, 0.00%), (DHR, 199, 0.26%, 0.00%), (CVS, 620, 0.26%, 0.00%), (MO, 620, 0.26%, 0.00%), (LOW, 160, 0.25%, 0.00%), (ELV, 114, 0.21%, 0.00%), (CMCSA, 1,017, 0.21%, 0.00%), (MDLZ, 489, 0.20%, 0.00%), (INTC, 1,509, 0.19%, 0.00%), (BMY, 628, 0.18%, 0.00%), (UPS, 313, 0.17%, 0.00%), (PYPL, 369, 0.16%, 0.00%), (CL, 272, 0.15%, 0.00%), (FDX, 96, 0.14%, 0.00%), (USB, 474, 0.14%, 0.00%), (TGT, 132, 0.09%, 0.00%), (SC8071B, nan, nan%, 0.00%), (SC8073B, nan, nan%, 0.00%), (SP8072B, nan, nan%, 0.00%), (SP8075B, nan, nan%, 0.00%), (SP8074B, nan, nan%, 0.00%), (XP8075B, nan, nan%, 0.00%)</v>
      </c>
      <c r="R267" s="4">
        <f t="shared" si="41"/>
        <v>1.4691878367611365E-5</v>
      </c>
      <c r="S267" s="3">
        <f t="shared" si="42"/>
        <v>4234700.5366666662</v>
      </c>
      <c r="T267" s="4">
        <f t="shared" si="42"/>
        <v>0.27546581895178979</v>
      </c>
    </row>
    <row r="268" spans="1:20" x14ac:dyDescent="0.4">
      <c r="A268" s="2">
        <v>45877</v>
      </c>
      <c r="B268" t="s">
        <v>34</v>
      </c>
      <c r="C268" t="s">
        <v>28</v>
      </c>
      <c r="D268" s="3" t="str">
        <f t="shared" si="34"/>
        <v>PASS</v>
      </c>
      <c r="E268" s="3" t="str">
        <f t="shared" si="35"/>
        <v>PASS</v>
      </c>
      <c r="F268" s="3" t="str">
        <f t="shared" si="36"/>
        <v>PASS</v>
      </c>
      <c r="G268" s="3" t="str">
        <f t="shared" si="37"/>
        <v>FAIL</v>
      </c>
      <c r="H268" s="3">
        <v>166556962.78999999</v>
      </c>
      <c r="I268" s="4">
        <v>0</v>
      </c>
      <c r="J268" s="3">
        <v>142303878.63</v>
      </c>
      <c r="K268" s="3">
        <v>30853.71</v>
      </c>
      <c r="L268" s="3">
        <v>0</v>
      </c>
      <c r="M268" t="s">
        <v>29</v>
      </c>
      <c r="N268" t="str">
        <f t="shared" si="38"/>
        <v>NVDA, MSFT, AAPL, AMZN, AVGO</v>
      </c>
      <c r="O268" s="4">
        <f t="shared" si="39"/>
        <v>0.29071419427136042</v>
      </c>
      <c r="P268" s="4">
        <v>1</v>
      </c>
      <c r="Q268" t="str">
        <f t="shared" si="40"/>
        <v>(META, 6,040, 2.75%, 0.00%), (BRK/B, 7,027, 1.95%, 0.00%), (GOOGL, 16,189, 1.90%, 0.00%), (CSCO, 42,669, 1.78%, 0.00%), (LIN, 6,037, 1.71%, 0.00%), (GOOG, 13,187, 1.55%, 0.00%), (AMT, 12,247, 1.55%, 0.00%), (TSLA, 8,083, 1.55%, 0.00%), (JPM, 8,898, 1.54%, 0.00%), (XOM, 21,539, 1.38%, 0.00%), (V, 6,625, 1.32%, 0.00%), (CB, 6,759, 1.10%, 0.00%), (WM, 7,571, 1.06%, 0.00%), (MA, 3,143, 1.06%, 0.00%), (GE, 6,302, 1.03%, 0.00%), (LLY, 2,537, 0.98%, 0.00%), (ORCL, 6,340, 0.94%, 0.00%), (PLTR, 8,086, 0.85%, 0.00%), (NEE, 19,448, 0.85%, 0.00%), (NFLX, 1,184, 0.84%, 0.00%), (JNJ, 7,751, 0.80%, 0.00%), (WMT, 12,902, 0.79%, 0.00%), (COST, 1,317, 0.77%, 0.00%), (CVX, 8,191, 0.75%, 0.00%), (PG, 8,155, 0.75%, 0.00%), (RTX, 7,750, 0.73%, 0.00%), (MCD, 3,854, 0.71%, 0.00%), (CAT, 2,811, 0.71%, 0.00%), (ABT, 8,891, 0.70%, 0.00%), (UNH, 4,718, 0.69%, 0.00%), (ABBV, 5,689, 0.68%, 0.00%), (HD, 2,916, 0.67%, 0.00%), (KO, 14,746, 0.62%, 0.00%), (AMD, 5,908, 0.61%, 0.00%), (PM, 5,914, 0.60%, 0.00%), (SO, 10,362, 0.59%, 0.00%), (BA, 4,353, 0.59%, 0.00%), (BKNG, 178, 0.58%, 0.00%), (BAC, 21,099, 0.57%, 0.00%), (NKE, 12,598, 0.56%, 0.00%), (DUK, 7,306, 0.55%, 0.00%), (IBM, 3,647, 0.55%, 0.00%), (CRM, 3,771, 0.55%, 0.00%), (UBER, 9,376, 0.52%, 0.00%), (GS, 1,203, 0.52%, 0.00%), (ISRG, 1,826, 0.52%, 0.00%), (INTU, 1,106, 0.51%, 0.00%), (ETN, 2,301, 0.50%, 0.00%), (HON, 3,786, 0.49%, 0.00%), (WFC, 10,523, 0.49%, 0.00%), (MET, 10,487, 0.47%, 0.00%), (DE, 1,482, 0.45%, 0.00%), (PEP, 5,218, 0.45%, 0.00%), (NOW, 813, 0.43%, 0.00%), (T, 25,110, 0.42%, 0.00%), (SPGI, 1,217, 0.41%, 0.00%), (MS, 4,756, 0.40%, 0.00%), (MRK, 8,144, 0.39%, 0.00%), (VZ, 14,732, 0.38%, 0.00%), (AXP, 2,134, 0.38%, 0.00%), (BLK, 558, 0.37%, 0.00%), (TXN, 3,321, 0.37%, 0.00%), (UNP, 2,699, 0.36%, 0.00%), (MDT, 6,574, 0.36%, 0.00%), (ACN, 2,465, 0.36%, 0.00%), (QCOM, 4,045, 0.36%, 0.00%), (ADBE, 1,736, 0.35%, 0.00%), (COP, 6,339, 0.35%, 0.00%), (DIS, 5,018, 0.34%, 0.00%), (TMO, 1,231, 0.34%, 0.00%), (SBUX, 6,095, 0.33%, 0.00%), (SCHW, 5,731, 0.33%, 0.00%), (AMAT, 3,001, 0.33%, 0.00%), (C, 5,978, 0.33%, 0.00%), (LMT, 1,228, 0.32%, 0.00%), (AMGN, 1,730, 0.30%, 0.00%), (MMM, 3,171, 0.29%, 0.00%), (EMR, 3,320, 0.27%, 0.00%), (GILD, 4,012, 0.27%, 0.00%), (PFE, 18,244, 0.27%, 0.00%), (TJX, 3,311, 0.26%, 0.00%), (CVS, 6,451, 0.25%, 0.00%), (DHR, 2,069, 0.25%, 0.00%), (MO, 6,446, 0.25%, 0.00%), (LOW, 1,665, 0.24%, 0.00%), (ELV, 1,189, 0.20%, 0.00%), (CMCSA, 10,576, 0.20%, 0.00%), (MDLZ, 5,086, 0.19%, 0.00%), (INTC, 15,702, 0.19%, 0.00%), (BMY, 6,529, 0.18%, 0.00%), (UPS, 3,257, 0.17%, 0.00%), (PYPL, 3,844, 0.16%, 0.00%), (CL, 2,829, 0.14%, 0.00%), (FDX, 1,001, 0.13%, 0.00%), (USB, 4,931, 0.13%, 0.00%), (TGT, 1,369, 0.09%, 0.00%), (SC26771B, nan, nan%, 0.00%), (SC26773B, nan, nan%, 0.00%), (SP26772B, nan, nan%, 0.00%), (SP26774B, nan, nan%, 0.00%), (SP26775T, nan, nan%, 0.00%), (XP26775T, nan, nan%, 0.00%)</v>
      </c>
      <c r="R268" s="4">
        <f t="shared" si="41"/>
        <v>1.5138760543106781E-5</v>
      </c>
      <c r="S268" s="3">
        <f t="shared" si="42"/>
        <v>15757521.9</v>
      </c>
      <c r="T268" s="4">
        <f t="shared" si="42"/>
        <v>9.5001995911235246E-2</v>
      </c>
    </row>
    <row r="269" spans="1:20" x14ac:dyDescent="0.4">
      <c r="A269" s="2">
        <v>45877</v>
      </c>
      <c r="B269" t="s">
        <v>35</v>
      </c>
      <c r="C269" t="s">
        <v>28</v>
      </c>
      <c r="D269" s="3" t="str">
        <f t="shared" si="34"/>
        <v>PASS</v>
      </c>
      <c r="E269" s="3" t="str">
        <f t="shared" si="35"/>
        <v>PASS</v>
      </c>
      <c r="F269" s="3" t="str">
        <f t="shared" si="36"/>
        <v>PASS</v>
      </c>
      <c r="G269" s="3" t="str">
        <f t="shared" si="37"/>
        <v>FAIL</v>
      </c>
      <c r="H269" s="3">
        <v>137144001.50999999</v>
      </c>
      <c r="I269" s="4">
        <v>0</v>
      </c>
      <c r="J269" s="3">
        <v>119651144.79000001</v>
      </c>
      <c r="K269" s="3">
        <v>25909.41</v>
      </c>
      <c r="L269" s="3">
        <v>0</v>
      </c>
      <c r="M269" t="s">
        <v>29</v>
      </c>
      <c r="N269" t="str">
        <f t="shared" si="38"/>
        <v>NVDA, MSFT, AAPL, AMZN</v>
      </c>
      <c r="O269" s="4">
        <f t="shared" si="39"/>
        <v>0.26378026028461865</v>
      </c>
      <c r="P269" s="4">
        <v>1</v>
      </c>
      <c r="Q269" t="str">
        <f t="shared" si="40"/>
        <v>(AVGO, 14,778, 3.24%, 0.00%), (META, 5,250, 2.90%, 0.00%), (BRK/B, 6,108, 2.07%, 0.00%), (GOOGL, 14,071, 2.01%, 0.00%), (CSCO, 37,085, 1.88%, 0.00%), (LIN, 5,247, 1.81%, 0.00%), (GOOG, 11,461, 1.64%, 0.00%), (AMT, 10,644, 1.64%, 0.00%), (TSLA, 7,025, 1.64%, 0.00%), (JPM, 7,734, 1.62%, 0.00%), (XOM, 18,720, 1.45%, 0.00%), (V, 5,758, 1.40%, 0.00%), (CB, 5,874, 1.16%, 0.00%), (WM, 6,580, 1.12%, 0.00%), (MA, 2,731, 1.12%, 0.00%), (GE, 5,477, 1.09%, 0.00%), (LLY, 2,205, 1.04%, 0.00%), (ORCL, 5,510, 1.00%, 0.00%), (PLTR, 7,028, 0.90%, 0.00%), (NEE, 16,903, 0.90%, 0.00%), (NFLX, 1,029, 0.89%, 0.00%), (JNJ, 6,736, 0.84%, 0.00%), (WMT, 11,214, 0.84%, 0.00%), (COST, 1,145, 0.81%, 0.00%), (CVX, 7,119, 0.80%, 0.00%), (PG, 7,088, 0.79%, 0.00%), (RTX, 6,736, 0.77%, 0.00%), (MCD, 3,349, 0.75%, 0.00%), (CAT, 2,443, 0.75%, 0.00%), (ABT, 7,728, 0.74%, 0.00%), (UNH, 4,100, 0.73%, 0.00%), (ABBV, 4,944, 0.72%, 0.00%), (HD, 2,534, 0.71%, 0.00%), (KO, 12,816, 0.66%, 0.00%), (AMD, 5,135, 0.65%, 0.00%), (PM, 5,140, 0.63%, 0.00%), (SO, 9,006, 0.63%, 0.00%), (BA, 3,783, 0.63%, 0.00%), (BKNG, 155, 0.62%, 0.00%), (BAC, 18,338, 0.60%, 0.00%), (NKE, 10,949, 0.59%, 0.00%), (DUK, 6,350, 0.59%, 0.00%), (IBM, 3,170, 0.58%, 0.00%), (CRM, 3,278, 0.58%, 0.00%), (UBER, 8,149, 0.55%, 0.00%), (GS, 1,046, 0.55%, 0.00%), (ISRG, 1,587, 0.55%, 0.00%), (INTU, 961, 0.54%, 0.00%), (ETN, 2,000, 0.53%, 0.00%), (HON, 3,291, 0.52%, 0.00%), (WFC, 9,146, 0.52%, 0.00%), (MET, 9,114, 0.49%, 0.00%), (DE, 1,288, 0.48%, 0.00%), (PEP, 4,535, 0.48%, 0.00%), (NOW, 706, 0.45%, 0.00%), (T, 21,824, 0.45%, 0.00%), (SPGI, 1,058, 0.43%, 0.00%), (MS, 4,133, 0.43%, 0.00%), (MRK, 7,078, 0.42%, 0.00%), (VZ, 12,804, 0.40%, 0.00%), (AXP, 1,854, 0.40%, 0.00%), (BLK, 485, 0.39%, 0.00%), (TXN, 2,886, 0.39%, 0.00%), (UNP, 2,346, 0.38%, 0.00%), (MDT, 5,714, 0.38%, 0.00%), (ACN, 2,142, 0.38%, 0.00%), (QCOM, 3,515, 0.38%, 0.00%), (ADBE, 1,509, 0.37%, 0.00%), (COP, 5,510, 0.37%, 0.00%), (DIS, 4,361, 0.36%, 0.00%), (TMO, 1,070, 0.36%, 0.00%), (SBUX, 5,298, 0.35%, 0.00%), (SCHW, 4,981, 0.35%, 0.00%), (AMAT, 2,609, 0.35%, 0.00%), (C, 5,195, 0.35%, 0.00%), (LMT, 1,068, 0.33%, 0.00%), (AMGN, 1,504, 0.31%, 0.00%), (MMM, 2,756, 0.30%, 0.00%), (EMR, 2,886, 0.28%, 0.00%), (GILD, 3,487, 0.28%, 0.00%), (PFE, 15,856, 0.28%, 0.00%), (TJX, 2,878, 0.28%, 0.00%), (CVS, 5,607, 0.26%, 0.00%), (DHR, 1,799, 0.26%, 0.00%), (MO, 5,602, 0.26%, 0.00%), (LOW, 1,447, 0.25%, 0.00%), (ELV, 1,033, 0.21%, 0.00%), (CMCSA, 9,192, 0.21%, 0.00%), (MDLZ, 4,420, 0.20%, 0.00%), (INTC, 13,647, 0.20%, 0.00%), (BMY, 5,675, 0.19%, 0.00%), (UPS, 2,830, 0.18%, 0.00%), (PYPL, 3,341, 0.17%, 0.00%), (CL, 2,459, 0.15%, 0.00%), (FDX, 870, 0.14%, 0.00%), (USB, 4,285, 0.14%, 0.00%), (TGT, 1,190, 0.09%, 0.00%), (SC23471B, nan, nan%, 0.00%), (SC23473B, nan, nan%, 0.00%), (SP23472B, nan, nan%, 0.00%), (SP23475B, nan, nan%, 0.00%), (SP23474B, nan, nan%, 0.00%), (XP23475B, nan, nan%, 0.00%)</v>
      </c>
      <c r="R269" s="4">
        <f t="shared" si="41"/>
        <v>1.5612184117088877E-5</v>
      </c>
      <c r="S269" s="3">
        <f t="shared" si="42"/>
        <v>35139576.763333328</v>
      </c>
      <c r="T269" s="4">
        <f t="shared" si="42"/>
        <v>0.25790730655310362</v>
      </c>
    </row>
    <row r="270" spans="1:20" x14ac:dyDescent="0.4">
      <c r="A270" s="2">
        <v>45877</v>
      </c>
      <c r="B270" t="s">
        <v>36</v>
      </c>
      <c r="C270" t="s">
        <v>28</v>
      </c>
      <c r="D270" s="3" t="str">
        <f t="shared" si="34"/>
        <v>PASS</v>
      </c>
      <c r="E270" s="3" t="str">
        <f t="shared" si="35"/>
        <v>PASS</v>
      </c>
      <c r="F270" s="3" t="str">
        <f t="shared" si="36"/>
        <v>PASS</v>
      </c>
      <c r="G270" s="3" t="str">
        <f t="shared" si="37"/>
        <v>FAIL</v>
      </c>
      <c r="H270" s="3">
        <v>102356429.02</v>
      </c>
      <c r="I270" s="4">
        <v>0</v>
      </c>
      <c r="J270" s="3">
        <v>92099200.189999998</v>
      </c>
      <c r="K270" s="3">
        <v>19966.38</v>
      </c>
      <c r="L270" s="3">
        <v>0</v>
      </c>
      <c r="M270" t="s">
        <v>29</v>
      </c>
      <c r="N270" t="str">
        <f t="shared" si="38"/>
        <v>NVDA, MSFT, AAPL, AMZN</v>
      </c>
      <c r="O270" s="4">
        <f t="shared" si="39"/>
        <v>0.25489643869878115</v>
      </c>
      <c r="P270" s="4">
        <v>1</v>
      </c>
      <c r="Q270" t="str">
        <f t="shared" si="40"/>
        <v>(AVGO, 11,002, 3.23%, 0.00%), (META, 3,908, 2.90%, 0.00%), (BRK/B, 4,547, 2.06%, 0.00%), (GOOGL, 10,475, 2.00%, 0.00%), (CSCO, 27,607, 1.88%, 0.00%), (LIN, 3,906, 1.80%, 0.00%), (GOOG, 8,532, 1.64%, 0.00%), (TSLA, 5,230, 1.63%, 0.00%), (AMT, 7,924, 1.63%, 0.00%), (JPM, 5,757, 1.62%, 0.00%), (XOM, 13,936, 1.45%, 0.00%), (V, 4,287, 1.39%, 0.00%), (CB, 4,373, 1.16%, 0.00%), (WM, 4,899, 1.12%, 0.00%), (MA, 2,033, 1.11%, 0.00%), (GE, 4,078, 1.09%, 0.00%), (LLY, 1,641, 1.03%, 0.00%), (ORCL, 4,102, 0.99%, 0.00%), (PLTR, 5,232, 0.90%, 0.00%), (NEE, 12,583, 0.89%, 0.00%), (NFLX, 766, 0.88%, 0.00%), (JNJ, 5,015, 0.84%, 0.00%), (WMT, 8,348, 0.84%, 0.00%), (COST, 852, 0.81%, 0.00%), (CVX, 5,299, 0.79%, 0.00%), (PG, 5,277, 0.79%, 0.00%), (RTX, 5,015, 0.77%, 0.00%), (MCD, 2,493, 0.75%, 0.00%), (CAT, 1,819, 0.74%, 0.00%), (ABT, 5,753, 0.74%, 0.00%), (UNH, 3,052, 0.73%, 0.00%), (ABBV, 3,681, 0.72%, 0.00%), (HD, 1,887, 0.71%, 0.00%), (KO, 9,541, 0.66%, 0.00%), (AMD, 3,823, 0.64%, 0.00%), (PM, 3,826, 0.63%, 0.00%), (SO, 6,705, 0.63%, 0.00%), (BA, 2,817, 0.62%, 0.00%), (BKNG, 115, 0.61%, 0.00%), (BAC, 13,651, 0.60%, 0.00%), (NKE, 8,151, 0.59%, 0.00%), (DUK, 4,727, 0.58%, 0.00%), (IBM, 2,360, 0.58%, 0.00%), (CRM, 2,440, 0.58%, 0.00%), (UBER, 6,066, 0.55%, 0.00%), (GS, 779, 0.55%, 0.00%), (ISRG, 1,181, 0.54%, 0.00%), (INTU, 715, 0.53%, 0.00%), (ETN, 1,489, 0.53%, 0.00%), (HON, 2,450, 0.52%, 0.00%), (WFC, 6,809, 0.51%, 0.00%), (MET, 6,785, 0.49%, 0.00%), (DE, 959, 0.48%, 0.00%), (PEP, 3,376, 0.47%, 0.00%), (NOW, 526, 0.45%, 0.00%), (T, 16,247, 0.45%, 0.00%), (SPGI, 788, 0.43%, 0.00%), (MS, 3,077, 0.42%, 0.00%), (MRK, 5,269, 0.41%, 0.00%), (VZ, 9,532, 0.40%, 0.00%), (AXP, 1,380, 0.40%, 0.00%), (BLK, 361, 0.39%, 0.00%), (TXN, 2,149, 0.39%, 0.00%), (UNP, 1,747, 0.38%, 0.00%), (MDT, 4,254, 0.38%, 0.00%), (ACN, 1,595, 0.38%, 0.00%), (QCOM, 2,617, 0.37%, 0.00%), (ADBE, 1,123, 0.37%, 0.00%), (COP, 4,102, 0.37%, 0.00%), (DIS, 3,247, 0.36%, 0.00%), (TMO, 797, 0.36%, 0.00%), (SBUX, 3,944, 0.35%, 0.00%), (SCHW, 3,708, 0.35%, 0.00%), (AMAT, 1,942, 0.35%, 0.00%), (C, 3,868, 0.35%, 0.00%), (LMT, 795, 0.33%, 0.00%), (AMGN, 1,120, 0.31%, 0.00%), (MMM, 2,052, 0.30%, 0.00%), (GILD, 2,596, 0.28%, 0.00%), (EMR, 2,148, 0.28%, 0.00%), (PFE, 11,804, 0.28%, 0.00%), (TJX, 2,142, 0.27%, 0.00%), (CVS, 4,174, 0.26%, 0.00%), (DHR, 1,339, 0.26%, 0.00%), (MO, 4,171, 0.26%, 0.00%), (LOW, 1,077, 0.25%, 0.00%), (ELV, 769, 0.21%, 0.00%), (CMCSA, 6,843, 0.21%, 0.00%), (MDLZ, 3,291, 0.20%, 0.00%), (INTC, 10,159, 0.20%, 0.00%), (BMY, 4,225, 0.19%, 0.00%), (UPS, 2,107, 0.18%, 0.00%), (PYPL, 2,487, 0.17%, 0.00%), (CL, 1,831, 0.15%, 0.00%), (FDX, 648, 0.14%, 0.00%), (USB, 3,190, 0.14%, 0.00%), (TGT, 886, 0.09%, 0.00%), (SC22171B, nan, nan%, 0.00%), (SC22173B, nan, nan%, 0.00%), (SP22172B, nan, nan%, 0.00%), (SP22175B, nan, nan%, 0.00%), (SP22174B, nan, nan%, 0.00%), (XP22175B, nan, nan%, 0.00%)</v>
      </c>
      <c r="R270" s="4">
        <f t="shared" si="41"/>
        <v>1.6157934717523049E-5</v>
      </c>
      <c r="S270" s="3">
        <f t="shared" si="42"/>
        <v>18776438.489999998</v>
      </c>
      <c r="T270" s="4">
        <f t="shared" si="42"/>
        <v>0.18445912182323265</v>
      </c>
    </row>
    <row r="271" spans="1:20" x14ac:dyDescent="0.4">
      <c r="A271" s="2">
        <v>45877</v>
      </c>
      <c r="B271" t="s">
        <v>37</v>
      </c>
      <c r="C271" t="s">
        <v>28</v>
      </c>
      <c r="D271" s="3" t="str">
        <f t="shared" si="34"/>
        <v>PASS</v>
      </c>
      <c r="E271" s="3" t="str">
        <f t="shared" si="35"/>
        <v>PASS</v>
      </c>
      <c r="F271" s="3" t="str">
        <f t="shared" si="36"/>
        <v>PASS</v>
      </c>
      <c r="G271" s="3" t="str">
        <f t="shared" si="37"/>
        <v>FAIL</v>
      </c>
      <c r="H271" s="3">
        <v>40572721.869999997</v>
      </c>
      <c r="I271" s="4">
        <v>0</v>
      </c>
      <c r="J271" s="3">
        <v>34862417.219999999</v>
      </c>
      <c r="K271" s="3">
        <v>7553.94</v>
      </c>
      <c r="L271" s="3">
        <v>0</v>
      </c>
      <c r="M271" t="s">
        <v>29</v>
      </c>
      <c r="N271" t="str">
        <f t="shared" si="38"/>
        <v>NVDA, MSFT, AAPL, AMZN</v>
      </c>
      <c r="O271" s="4">
        <f t="shared" si="39"/>
        <v>0.2724153438934705</v>
      </c>
      <c r="P271" s="4">
        <v>1</v>
      </c>
      <c r="Q271" t="str">
        <f t="shared" si="40"/>
        <v>(AVGO, 4,149, 3.08%, 0.00%), (META, 1,474, 2.76%, 0.00%), (BRK/B, 1,715, 1.96%, 0.00%), (GOOGL, 3,950, 1.91%, 0.00%), (CSCO, 10,411, 1.79%, 0.00%), (LIN, 1,473, 1.71%, 0.00%), (GOOG, 3,218, 1.56%, 0.00%), (TSLA, 1,972, 1.56%, 0.00%), (AMT, 2,988, 1.55%, 0.00%), (JPM, 2,171, 1.54%, 0.00%), (XOM, 5,256, 1.38%, 0.00%), (V, 1,617, 1.33%, 0.00%), (CB, 1,649, 1.10%, 0.00%), (WM, 1,847, 1.07%, 0.00%), (MA, 767, 1.06%, 0.00%), (GE, 1,538, 1.03%, 0.00%), (LLY, 619, 0.98%, 0.00%), (ORCL, 1,547, 0.95%, 0.00%), (PLTR, 1,973, 0.86%, 0.00%), (NEE, 4,745, 0.85%, 0.00%), (NFLX, 289, 0.84%, 0.00%), (JNJ, 1,891, 0.80%, 0.00%), (WMT, 3,148, 0.80%, 0.00%), (COST, 321, 0.77%, 0.00%), (CVX, 1,999, 0.76%, 0.00%), (PG, 1,990, 0.75%, 0.00%), (RTX, 1,891, 0.73%, 0.00%), (MCD, 940, 0.71%, 0.00%), (CAT, 686, 0.71%, 0.00%), (ABT, 2,170, 0.71%, 0.00%), (UNH, 1,151, 0.69%, 0.00%), (ABBV, 1,388, 0.68%, 0.00%), (HD, 711, 0.68%, 0.00%), (KO, 3,598, 0.63%, 0.00%), (AMD, 1,442, 0.61%, 0.00%), (PM, 1,443, 0.60%, 0.00%), (SO, 2,528, 0.60%, 0.00%), (BA, 1,062, 0.60%, 0.00%), (BKNG, 43, 0.58%, 0.00%), (BAC, 5,148, 0.57%, 0.00%), (NKE, 3,074, 0.56%, 0.00%), (DUK, 1,783, 0.56%, 0.00%), (IBM, 890, 0.55%, 0.00%), (CRM, 920, 0.55%, 0.00%), (UBER, 2,288, 0.52%, 0.00%), (ISRG, 446, 0.52%, 0.00%), (GS, 294, 0.52%, 0.00%), (INTU, 270, 0.51%, 0.00%), (ETN, 562, 0.50%, 0.00%), (HON, 924, 0.49%, 0.00%), (WFC, 2,568, 0.49%, 0.00%), (MET, 2,559, 0.47%, 0.00%), (DE, 362, 0.45%, 0.00%), (PEP, 1,273, 0.45%, 0.00%), (NOW, 198, 0.43%, 0.00%), (T, 6,127, 0.43%, 0.00%), (SPGI, 297, 0.41%, 0.00%), (MS, 1,160, 0.40%, 0.00%), (MRK, 1,987, 0.40%, 0.00%), (VZ, 3,595, 0.38%, 0.00%), (AXP, 521, 0.38%, 0.00%), (BLK, 136, 0.37%, 0.00%), (TXN, 810, 0.37%, 0.00%), (UNP, 659, 0.36%, 0.00%), (MDT, 1,604, 0.36%, 0.00%), (ACN, 601, 0.36%, 0.00%), (QCOM, 987, 0.36%, 0.00%), (ADBE, 424, 0.35%, 0.00%), (COP, 1,547, 0.35%, 0.00%), (DIS, 1,224, 0.34%, 0.00%), (TMO, 300, 0.34%, 0.00%), (SBUX, 1,487, 0.33%, 0.00%), (SCHW, 1,398, 0.33%, 0.00%), (AMAT, 732, 0.33%, 0.00%), (C, 1,459, 0.33%, 0.00%), (LMT, 300, 0.32%, 0.00%), (AMGN, 422, 0.30%, 0.00%), (MMM, 774, 0.29%, 0.00%), (GILD, 979, 0.27%, 0.00%), (EMR, 810, 0.27%, 0.00%), (PFE, 4,451, 0.27%, 0.00%), (TJX, 808, 0.26%, 0.00%), (CVS, 1,574, 0.25%, 0.00%), (DHR, 505, 0.25%, 0.00%), (MO, 1,573, 0.25%, 0.00%), (LOW, 406, 0.24%, 0.00%), (ELV, 290, 0.20%, 0.00%), (CMCSA, 2,581, 0.20%, 0.00%), (MDLZ, 1,241, 0.19%, 0.00%), (INTC, 3,831, 0.19%, 0.00%), (BMY, 1,593, 0.18%, 0.00%), (UPS, 795, 0.17%, 0.00%), (PYPL, 938, 0.16%, 0.00%), (CL, 690, 0.14%, 0.00%), (FDX, 244, 0.14%, 0.00%), (USB, 1,203, 0.13%, 0.00%), (TGT, 334, 0.09%, 0.00%), (SC28181B, nan, nan%, 0.00%), (SC28183B, nan, nan%, 0.00%), (SP28182B, nan, nan%, 0.00%), (SP28185B, nan, nan%, 0.00%), (SP28184B, nan, nan%, 0.00%), (XP28185B, nan, nan%, 0.00%)</v>
      </c>
      <c r="R271" s="4">
        <f t="shared" si="41"/>
        <v>1.574115663641825E-5</v>
      </c>
      <c r="S271" s="3">
        <f t="shared" si="42"/>
        <v>10988462.956666665</v>
      </c>
      <c r="T271" s="4">
        <f t="shared" si="42"/>
        <v>0.27244970735495805</v>
      </c>
    </row>
    <row r="272" spans="1:20" x14ac:dyDescent="0.4">
      <c r="A272" s="2">
        <v>45877</v>
      </c>
      <c r="B272" t="s">
        <v>38</v>
      </c>
      <c r="C272" t="s">
        <v>28</v>
      </c>
      <c r="D272" s="3" t="str">
        <f t="shared" si="34"/>
        <v>PASS</v>
      </c>
      <c r="E272" s="3" t="str">
        <f t="shared" si="35"/>
        <v>PASS</v>
      </c>
      <c r="F272" s="3" t="str">
        <f t="shared" si="36"/>
        <v>PASS</v>
      </c>
      <c r="G272" s="3" t="str">
        <f t="shared" si="37"/>
        <v>FAIL</v>
      </c>
      <c r="H272" s="3">
        <v>43557457.640000001</v>
      </c>
      <c r="I272" s="4">
        <v>0</v>
      </c>
      <c r="J272" s="3">
        <v>36722694.579999998</v>
      </c>
      <c r="K272" s="3">
        <v>7949.46</v>
      </c>
      <c r="L272" s="3">
        <v>0</v>
      </c>
      <c r="M272" t="s">
        <v>29</v>
      </c>
      <c r="N272" t="str">
        <f t="shared" si="38"/>
        <v>NVDA, MSFT, AAPL, AMZN</v>
      </c>
      <c r="O272" s="4">
        <f t="shared" si="39"/>
        <v>0.26285275271159353</v>
      </c>
      <c r="P272" s="4">
        <v>1</v>
      </c>
      <c r="Q272" t="str">
        <f t="shared" si="40"/>
        <v>(AVGO, 4,510, 3.12%, 0.00%), (META, 1,602, 2.80%, 0.00%), (BRK/B, 1,864, 1.99%, 0.00%), (GOOGL, 4,294, 1.94%, 0.00%), (CSCO, 11,317, 1.81%, 0.00%), (LIN, 1,601, 1.74%, 0.00%), (GOOG, 3,498, 1.58%, 0.00%), (TSLA, 2,144, 1.58%, 0.00%), (AMT, 3,248, 1.57%, 0.00%), (JPM, 2,360, 1.56%, 0.00%), (XOM, 5,713, 1.40%, 0.00%), (V, 1,757, 1.35%, 0.00%), (CB, 1,793, 1.11%, 0.00%), (WM, 2,008, 1.08%, 0.00%), (MA, 834, 1.07%, 0.00%), (GE, 1,672, 1.05%, 0.00%), (LLY, 673, 1.00%, 0.00%), (ORCL, 1,682, 0.96%, 0.00%), (PLTR, 2,145, 0.88%, 0.00%), (NEE, 5,158, 0.86%, 0.00%), (NFLX, 314, 0.85%, 0.00%), (JNJ, 2,056, 0.81%, 0.00%), (WMT, 3,422, 0.81%, 0.00%), (COST, 349, 0.78%, 0.00%), (CVX, 2,172, 0.77%, 0.00%), (PG, 2,163, 0.76%, 0.00%), (RTX, 2,056, 0.74%, 0.00%), (MCD, 1,022, 0.72%, 0.00%), (CAT, 746, 0.72%, 0.00%), (ABT, 2,358, 0.71%, 0.00%), (UNH, 1,251, 0.70%, 0.00%), (ABBV, 1,509, 0.69%, 0.00%), (HD, 773, 0.68%, 0.00%), (KO, 3,911, 0.63%, 0.00%), (AMD, 1,567, 0.62%, 0.00%), (PM, 1,568, 0.61%, 0.00%), (SO, 2,748, 0.60%, 0.00%), (BA, 1,155, 0.60%, 0.00%), (BKNG, 47, 0.59%, 0.00%), (BAC, 5,596, 0.58%, 0.00%), (NKE, 3,341, 0.57%, 0.00%), (DUK, 1,938, 0.56%, 0.00%), (IBM, 967, 0.56%, 0.00%), (CRM, 1,000, 0.56%, 0.00%), (UBER, 2,487, 0.53%, 0.00%), (GS, 319, 0.52%, 0.00%), (ISRG, 484, 0.52%, 0.00%), (INTU, 293, 0.51%, 0.00%), (ETN, 610, 0.51%, 0.00%), (HON, 1,004, 0.50%, 0.00%), (WFC, 2,791, 0.50%, 0.00%), (MET, 2,781, 0.47%, 0.00%), (DE, 393, 0.46%, 0.00%), (PEP, 1,384, 0.46%, 0.00%), (NOW, 216, 0.44%, 0.00%), (T, 6,660, 0.43%, 0.00%), (SPGI, 323, 0.41%, 0.00%), (MS, 1,261, 0.41%, 0.00%), (MRK, 2,160, 0.40%, 0.00%), (VZ, 3,907, 0.39%, 0.00%), (AXP, 566, 0.38%, 0.00%), (BLK, 148, 0.38%, 0.00%), (TXN, 881, 0.37%, 0.00%), (UNP, 716, 0.37%, 0.00%), (MDT, 1,744, 0.37%, 0.00%), (ACN, 654, 0.36%, 0.00%), (QCOM, 1,073, 0.36%, 0.00%), (ADBE, 461, 0.36%, 0.00%), (COP, 1,681, 0.36%, 0.00%), (DIS, 1,331, 0.35%, 0.00%), (TMO, 327, 0.34%, 0.00%), (SBUX, 1,617, 0.34%, 0.00%), (SCHW, 1,520, 0.34%, 0.00%), (AMAT, 796, 0.33%, 0.00%), (C, 1,585, 0.33%, 0.00%), (LMT, 326, 0.32%, 0.00%), (AMGN, 459, 0.30%, 0.00%), (MMM, 841, 0.29%, 0.00%), (GILD, 1,064, 0.27%, 0.00%), (EMR, 881, 0.27%, 0.00%), (PFE, 4,839, 0.27%, 0.00%), (TJX, 878, 0.26%, 0.00%), (CVS, 1,711, 0.25%, 0.00%), (DHR, 549, 0.25%, 0.00%), (MO, 1,710, 0.25%, 0.00%), (LOW, 442, 0.24%, 0.00%), (ELV, 315, 0.21%, 0.00%), (CMCSA, 2,805, 0.21%, 0.00%), (MDLZ, 1,349, 0.19%, 0.00%), (INTC, 4,165, 0.19%, 0.00%), (BMY, 1,732, 0.18%, 0.00%), (UPS, 864, 0.17%, 0.00%), (PYPL, 1,019, 0.16%, 0.00%), (CL, 750, 0.15%, 0.00%), (FDX, 265, 0.14%, 0.00%), (USB, 1,308, 0.13%, 0.00%), (TGT, 363, 0.09%, 0.00%), (SC13481B, nan, nan%, 0.00%), (SC13483B, nan, nan%, 0.00%), (SP13482B, nan, nan%, 0.00%), (SP13485B, nan, nan%, 0.00%), (SP13484B, nan, nan%, 0.00%), (XP13485B, nan, nan%, 0.00%)</v>
      </c>
      <c r="R272" s="4">
        <f t="shared" si="41"/>
        <v>1.5449685346531585E-5</v>
      </c>
      <c r="S272" s="3">
        <f t="shared" si="42"/>
        <v>14598919.113333331</v>
      </c>
      <c r="T272" s="4">
        <f t="shared" si="42"/>
        <v>0.33743699509525421</v>
      </c>
    </row>
    <row r="273" spans="1:20" x14ac:dyDescent="0.4">
      <c r="A273" s="2">
        <v>45877</v>
      </c>
      <c r="B273" t="s">
        <v>39</v>
      </c>
      <c r="C273" t="s">
        <v>28</v>
      </c>
      <c r="D273" s="3" t="str">
        <f t="shared" si="34"/>
        <v>PASS</v>
      </c>
      <c r="E273" s="3" t="str">
        <f t="shared" si="35"/>
        <v>PASS</v>
      </c>
      <c r="F273" s="3" t="str">
        <f t="shared" si="36"/>
        <v>PASS</v>
      </c>
      <c r="G273" s="3" t="str">
        <f t="shared" si="37"/>
        <v>FAIL</v>
      </c>
      <c r="H273" s="3">
        <v>79086344.680000007</v>
      </c>
      <c r="I273" s="4">
        <v>0</v>
      </c>
      <c r="J273" s="3">
        <v>70301347.239999995</v>
      </c>
      <c r="K273" s="3">
        <v>15220.68</v>
      </c>
      <c r="L273" s="3">
        <v>0</v>
      </c>
      <c r="M273" t="s">
        <v>29</v>
      </c>
      <c r="N273" t="str">
        <f t="shared" si="38"/>
        <v>NVDA, MSFT, AAPL, AMZN</v>
      </c>
      <c r="O273" s="4">
        <f t="shared" si="39"/>
        <v>0.25831653303796642</v>
      </c>
      <c r="P273" s="4">
        <v>1</v>
      </c>
      <c r="Q273" t="str">
        <f t="shared" si="40"/>
        <v>(AVGO, 8,486, 3.24%, 0.00%), (META, 3,014, 2.90%, 0.00%), (BRK/B, 3,507, 2.06%, 0.00%), (GOOGL, 8,079, 2.01%, 0.00%), (CSCO, 21,294, 1.88%, 0.00%), (LIN, 3,013, 1.80%, 0.00%), (GOOG, 6,581, 1.64%, 0.00%), (TSLA, 4,034, 1.64%, 0.00%), (AMT, 6,112, 1.63%, 0.00%), (JPM, 4,441, 1.62%, 0.00%), (XOM, 10,749, 1.45%, 0.00%), (V, 3,306, 1.39%, 0.00%), (CB, 3,373, 1.15%, 0.00%), (WM, 3,778, 1.12%, 0.00%), (MA, 1,568, 1.11%, 0.00%), (GE, 3,145, 1.09%, 0.00%), (LLY, 1,266, 1.03%, 0.00%), (ORCL, 3,164, 1.00%, 0.00%), (PLTR, 4,035, 0.91%, 0.00%), (NEE, 9,706, 0.89%, 0.00%), (NFLX, 591, 0.88%, 0.00%), (JNJ, 3,868, 0.84%, 0.00%), (WMT, 6,439, 0.84%, 0.00%), (COST, 657, 0.81%, 0.00%), (CVX, 4,087, 0.79%, 0.00%), (PG, 4,070, 0.79%, 0.00%), (RTX, 3,868, 0.77%, 0.00%), (MCD, 1,923, 0.75%, 0.00%), (CAT, 1,403, 0.74%, 0.00%), (ABT, 4,437, 0.74%, 0.00%), (UNH, 2,354, 0.73%, 0.00%), (ABBV, 2,839, 0.72%, 0.00%), (HD, 1,455, 0.71%, 0.00%), (KO, 7,359, 0.66%, 0.00%), (AMD, 2,948, 0.64%, 0.00%), (PM, 2,951, 0.63%, 0.00%), (SO, 5,171, 0.63%, 0.00%), (BA, 2,172, 0.63%, 0.00%), (BKNG, 89, 0.61%, 0.00%), (BAC, 10,529, 0.60%, 0.00%), (NKE, 6,287, 0.59%, 0.00%), (DUK, 3,646, 0.58%, 0.00%), (IBM, 1,820, 0.58%, 0.00%), (CRM, 1,882, 0.58%, 0.00%), (UBER, 4,679, 0.55%, 0.00%), (GS, 601, 0.55%, 0.00%), (ISRG, 911, 0.54%, 0.00%), (INTU, 552, 0.53%, 0.00%), (ETN, 1,148, 0.53%, 0.00%), (HON, 1,890, 0.52%, 0.00%), (WFC, 5,252, 0.51%, 0.00%), (MET, 5,233, 0.49%, 0.00%), (DE, 739, 0.48%, 0.00%), (PEP, 2,604, 0.47%, 0.00%), (NOW, 406, 0.45%, 0.00%), (T, 12,531, 0.45%, 0.00%), (SPGI, 607, 0.43%, 0.00%), (MS, 2,373, 0.42%, 0.00%), (MRK, 4,064, 0.41%, 0.00%), (VZ, 7,352, 0.40%, 0.00%), (AXP, 1,065, 0.40%, 0.00%), (BLK, 279, 0.39%, 0.00%), (TXN, 1,657, 0.39%, 0.00%), (UNP, 1,347, 0.38%, 0.00%), (MDT, 3,281, 0.38%, 0.00%), (ACN, 1,230, 0.38%, 0.00%), (QCOM, 2,018, 0.37%, 0.00%), (ADBE, 867, 0.37%, 0.00%), (COP, 3,164, 0.37%, 0.00%), (DIS, 2,504, 0.36%, 0.00%), (TMO, 615, 0.36%, 0.00%), (SBUX, 3,042, 0.35%, 0.00%), (SCHW, 2,860, 0.35%, 0.00%), (AMAT, 1,498, 0.35%, 0.00%), (C, 2,983, 0.35%, 0.00%), (LMT, 613, 0.33%, 0.00%), (AMGN, 864, 0.31%, 0.00%), (MMM, 1,582, 0.30%, 0.00%), (GILD, 2,002, 0.28%, 0.00%), (EMR, 1,657, 0.28%, 0.00%), (PFE, 9,104, 0.28%, 0.00%), (TJX, 1,652, 0.27%, 0.00%), (CVS, 3,219, 0.26%, 0.00%), (DHR, 1,033, 0.26%, 0.00%), (MO, 3,217, 0.26%, 0.00%), (LOW, 831, 0.25%, 0.00%), (ELV, 593, 0.21%, 0.00%), (CMCSA, 5,278, 0.21%, 0.00%), (MDLZ, 2,538, 0.20%, 0.00%), (INTC, 7,836, 0.20%, 0.00%), (BMY, 3,258, 0.19%, 0.00%), (UPS, 1,625, 0.18%, 0.00%), (PYPL, 1,918, 0.17%, 0.00%), (CL, 1,412, 0.15%, 0.00%), (FDX, 499, 0.14%, 0.00%), (USB, 2,461, 0.14%, 0.00%), (TGT, 683, 0.09%, 0.00%), (SC26771B, nan, nan%, 0.00%), (SC26773B, nan, nan%, 0.00%), (SP26772B, nan, nan%, 0.00%), (SP26775B, nan, nan%, 0.00%), (SP26774B, nan, nan%, 0.00%), (XP26775B, nan, nan%, 0.00%)</v>
      </c>
      <c r="R273" s="4">
        <f t="shared" si="41"/>
        <v>1.5388158827741726E-5</v>
      </c>
      <c r="S273" s="3">
        <f t="shared" si="42"/>
        <v>17685760.466666665</v>
      </c>
      <c r="T273" s="4">
        <f t="shared" si="42"/>
        <v>0.22515958380392753</v>
      </c>
    </row>
    <row r="274" spans="1:20" x14ac:dyDescent="0.4">
      <c r="A274" s="2">
        <v>45880</v>
      </c>
      <c r="B274" t="s">
        <v>27</v>
      </c>
      <c r="C274" t="s">
        <v>28</v>
      </c>
      <c r="D274" s="3" t="str">
        <f t="shared" si="34"/>
        <v>PASS</v>
      </c>
      <c r="E274" s="3" t="str">
        <f t="shared" si="35"/>
        <v>PASS</v>
      </c>
      <c r="F274" s="3" t="str">
        <f t="shared" si="36"/>
        <v>PASS</v>
      </c>
      <c r="G274" s="3" t="str">
        <f t="shared" si="37"/>
        <v>FAIL</v>
      </c>
      <c r="H274" s="3">
        <v>54704624.990000002</v>
      </c>
      <c r="I274" s="4">
        <v>0</v>
      </c>
      <c r="J274" s="3">
        <v>49469453.25</v>
      </c>
      <c r="K274" s="3">
        <v>3592.03</v>
      </c>
      <c r="L274" s="3">
        <v>0</v>
      </c>
      <c r="M274" t="s">
        <v>29</v>
      </c>
      <c r="N274" t="s">
        <v>275</v>
      </c>
      <c r="O274" s="4">
        <v>0.25565703235258619</v>
      </c>
      <c r="P274" s="4">
        <v>0.74434296764741381</v>
      </c>
      <c r="Q274" t="s">
        <v>276</v>
      </c>
      <c r="R274" s="4">
        <f t="shared" si="41"/>
        <v>1.5763389777073561E-5</v>
      </c>
      <c r="S274" s="3">
        <v>10259190.279999999</v>
      </c>
      <c r="T274" s="4">
        <v>0.18753789614452851</v>
      </c>
    </row>
    <row r="275" spans="1:20" x14ac:dyDescent="0.4">
      <c r="A275" s="2">
        <v>45880</v>
      </c>
      <c r="B275" t="s">
        <v>30</v>
      </c>
      <c r="C275" t="s">
        <v>28</v>
      </c>
      <c r="D275" s="3" t="str">
        <f t="shared" si="34"/>
        <v>PASS</v>
      </c>
      <c r="E275" s="3" t="str">
        <f t="shared" si="35"/>
        <v>PASS</v>
      </c>
      <c r="F275" s="3" t="str">
        <f t="shared" si="36"/>
        <v>PASS</v>
      </c>
      <c r="G275" s="3" t="str">
        <f t="shared" si="37"/>
        <v>FAIL</v>
      </c>
      <c r="H275" s="3">
        <v>34664573.579999998</v>
      </c>
      <c r="I275" s="4">
        <v>0</v>
      </c>
      <c r="J275" s="3">
        <v>32181176.239999998</v>
      </c>
      <c r="K275" s="3">
        <v>2342.0300000000002</v>
      </c>
      <c r="L275" s="3">
        <v>0</v>
      </c>
      <c r="M275" t="s">
        <v>29</v>
      </c>
      <c r="N275" t="s">
        <v>42</v>
      </c>
      <c r="O275" s="4">
        <v>0.26127318520909348</v>
      </c>
      <c r="P275" s="4">
        <v>0.73872681479090652</v>
      </c>
      <c r="Q275" t="s">
        <v>277</v>
      </c>
      <c r="R275" s="4">
        <v>5.970352022208428E-6</v>
      </c>
      <c r="S275" s="3">
        <v>4784294.2399999993</v>
      </c>
      <c r="T275" s="4">
        <v>0.1380168208029057</v>
      </c>
    </row>
    <row r="276" spans="1:20" x14ac:dyDescent="0.4">
      <c r="A276" s="2">
        <v>45880</v>
      </c>
      <c r="B276" t="s">
        <v>31</v>
      </c>
      <c r="C276" t="s">
        <v>28</v>
      </c>
      <c r="D276" s="3" t="str">
        <f t="shared" si="34"/>
        <v>PASS</v>
      </c>
      <c r="E276" s="3" t="str">
        <f t="shared" si="35"/>
        <v>PASS</v>
      </c>
      <c r="F276" s="3" t="str">
        <f t="shared" si="36"/>
        <v>PASS</v>
      </c>
      <c r="G276" s="3" t="str">
        <f t="shared" si="37"/>
        <v>FAIL</v>
      </c>
      <c r="H276" s="3">
        <v>23661572.07</v>
      </c>
      <c r="I276" s="4">
        <v>0</v>
      </c>
      <c r="J276" s="3">
        <v>21374482.460000001</v>
      </c>
      <c r="K276" s="3">
        <v>1555.91</v>
      </c>
      <c r="L276" s="3">
        <v>0</v>
      </c>
      <c r="M276" t="s">
        <v>29</v>
      </c>
      <c r="N276" t="s">
        <v>42</v>
      </c>
      <c r="O276" s="4">
        <v>0.25873839660677328</v>
      </c>
      <c r="P276" s="4">
        <v>0.74126160339322666</v>
      </c>
      <c r="Q276" t="s">
        <v>278</v>
      </c>
      <c r="R276" s="4">
        <v>3.9282566614816809E-6</v>
      </c>
      <c r="S276" s="3">
        <v>4254729.51</v>
      </c>
      <c r="T276" s="4">
        <v>0.17981601126978711</v>
      </c>
    </row>
    <row r="277" spans="1:20" x14ac:dyDescent="0.4">
      <c r="A277" s="2">
        <v>45880</v>
      </c>
      <c r="B277" t="s">
        <v>32</v>
      </c>
      <c r="C277" t="s">
        <v>28</v>
      </c>
      <c r="D277" s="3" t="str">
        <f t="shared" si="34"/>
        <v>PASS</v>
      </c>
      <c r="E277" s="3" t="str">
        <f t="shared" si="35"/>
        <v>PASS</v>
      </c>
      <c r="F277" s="3" t="str">
        <f t="shared" si="36"/>
        <v>PASS</v>
      </c>
      <c r="G277" s="3" t="str">
        <f t="shared" si="37"/>
        <v>FAIL</v>
      </c>
      <c r="H277" s="3">
        <v>24520444.370000001</v>
      </c>
      <c r="I277" s="4">
        <v>0</v>
      </c>
      <c r="J277" s="3">
        <v>20554150.579999998</v>
      </c>
      <c r="K277" s="3">
        <v>1496.18</v>
      </c>
      <c r="L277" s="3">
        <v>0</v>
      </c>
      <c r="M277" t="s">
        <v>29</v>
      </c>
      <c r="N277" t="s">
        <v>46</v>
      </c>
      <c r="O277" s="4">
        <v>0.29330289357060851</v>
      </c>
      <c r="P277" s="4">
        <v>0.70669710642939154</v>
      </c>
      <c r="Q277" t="s">
        <v>279</v>
      </c>
      <c r="R277" s="4">
        <v>3.7509617713767438E-6</v>
      </c>
      <c r="S277" s="3">
        <v>7744911.6600000001</v>
      </c>
      <c r="T277" s="4">
        <v>0.31585527338467229</v>
      </c>
    </row>
    <row r="278" spans="1:20" x14ac:dyDescent="0.4">
      <c r="A278" s="2">
        <v>45880</v>
      </c>
      <c r="B278" t="s">
        <v>33</v>
      </c>
      <c r="C278" t="s">
        <v>28</v>
      </c>
      <c r="D278" s="3" t="str">
        <f t="shared" si="34"/>
        <v>PASS</v>
      </c>
      <c r="E278" s="3" t="str">
        <f t="shared" si="35"/>
        <v>PASS</v>
      </c>
      <c r="F278" s="3" t="str">
        <f t="shared" si="36"/>
        <v>PASS</v>
      </c>
      <c r="G278" s="3" t="str">
        <f t="shared" si="37"/>
        <v>FAIL</v>
      </c>
      <c r="H278" s="3">
        <v>15403317.48</v>
      </c>
      <c r="I278" s="4">
        <v>0</v>
      </c>
      <c r="J278" s="3">
        <v>13569668.449999999</v>
      </c>
      <c r="K278" s="3">
        <v>988.35</v>
      </c>
      <c r="L278" s="3">
        <v>0</v>
      </c>
      <c r="M278" t="s">
        <v>29</v>
      </c>
      <c r="N278" t="s">
        <v>42</v>
      </c>
      <c r="O278" s="4">
        <v>0.25878068376829061</v>
      </c>
      <c r="P278" s="4">
        <v>0.74121931623170934</v>
      </c>
      <c r="Q278" t="s">
        <v>280</v>
      </c>
      <c r="R278" s="4">
        <v>2.4928088765356841E-6</v>
      </c>
      <c r="S278" s="3">
        <v>4294467.0299999993</v>
      </c>
      <c r="T278" s="4">
        <v>0.27880143583199057</v>
      </c>
    </row>
    <row r="279" spans="1:20" x14ac:dyDescent="0.4">
      <c r="A279" s="2">
        <v>45880</v>
      </c>
      <c r="B279" t="s">
        <v>34</v>
      </c>
      <c r="C279" t="s">
        <v>28</v>
      </c>
      <c r="D279" s="3" t="str">
        <f t="shared" si="34"/>
        <v>PASS</v>
      </c>
      <c r="E279" s="3" t="str">
        <f t="shared" si="35"/>
        <v>PASS</v>
      </c>
      <c r="F279" s="3" t="str">
        <f t="shared" si="36"/>
        <v>PASS</v>
      </c>
      <c r="G279" s="3" t="str">
        <f t="shared" si="37"/>
        <v>FAIL</v>
      </c>
      <c r="H279" s="3">
        <v>166208714.66999999</v>
      </c>
      <c r="I279" s="4">
        <v>0</v>
      </c>
      <c r="J279" s="3">
        <v>142035671.58000001</v>
      </c>
      <c r="K279" s="3">
        <v>10332.200000000001</v>
      </c>
      <c r="L279" s="3">
        <v>0</v>
      </c>
      <c r="M279" t="s">
        <v>29</v>
      </c>
      <c r="N279" t="s">
        <v>42</v>
      </c>
      <c r="O279" s="4">
        <v>0.25718324624828731</v>
      </c>
      <c r="P279" s="4">
        <v>0.74281675375171274</v>
      </c>
      <c r="Q279" t="s">
        <v>281</v>
      </c>
      <c r="R279" s="4">
        <v>2.594486427969358E-5</v>
      </c>
      <c r="S279" s="3">
        <v>46363341.180000007</v>
      </c>
      <c r="T279" s="4">
        <v>0.2789465117521206</v>
      </c>
    </row>
    <row r="280" spans="1:20" x14ac:dyDescent="0.4">
      <c r="A280" s="2">
        <v>45880</v>
      </c>
      <c r="B280" t="s">
        <v>35</v>
      </c>
      <c r="C280" t="s">
        <v>28</v>
      </c>
      <c r="D280" s="3" t="str">
        <f t="shared" si="34"/>
        <v>PASS</v>
      </c>
      <c r="E280" s="3" t="str">
        <f t="shared" si="35"/>
        <v>PASS</v>
      </c>
      <c r="F280" s="3" t="str">
        <f t="shared" si="36"/>
        <v>PASS</v>
      </c>
      <c r="G280" s="3" t="str">
        <f t="shared" si="37"/>
        <v>FAIL</v>
      </c>
      <c r="H280" s="3">
        <v>136588281.86000001</v>
      </c>
      <c r="I280" s="4">
        <v>0</v>
      </c>
      <c r="J280" s="3">
        <v>119370978</v>
      </c>
      <c r="K280" s="3">
        <v>8687.5499999999993</v>
      </c>
      <c r="L280" s="3">
        <v>0</v>
      </c>
      <c r="M280" t="s">
        <v>29</v>
      </c>
      <c r="N280" t="s">
        <v>42</v>
      </c>
      <c r="O280" s="4">
        <v>0.265533644031969</v>
      </c>
      <c r="P280" s="4">
        <v>0.734466355968031</v>
      </c>
      <c r="Q280" t="s">
        <v>282</v>
      </c>
      <c r="R280" s="4">
        <v>2.2514314960313711E-5</v>
      </c>
      <c r="S280" s="3">
        <v>35797618.829999998</v>
      </c>
      <c r="T280" s="4">
        <v>0.26208411397027292</v>
      </c>
    </row>
    <row r="281" spans="1:20" x14ac:dyDescent="0.4">
      <c r="A281" s="2">
        <v>45880</v>
      </c>
      <c r="B281" t="s">
        <v>36</v>
      </c>
      <c r="C281" t="s">
        <v>28</v>
      </c>
      <c r="D281" s="3" t="str">
        <f t="shared" si="34"/>
        <v>PASS</v>
      </c>
      <c r="E281" s="3" t="str">
        <f t="shared" si="35"/>
        <v>PASS</v>
      </c>
      <c r="F281" s="3" t="str">
        <f t="shared" si="36"/>
        <v>PASS</v>
      </c>
      <c r="G281" s="3" t="str">
        <f t="shared" si="37"/>
        <v>FAIL</v>
      </c>
      <c r="H281" s="3">
        <v>101970644.69</v>
      </c>
      <c r="I281" s="4">
        <v>0</v>
      </c>
      <c r="J281" s="3">
        <v>91925036.409999996</v>
      </c>
      <c r="K281" s="3">
        <v>6687.33</v>
      </c>
      <c r="L281" s="3">
        <v>0</v>
      </c>
      <c r="M281" t="s">
        <v>29</v>
      </c>
      <c r="N281" t="s">
        <v>42</v>
      </c>
      <c r="O281" s="4">
        <v>0.25672749146099583</v>
      </c>
      <c r="P281" s="4">
        <v>0.74327250853900417</v>
      </c>
      <c r="Q281" t="s">
        <v>283</v>
      </c>
      <c r="R281" s="4">
        <v>1.6761843405463159E-5</v>
      </c>
      <c r="S281" s="3">
        <v>18924350</v>
      </c>
      <c r="T281" s="4">
        <v>0.1855862543336049</v>
      </c>
    </row>
    <row r="282" spans="1:20" x14ac:dyDescent="0.4">
      <c r="A282" s="2">
        <v>45880</v>
      </c>
      <c r="B282" t="s">
        <v>37</v>
      </c>
      <c r="C282" t="s">
        <v>28</v>
      </c>
      <c r="D282" s="3" t="str">
        <f t="shared" si="34"/>
        <v>PASS</v>
      </c>
      <c r="E282" s="3" t="str">
        <f t="shared" si="35"/>
        <v>PASS</v>
      </c>
      <c r="F282" s="3" t="str">
        <f t="shared" si="36"/>
        <v>PASS</v>
      </c>
      <c r="G282" s="3" t="str">
        <f t="shared" si="37"/>
        <v>FAIL</v>
      </c>
      <c r="H282" s="3">
        <v>40404877.539999999</v>
      </c>
      <c r="I282" s="4">
        <v>0</v>
      </c>
      <c r="J282" s="3">
        <v>34774426.939999998</v>
      </c>
      <c r="K282" s="3">
        <v>2531.79</v>
      </c>
      <c r="L282" s="3">
        <v>0</v>
      </c>
      <c r="M282" t="s">
        <v>29</v>
      </c>
      <c r="N282" t="s">
        <v>42</v>
      </c>
      <c r="O282" s="4">
        <v>0.25640617673971661</v>
      </c>
      <c r="P282" s="4">
        <v>0.74359382326028345</v>
      </c>
      <c r="Q282" t="s">
        <v>284</v>
      </c>
      <c r="R282" s="4">
        <v>6.3292139684449271E-6</v>
      </c>
      <c r="S282" s="3">
        <v>11094385.23</v>
      </c>
      <c r="T282" s="4">
        <v>0.27458034538074733</v>
      </c>
    </row>
    <row r="283" spans="1:20" x14ac:dyDescent="0.4">
      <c r="A283" s="2">
        <v>45880</v>
      </c>
      <c r="B283" t="s">
        <v>38</v>
      </c>
      <c r="C283" t="s">
        <v>28</v>
      </c>
      <c r="D283" s="3" t="str">
        <f t="shared" si="34"/>
        <v>PASS</v>
      </c>
      <c r="E283" s="3" t="str">
        <f t="shared" si="35"/>
        <v>PASS</v>
      </c>
      <c r="F283" s="3" t="str">
        <f t="shared" si="36"/>
        <v>PASS</v>
      </c>
      <c r="G283" s="3" t="str">
        <f t="shared" si="37"/>
        <v>FAIL</v>
      </c>
      <c r="H283" s="3">
        <v>43377784.609999999</v>
      </c>
      <c r="I283" s="4">
        <v>0</v>
      </c>
      <c r="J283" s="3">
        <v>36625213.210000001</v>
      </c>
      <c r="K283" s="3">
        <v>2666.72</v>
      </c>
      <c r="L283" s="3">
        <v>0</v>
      </c>
      <c r="M283" t="s">
        <v>29</v>
      </c>
      <c r="N283" t="s">
        <v>42</v>
      </c>
      <c r="O283" s="4">
        <v>0.26464740244443202</v>
      </c>
      <c r="P283" s="4">
        <v>0.73535259755556792</v>
      </c>
      <c r="Q283" t="s">
        <v>285</v>
      </c>
      <c r="R283" s="4">
        <v>6.880323385879551E-6</v>
      </c>
      <c r="S283" s="3">
        <v>14843162.74</v>
      </c>
      <c r="T283" s="4">
        <v>0.34218351336868802</v>
      </c>
    </row>
    <row r="284" spans="1:20" x14ac:dyDescent="0.4">
      <c r="A284" s="2">
        <v>45880</v>
      </c>
      <c r="B284" t="s">
        <v>39</v>
      </c>
      <c r="C284" t="s">
        <v>28</v>
      </c>
      <c r="D284" s="3" t="str">
        <f t="shared" si="34"/>
        <v>PASS</v>
      </c>
      <c r="E284" s="3" t="str">
        <f t="shared" si="35"/>
        <v>PASS</v>
      </c>
      <c r="F284" s="3" t="str">
        <f t="shared" si="36"/>
        <v>PASS</v>
      </c>
      <c r="G284" s="3" t="str">
        <f t="shared" si="37"/>
        <v>FAIL</v>
      </c>
      <c r="H284" s="3">
        <v>78749667.900000006</v>
      </c>
      <c r="I284" s="4">
        <v>0</v>
      </c>
      <c r="J284" s="3">
        <v>70127062.560000002</v>
      </c>
      <c r="K284" s="3">
        <v>5104.07</v>
      </c>
      <c r="L284" s="3">
        <v>0</v>
      </c>
      <c r="M284" t="s">
        <v>29</v>
      </c>
      <c r="N284" t="s">
        <v>42</v>
      </c>
      <c r="O284" s="4">
        <v>0.26008265930709762</v>
      </c>
      <c r="P284" s="4">
        <v>0.73991734069290249</v>
      </c>
      <c r="Q284" t="s">
        <v>286</v>
      </c>
      <c r="R284" s="4">
        <v>1.2946799143687041E-5</v>
      </c>
      <c r="S284" s="3">
        <v>17940369.420000002</v>
      </c>
      <c r="T284" s="4">
        <v>0.22781517558628331</v>
      </c>
    </row>
    <row r="285" spans="1:20" x14ac:dyDescent="0.4">
      <c r="A285" s="2">
        <v>45881</v>
      </c>
      <c r="B285" t="s">
        <v>27</v>
      </c>
      <c r="C285" t="s">
        <v>28</v>
      </c>
      <c r="D285" s="3" t="str">
        <f t="shared" si="34"/>
        <v>PASS</v>
      </c>
      <c r="E285" s="3" t="str">
        <f t="shared" si="35"/>
        <v>PASS</v>
      </c>
      <c r="F285" s="3" t="str">
        <f t="shared" si="36"/>
        <v>PASS</v>
      </c>
      <c r="G285" s="3" t="str">
        <f t="shared" si="37"/>
        <v>FAIL</v>
      </c>
      <c r="H285" s="3">
        <v>55130368.969999999</v>
      </c>
      <c r="I285" s="4">
        <v>0</v>
      </c>
      <c r="J285" s="3">
        <v>49891605.609999999</v>
      </c>
      <c r="K285" s="3">
        <v>3592.3</v>
      </c>
      <c r="L285" s="3">
        <v>0</v>
      </c>
      <c r="M285" t="s">
        <v>29</v>
      </c>
      <c r="N285" t="s">
        <v>287</v>
      </c>
      <c r="O285" s="4">
        <v>0.25851362954362128</v>
      </c>
      <c r="P285" s="4">
        <v>0.74148637045637866</v>
      </c>
      <c r="Q285" t="s">
        <v>288</v>
      </c>
      <c r="R285" s="4">
        <v>7.6829042023753881E-5</v>
      </c>
      <c r="S285" s="3">
        <v>10228716.07</v>
      </c>
      <c r="T285" s="4">
        <v>0.18553686944424599</v>
      </c>
    </row>
    <row r="286" spans="1:20" x14ac:dyDescent="0.4">
      <c r="A286" s="2">
        <v>45881</v>
      </c>
      <c r="B286" t="s">
        <v>30</v>
      </c>
      <c r="C286" t="s">
        <v>28</v>
      </c>
      <c r="D286" s="3" t="str">
        <f t="shared" si="34"/>
        <v>PASS</v>
      </c>
      <c r="E286" s="3" t="str">
        <f t="shared" si="35"/>
        <v>PASS</v>
      </c>
      <c r="F286" s="3" t="str">
        <f t="shared" si="36"/>
        <v>PASS</v>
      </c>
      <c r="G286" s="3" t="str">
        <f t="shared" si="37"/>
        <v>FAIL</v>
      </c>
      <c r="H286" s="3">
        <v>34895278.43</v>
      </c>
      <c r="I286" s="4">
        <v>0</v>
      </c>
      <c r="J286" s="3">
        <v>32409544.649999999</v>
      </c>
      <c r="K286" s="3">
        <v>2336.44</v>
      </c>
      <c r="L286" s="3">
        <v>0</v>
      </c>
      <c r="M286" t="s">
        <v>29</v>
      </c>
      <c r="N286" t="s">
        <v>42</v>
      </c>
      <c r="O286" s="4">
        <v>0.2617117291094061</v>
      </c>
      <c r="P286" s="4">
        <v>0.7382882708905939</v>
      </c>
      <c r="Q286" t="s">
        <v>289</v>
      </c>
      <c r="R286" s="4">
        <v>5.970352022208428E-6</v>
      </c>
      <c r="S286" s="3">
        <v>4822943.5</v>
      </c>
      <c r="T286" s="4">
        <v>0.13821192198465571</v>
      </c>
    </row>
    <row r="287" spans="1:20" x14ac:dyDescent="0.4">
      <c r="A287" s="2">
        <v>45881</v>
      </c>
      <c r="B287" t="s">
        <v>31</v>
      </c>
      <c r="C287" t="s">
        <v>28</v>
      </c>
      <c r="D287" s="3" t="str">
        <f t="shared" si="34"/>
        <v>PASS</v>
      </c>
      <c r="E287" s="3" t="str">
        <f t="shared" si="35"/>
        <v>PASS</v>
      </c>
      <c r="F287" s="3" t="str">
        <f t="shared" si="36"/>
        <v>PASS</v>
      </c>
      <c r="G287" s="3" t="str">
        <f t="shared" si="37"/>
        <v>FAIL</v>
      </c>
      <c r="H287" s="3">
        <v>23794259.170000002</v>
      </c>
      <c r="I287" s="4">
        <v>0</v>
      </c>
      <c r="J287" s="3">
        <v>21505617.710000001</v>
      </c>
      <c r="K287" s="3">
        <v>1552.56</v>
      </c>
      <c r="L287" s="3">
        <v>0</v>
      </c>
      <c r="M287" t="s">
        <v>29</v>
      </c>
      <c r="N287" t="s">
        <v>42</v>
      </c>
      <c r="O287" s="4">
        <v>0.25941676055209673</v>
      </c>
      <c r="P287" s="4">
        <v>0.74058323944790327</v>
      </c>
      <c r="Q287" t="s">
        <v>290</v>
      </c>
      <c r="R287" s="4">
        <v>3.9282566614816809E-6</v>
      </c>
      <c r="S287" s="3">
        <v>4282128.709999999</v>
      </c>
      <c r="T287" s="4">
        <v>0.17996478391724599</v>
      </c>
    </row>
    <row r="288" spans="1:20" x14ac:dyDescent="0.4">
      <c r="A288" s="2">
        <v>45881</v>
      </c>
      <c r="B288" t="s">
        <v>32</v>
      </c>
      <c r="C288" t="s">
        <v>28</v>
      </c>
      <c r="D288" s="3" t="str">
        <f t="shared" si="34"/>
        <v>PASS</v>
      </c>
      <c r="E288" s="3" t="str">
        <f t="shared" si="35"/>
        <v>PASS</v>
      </c>
      <c r="F288" s="3" t="str">
        <f t="shared" si="36"/>
        <v>PASS</v>
      </c>
      <c r="G288" s="3" t="str">
        <f t="shared" si="37"/>
        <v>FAIL</v>
      </c>
      <c r="H288" s="3">
        <v>24643522.77</v>
      </c>
      <c r="I288" s="4">
        <v>0</v>
      </c>
      <c r="J288" s="3">
        <v>20675736.690000001</v>
      </c>
      <c r="K288" s="3">
        <v>1492.84</v>
      </c>
      <c r="L288" s="3">
        <v>0</v>
      </c>
      <c r="M288" t="s">
        <v>29</v>
      </c>
      <c r="N288" t="s">
        <v>46</v>
      </c>
      <c r="O288" s="4">
        <v>0.29437272689508209</v>
      </c>
      <c r="P288" s="4">
        <v>0.7056272731049178</v>
      </c>
      <c r="Q288" t="s">
        <v>291</v>
      </c>
      <c r="R288" s="4">
        <v>3.7509617713767438E-6</v>
      </c>
      <c r="S288" s="3">
        <v>7759683.4100000001</v>
      </c>
      <c r="T288" s="4">
        <v>0.3148771984598856</v>
      </c>
    </row>
    <row r="289" spans="1:20" x14ac:dyDescent="0.4">
      <c r="A289" s="2">
        <v>45881</v>
      </c>
      <c r="B289" t="s">
        <v>33</v>
      </c>
      <c r="C289" t="s">
        <v>28</v>
      </c>
      <c r="D289" s="3" t="str">
        <f t="shared" si="34"/>
        <v>PASS</v>
      </c>
      <c r="E289" s="3" t="str">
        <f t="shared" si="35"/>
        <v>PASS</v>
      </c>
      <c r="F289" s="3" t="str">
        <f t="shared" si="36"/>
        <v>PASS</v>
      </c>
      <c r="G289" s="3" t="str">
        <f t="shared" si="37"/>
        <v>FAIL</v>
      </c>
      <c r="H289" s="3">
        <v>15492584.9</v>
      </c>
      <c r="I289" s="4">
        <v>0</v>
      </c>
      <c r="J289" s="3">
        <v>13657950.67</v>
      </c>
      <c r="K289" s="3">
        <v>985.91</v>
      </c>
      <c r="L289" s="3">
        <v>0</v>
      </c>
      <c r="M289" t="s">
        <v>29</v>
      </c>
      <c r="N289" t="s">
        <v>42</v>
      </c>
      <c r="O289" s="4">
        <v>0.25936573103759791</v>
      </c>
      <c r="P289" s="4">
        <v>0.74063426896240214</v>
      </c>
      <c r="Q289" t="s">
        <v>292</v>
      </c>
      <c r="R289" s="4">
        <v>2.4928088765356841E-6</v>
      </c>
      <c r="S289" s="3">
        <v>4325795.6500000004</v>
      </c>
      <c r="T289" s="4">
        <v>0.27921716601340041</v>
      </c>
    </row>
    <row r="290" spans="1:20" x14ac:dyDescent="0.4">
      <c r="A290" s="2">
        <v>45881</v>
      </c>
      <c r="B290" t="s">
        <v>34</v>
      </c>
      <c r="C290" t="s">
        <v>28</v>
      </c>
      <c r="D290" s="3" t="str">
        <f t="shared" si="34"/>
        <v>PASS</v>
      </c>
      <c r="E290" s="3" t="str">
        <f t="shared" si="35"/>
        <v>PASS</v>
      </c>
      <c r="F290" s="3" t="str">
        <f t="shared" si="36"/>
        <v>PASS</v>
      </c>
      <c r="G290" s="3" t="str">
        <f t="shared" si="37"/>
        <v>FAIL</v>
      </c>
      <c r="H290" s="3">
        <v>166983604.78</v>
      </c>
      <c r="I290" s="4">
        <v>0</v>
      </c>
      <c r="J290" s="3">
        <v>142800249.50999999</v>
      </c>
      <c r="K290" s="3">
        <v>10312.73</v>
      </c>
      <c r="L290" s="3">
        <v>0</v>
      </c>
      <c r="M290" t="s">
        <v>29</v>
      </c>
      <c r="N290" t="s">
        <v>42</v>
      </c>
      <c r="O290" s="4">
        <v>0.25804936837606512</v>
      </c>
      <c r="P290" s="4">
        <v>0.74195063162393482</v>
      </c>
      <c r="Q290" t="s">
        <v>293</v>
      </c>
      <c r="R290" s="4">
        <v>2.594486427969358E-5</v>
      </c>
      <c r="S290" s="3">
        <v>46653687.859999999</v>
      </c>
      <c r="T290" s="4">
        <v>0.27939082954560712</v>
      </c>
    </row>
    <row r="291" spans="1:20" x14ac:dyDescent="0.4">
      <c r="A291" s="2">
        <v>45881</v>
      </c>
      <c r="B291" t="s">
        <v>35</v>
      </c>
      <c r="C291" t="s">
        <v>28</v>
      </c>
      <c r="D291" s="3" t="str">
        <f t="shared" si="34"/>
        <v>PASS</v>
      </c>
      <c r="E291" s="3" t="str">
        <f t="shared" si="35"/>
        <v>PASS</v>
      </c>
      <c r="F291" s="3" t="str">
        <f t="shared" si="36"/>
        <v>PASS</v>
      </c>
      <c r="G291" s="3" t="str">
        <f t="shared" si="37"/>
        <v>FAIL</v>
      </c>
      <c r="H291" s="3">
        <v>137423599.83000001</v>
      </c>
      <c r="I291" s="4">
        <v>0</v>
      </c>
      <c r="J291" s="3">
        <v>120197629.31</v>
      </c>
      <c r="K291" s="3">
        <v>8667.2099999999991</v>
      </c>
      <c r="L291" s="3">
        <v>0</v>
      </c>
      <c r="M291" t="s">
        <v>29</v>
      </c>
      <c r="N291" t="s">
        <v>42</v>
      </c>
      <c r="O291" s="4">
        <v>0.26602018104311981</v>
      </c>
      <c r="P291" s="4">
        <v>0.73397981895688025</v>
      </c>
      <c r="Q291" t="s">
        <v>294</v>
      </c>
      <c r="R291" s="4">
        <v>2.2514314960313711E-5</v>
      </c>
      <c r="S291" s="3">
        <v>36186616.919999987</v>
      </c>
      <c r="T291" s="4">
        <v>0.26332170722324749</v>
      </c>
    </row>
    <row r="292" spans="1:20" x14ac:dyDescent="0.4">
      <c r="A292" s="2">
        <v>45881</v>
      </c>
      <c r="B292" t="s">
        <v>36</v>
      </c>
      <c r="C292" t="s">
        <v>28</v>
      </c>
      <c r="D292" s="3" t="str">
        <f t="shared" si="34"/>
        <v>PASS</v>
      </c>
      <c r="E292" s="3" t="str">
        <f t="shared" si="35"/>
        <v>PASS</v>
      </c>
      <c r="F292" s="3" t="str">
        <f t="shared" si="36"/>
        <v>PASS</v>
      </c>
      <c r="G292" s="3" t="str">
        <f t="shared" si="37"/>
        <v>FAIL</v>
      </c>
      <c r="H292" s="3">
        <v>102487664.55</v>
      </c>
      <c r="I292" s="4">
        <v>0</v>
      </c>
      <c r="J292" s="3">
        <v>92435382.260000005</v>
      </c>
      <c r="K292" s="3">
        <v>6674.69</v>
      </c>
      <c r="L292" s="3">
        <v>0</v>
      </c>
      <c r="M292" t="s">
        <v>29</v>
      </c>
      <c r="N292" t="s">
        <v>42</v>
      </c>
      <c r="O292" s="4">
        <v>0.2575502282560691</v>
      </c>
      <c r="P292" s="4">
        <v>0.7424497717439309</v>
      </c>
      <c r="Q292" t="s">
        <v>295</v>
      </c>
      <c r="R292" s="4">
        <v>1.6761843405463159E-5</v>
      </c>
      <c r="S292" s="3">
        <v>18962192.620000001</v>
      </c>
      <c r="T292" s="4">
        <v>0.1850192674724189</v>
      </c>
    </row>
    <row r="293" spans="1:20" x14ac:dyDescent="0.4">
      <c r="A293" s="2">
        <v>45881</v>
      </c>
      <c r="B293" t="s">
        <v>37</v>
      </c>
      <c r="C293" t="s">
        <v>28</v>
      </c>
      <c r="D293" s="3" t="str">
        <f t="shared" si="34"/>
        <v>PASS</v>
      </c>
      <c r="E293" s="3" t="str">
        <f t="shared" si="35"/>
        <v>PASS</v>
      </c>
      <c r="F293" s="3" t="str">
        <f t="shared" si="36"/>
        <v>PASS</v>
      </c>
      <c r="G293" s="3" t="str">
        <f t="shared" si="37"/>
        <v>FAIL</v>
      </c>
      <c r="H293" s="3">
        <v>40621849.460000001</v>
      </c>
      <c r="I293" s="4">
        <v>0</v>
      </c>
      <c r="J293" s="3">
        <v>34988874.140000001</v>
      </c>
      <c r="K293" s="3">
        <v>2525.4</v>
      </c>
      <c r="L293" s="3">
        <v>0</v>
      </c>
      <c r="M293" t="s">
        <v>29</v>
      </c>
      <c r="N293" t="s">
        <v>42</v>
      </c>
      <c r="O293" s="4">
        <v>0.25707738505700878</v>
      </c>
      <c r="P293" s="4">
        <v>0.74292261494299117</v>
      </c>
      <c r="Q293" t="s">
        <v>296</v>
      </c>
      <c r="R293" s="4">
        <v>6.3292139684449271E-6</v>
      </c>
      <c r="S293" s="3">
        <v>11141142.24</v>
      </c>
      <c r="T293" s="4">
        <v>0.27426477100631741</v>
      </c>
    </row>
    <row r="294" spans="1:20" x14ac:dyDescent="0.4">
      <c r="A294" s="2">
        <v>45881</v>
      </c>
      <c r="B294" t="s">
        <v>38</v>
      </c>
      <c r="C294" t="s">
        <v>28</v>
      </c>
      <c r="D294" s="3" t="str">
        <f t="shared" si="34"/>
        <v>PASS</v>
      </c>
      <c r="E294" s="3" t="str">
        <f t="shared" si="35"/>
        <v>PASS</v>
      </c>
      <c r="F294" s="3" t="str">
        <f t="shared" si="36"/>
        <v>PASS</v>
      </c>
      <c r="G294" s="3" t="str">
        <f t="shared" si="37"/>
        <v>FAIL</v>
      </c>
      <c r="H294" s="3">
        <v>43642940.780000001</v>
      </c>
      <c r="I294" s="4">
        <v>0</v>
      </c>
      <c r="J294" s="3">
        <v>36887710.289999999</v>
      </c>
      <c r="K294" s="3">
        <v>2659.64</v>
      </c>
      <c r="L294" s="3">
        <v>0</v>
      </c>
      <c r="M294" t="s">
        <v>29</v>
      </c>
      <c r="N294" t="s">
        <v>42</v>
      </c>
      <c r="O294" s="4">
        <v>0.26507667928228029</v>
      </c>
      <c r="P294" s="4">
        <v>0.73492332071771971</v>
      </c>
      <c r="Q294" t="s">
        <v>297</v>
      </c>
      <c r="R294" s="4">
        <v>6.880323385879551E-6</v>
      </c>
      <c r="S294" s="3">
        <v>14970332.779999999</v>
      </c>
      <c r="T294" s="4">
        <v>0.34301842434184382</v>
      </c>
    </row>
    <row r="295" spans="1:20" x14ac:dyDescent="0.4">
      <c r="A295" s="2">
        <v>45881</v>
      </c>
      <c r="B295" t="s">
        <v>39</v>
      </c>
      <c r="C295" t="s">
        <v>28</v>
      </c>
      <c r="D295" s="3" t="str">
        <f t="shared" si="34"/>
        <v>PASS</v>
      </c>
      <c r="E295" s="3" t="str">
        <f t="shared" si="35"/>
        <v>PASS</v>
      </c>
      <c r="F295" s="3" t="str">
        <f t="shared" si="36"/>
        <v>PASS</v>
      </c>
      <c r="G295" s="3" t="str">
        <f t="shared" si="37"/>
        <v>FAIL</v>
      </c>
      <c r="H295" s="3">
        <v>79242609.920000002</v>
      </c>
      <c r="I295" s="4">
        <v>0</v>
      </c>
      <c r="J295" s="3">
        <v>70614913.159999996</v>
      </c>
      <c r="K295" s="3">
        <v>5091.42</v>
      </c>
      <c r="L295" s="3">
        <v>0</v>
      </c>
      <c r="M295" t="s">
        <v>29</v>
      </c>
      <c r="N295" t="s">
        <v>42</v>
      </c>
      <c r="O295" s="4">
        <v>0.26055938719786431</v>
      </c>
      <c r="P295" s="4">
        <v>0.7394406128021358</v>
      </c>
      <c r="Q295" t="s">
        <v>298</v>
      </c>
      <c r="R295" s="4">
        <v>1.2946799143687041E-5</v>
      </c>
      <c r="S295" s="3">
        <v>18091356.239999998</v>
      </c>
      <c r="T295" s="4">
        <v>0.2283033870068675</v>
      </c>
    </row>
    <row r="296" spans="1:20" x14ac:dyDescent="0.4">
      <c r="A296" s="2">
        <v>45882</v>
      </c>
      <c r="B296" t="s">
        <v>27</v>
      </c>
      <c r="C296" t="s">
        <v>28</v>
      </c>
      <c r="D296" s="3" t="str">
        <f t="shared" si="34"/>
        <v>PASS</v>
      </c>
      <c r="E296" s="3" t="str">
        <f t="shared" si="35"/>
        <v>PASS</v>
      </c>
      <c r="F296" s="3" t="str">
        <f t="shared" si="36"/>
        <v>PASS</v>
      </c>
      <c r="G296" s="3" t="str">
        <f t="shared" si="37"/>
        <v>FAIL</v>
      </c>
      <c r="H296" s="3">
        <v>55565609.350000001</v>
      </c>
      <c r="I296" s="4">
        <v>0</v>
      </c>
      <c r="J296" s="3">
        <v>50323223.719999999</v>
      </c>
      <c r="K296" s="3">
        <v>3622.95</v>
      </c>
      <c r="L296" s="3">
        <v>0</v>
      </c>
      <c r="M296" t="s">
        <v>29</v>
      </c>
      <c r="N296" t="s">
        <v>299</v>
      </c>
      <c r="O296" s="4">
        <v>0.25567335275634451</v>
      </c>
      <c r="P296" s="4">
        <v>0.74432664724365549</v>
      </c>
      <c r="Q296" t="s">
        <v>300</v>
      </c>
      <c r="R296" s="4">
        <v>7.6829042023753881E-5</v>
      </c>
      <c r="S296" s="3">
        <v>10258545.220000001</v>
      </c>
      <c r="T296" s="4">
        <v>0.18462040351942979</v>
      </c>
    </row>
    <row r="297" spans="1:20" x14ac:dyDescent="0.4">
      <c r="A297" s="2">
        <v>45882</v>
      </c>
      <c r="B297" t="s">
        <v>30</v>
      </c>
      <c r="C297" t="s">
        <v>28</v>
      </c>
      <c r="D297" s="3" t="str">
        <f t="shared" si="34"/>
        <v>PASS</v>
      </c>
      <c r="E297" s="3" t="str">
        <f t="shared" si="35"/>
        <v>PASS</v>
      </c>
      <c r="F297" s="3" t="str">
        <f t="shared" si="36"/>
        <v>PASS</v>
      </c>
      <c r="G297" s="3" t="str">
        <f t="shared" si="37"/>
        <v>FAIL</v>
      </c>
      <c r="H297" s="3">
        <v>34932199.079999998</v>
      </c>
      <c r="I297" s="4">
        <v>0</v>
      </c>
      <c r="J297" s="3">
        <v>32444263.050000001</v>
      </c>
      <c r="K297" s="3">
        <v>2353.02</v>
      </c>
      <c r="L297" s="3">
        <v>0</v>
      </c>
      <c r="M297" t="s">
        <v>29</v>
      </c>
      <c r="N297" t="s">
        <v>42</v>
      </c>
      <c r="O297" s="4">
        <v>0.26124544074056261</v>
      </c>
      <c r="P297" s="4">
        <v>0.73875455925943745</v>
      </c>
      <c r="Q297" t="s">
        <v>301</v>
      </c>
      <c r="R297" s="4">
        <v>5.970352022208428E-6</v>
      </c>
      <c r="S297" s="3">
        <v>4852437.92</v>
      </c>
      <c r="T297" s="4">
        <v>0.13891017593502161</v>
      </c>
    </row>
    <row r="298" spans="1:20" x14ac:dyDescent="0.4">
      <c r="A298" s="2">
        <v>45882</v>
      </c>
      <c r="B298" t="s">
        <v>31</v>
      </c>
      <c r="C298" t="s">
        <v>28</v>
      </c>
      <c r="D298" s="3" t="str">
        <f t="shared" si="34"/>
        <v>PASS</v>
      </c>
      <c r="E298" s="3" t="str">
        <f t="shared" si="35"/>
        <v>PASS</v>
      </c>
      <c r="F298" s="3" t="str">
        <f t="shared" si="36"/>
        <v>PASS</v>
      </c>
      <c r="G298" s="3" t="str">
        <f t="shared" si="37"/>
        <v>FAIL</v>
      </c>
      <c r="H298" s="3">
        <v>23816542.239999998</v>
      </c>
      <c r="I298" s="4">
        <v>0</v>
      </c>
      <c r="J298" s="3">
        <v>21526490.18</v>
      </c>
      <c r="K298" s="3">
        <v>1562.08</v>
      </c>
      <c r="L298" s="3">
        <v>0</v>
      </c>
      <c r="M298" t="s">
        <v>29</v>
      </c>
      <c r="N298" t="s">
        <v>42</v>
      </c>
      <c r="O298" s="4">
        <v>0.25897819260752342</v>
      </c>
      <c r="P298" s="4">
        <v>0.74102180739247658</v>
      </c>
      <c r="Q298" t="s">
        <v>302</v>
      </c>
      <c r="R298" s="4">
        <v>3.9282566614816809E-6</v>
      </c>
      <c r="S298" s="3">
        <v>4311899.9800000004</v>
      </c>
      <c r="T298" s="4">
        <v>0.1810464313647572</v>
      </c>
    </row>
    <row r="299" spans="1:20" x14ac:dyDescent="0.4">
      <c r="A299" s="2">
        <v>45882</v>
      </c>
      <c r="B299" t="s">
        <v>32</v>
      </c>
      <c r="C299" t="s">
        <v>28</v>
      </c>
      <c r="D299" s="3" t="str">
        <f t="shared" si="34"/>
        <v>PASS</v>
      </c>
      <c r="E299" s="3" t="str">
        <f t="shared" si="35"/>
        <v>PASS</v>
      </c>
      <c r="F299" s="3" t="str">
        <f t="shared" si="36"/>
        <v>PASS</v>
      </c>
      <c r="G299" s="3" t="str">
        <f t="shared" si="37"/>
        <v>FAIL</v>
      </c>
      <c r="H299" s="3">
        <v>24667269.309999999</v>
      </c>
      <c r="I299" s="4">
        <v>0</v>
      </c>
      <c r="J299" s="3">
        <v>20697982.109999999</v>
      </c>
      <c r="K299" s="3">
        <v>1501.67</v>
      </c>
      <c r="L299" s="3">
        <v>0</v>
      </c>
      <c r="M299" t="s">
        <v>29</v>
      </c>
      <c r="N299" t="s">
        <v>46</v>
      </c>
      <c r="O299" s="4">
        <v>0.29353896760132042</v>
      </c>
      <c r="P299" s="4">
        <v>0.70646103239867963</v>
      </c>
      <c r="Q299" t="s">
        <v>303</v>
      </c>
      <c r="R299" s="4">
        <v>3.7509617713767438E-6</v>
      </c>
      <c r="S299" s="3">
        <v>7790817.5100000007</v>
      </c>
      <c r="T299" s="4">
        <v>0.31583623675935779</v>
      </c>
    </row>
    <row r="300" spans="1:20" x14ac:dyDescent="0.4">
      <c r="A300" s="2">
        <v>45882</v>
      </c>
      <c r="B300" t="s">
        <v>33</v>
      </c>
      <c r="C300" t="s">
        <v>28</v>
      </c>
      <c r="D300" s="3" t="str">
        <f t="shared" si="34"/>
        <v>PASS</v>
      </c>
      <c r="E300" s="3" t="str">
        <f t="shared" si="35"/>
        <v>PASS</v>
      </c>
      <c r="F300" s="3" t="str">
        <f t="shared" si="36"/>
        <v>PASS</v>
      </c>
      <c r="G300" s="3" t="str">
        <f t="shared" si="37"/>
        <v>FAIL</v>
      </c>
      <c r="H300" s="3">
        <v>15508747.98</v>
      </c>
      <c r="I300" s="4">
        <v>0</v>
      </c>
      <c r="J300" s="3">
        <v>13673122.15</v>
      </c>
      <c r="K300" s="3">
        <v>992.31</v>
      </c>
      <c r="L300" s="3">
        <v>0</v>
      </c>
      <c r="M300" t="s">
        <v>29</v>
      </c>
      <c r="N300" t="s">
        <v>42</v>
      </c>
      <c r="O300" s="4">
        <v>0.25890831817076981</v>
      </c>
      <c r="P300" s="4">
        <v>0.74109168182923024</v>
      </c>
      <c r="Q300" t="s">
        <v>304</v>
      </c>
      <c r="R300" s="4">
        <v>2.4928088765356841E-6</v>
      </c>
      <c r="S300" s="3">
        <v>4348528.01</v>
      </c>
      <c r="T300" s="4">
        <v>0.28039194495956982</v>
      </c>
    </row>
    <row r="301" spans="1:20" x14ac:dyDescent="0.4">
      <c r="A301" s="2">
        <v>45882</v>
      </c>
      <c r="B301" t="s">
        <v>34</v>
      </c>
      <c r="C301" t="s">
        <v>28</v>
      </c>
      <c r="D301" s="3" t="str">
        <f t="shared" si="34"/>
        <v>PASS</v>
      </c>
      <c r="E301" s="3" t="str">
        <f t="shared" si="35"/>
        <v>PASS</v>
      </c>
      <c r="F301" s="3" t="str">
        <f t="shared" si="36"/>
        <v>PASS</v>
      </c>
      <c r="G301" s="3" t="str">
        <f t="shared" si="37"/>
        <v>FAIL</v>
      </c>
      <c r="H301" s="3">
        <v>167130197.78</v>
      </c>
      <c r="I301" s="4">
        <v>0</v>
      </c>
      <c r="J301" s="3">
        <v>142937077.90000001</v>
      </c>
      <c r="K301" s="3">
        <v>10368.24</v>
      </c>
      <c r="L301" s="3">
        <v>0</v>
      </c>
      <c r="M301" t="s">
        <v>29</v>
      </c>
      <c r="N301" t="s">
        <v>42</v>
      </c>
      <c r="O301" s="4">
        <v>0.2576232655725782</v>
      </c>
      <c r="P301" s="4">
        <v>0.7423767344274218</v>
      </c>
      <c r="Q301" t="s">
        <v>305</v>
      </c>
      <c r="R301" s="4">
        <v>2.594486427969358E-5</v>
      </c>
      <c r="S301" s="3">
        <v>46899912.5</v>
      </c>
      <c r="T301" s="4">
        <v>0.28061902111631659</v>
      </c>
    </row>
    <row r="302" spans="1:20" x14ac:dyDescent="0.4">
      <c r="A302" s="2">
        <v>45882</v>
      </c>
      <c r="B302" t="s">
        <v>35</v>
      </c>
      <c r="C302" t="s">
        <v>28</v>
      </c>
      <c r="D302" s="3" t="str">
        <f t="shared" si="34"/>
        <v>PASS</v>
      </c>
      <c r="E302" s="3" t="str">
        <f t="shared" si="35"/>
        <v>PASS</v>
      </c>
      <c r="F302" s="3" t="str">
        <f t="shared" si="36"/>
        <v>PASS</v>
      </c>
      <c r="G302" s="3" t="str">
        <f t="shared" si="37"/>
        <v>FAIL</v>
      </c>
      <c r="H302" s="3">
        <v>137577697.63</v>
      </c>
      <c r="I302" s="4">
        <v>0</v>
      </c>
      <c r="J302" s="3">
        <v>120343452.73999999</v>
      </c>
      <c r="K302" s="3">
        <v>8727.23</v>
      </c>
      <c r="L302" s="3">
        <v>0</v>
      </c>
      <c r="M302" t="s">
        <v>29</v>
      </c>
      <c r="N302" t="s">
        <v>42</v>
      </c>
      <c r="O302" s="4">
        <v>0.26551293753415373</v>
      </c>
      <c r="P302" s="4">
        <v>0.73448706246584627</v>
      </c>
      <c r="Q302" t="s">
        <v>306</v>
      </c>
      <c r="R302" s="4">
        <v>2.2514314960313711E-5</v>
      </c>
      <c r="S302" s="3">
        <v>36434428.970000014</v>
      </c>
      <c r="T302" s="4">
        <v>0.2648280178956503</v>
      </c>
    </row>
    <row r="303" spans="1:20" x14ac:dyDescent="0.4">
      <c r="A303" s="2">
        <v>45882</v>
      </c>
      <c r="B303" t="s">
        <v>36</v>
      </c>
      <c r="C303" t="s">
        <v>28</v>
      </c>
      <c r="D303" s="3" t="str">
        <f t="shared" si="34"/>
        <v>PASS</v>
      </c>
      <c r="E303" s="3" t="str">
        <f t="shared" si="35"/>
        <v>PASS</v>
      </c>
      <c r="F303" s="3" t="str">
        <f t="shared" si="36"/>
        <v>PASS</v>
      </c>
      <c r="G303" s="3" t="str">
        <f t="shared" si="37"/>
        <v>FAIL</v>
      </c>
      <c r="H303" s="3">
        <v>102579625.45999999</v>
      </c>
      <c r="I303" s="4">
        <v>0</v>
      </c>
      <c r="J303" s="3">
        <v>92520933.650000006</v>
      </c>
      <c r="K303" s="3">
        <v>6711.74</v>
      </c>
      <c r="L303" s="3">
        <v>0</v>
      </c>
      <c r="M303" t="s">
        <v>29</v>
      </c>
      <c r="N303" t="s">
        <v>42</v>
      </c>
      <c r="O303" s="4">
        <v>0.25713199868903391</v>
      </c>
      <c r="P303" s="4">
        <v>0.74286800131096609</v>
      </c>
      <c r="Q303" t="s">
        <v>307</v>
      </c>
      <c r="R303" s="4">
        <v>1.6761843405463159E-5</v>
      </c>
      <c r="S303" s="3">
        <v>19062005.41</v>
      </c>
      <c r="T303" s="4">
        <v>0.18582642824556869</v>
      </c>
    </row>
    <row r="304" spans="1:20" x14ac:dyDescent="0.4">
      <c r="A304" s="2">
        <v>45882</v>
      </c>
      <c r="B304" t="s">
        <v>37</v>
      </c>
      <c r="C304" t="s">
        <v>28</v>
      </c>
      <c r="D304" s="3" t="str">
        <f t="shared" si="34"/>
        <v>PASS</v>
      </c>
      <c r="E304" s="3" t="str">
        <f t="shared" si="35"/>
        <v>PASS</v>
      </c>
      <c r="F304" s="3" t="str">
        <f t="shared" si="36"/>
        <v>PASS</v>
      </c>
      <c r="G304" s="3" t="str">
        <f t="shared" si="37"/>
        <v>FAIL</v>
      </c>
      <c r="H304" s="3">
        <v>40662985.090000004</v>
      </c>
      <c r="I304" s="4">
        <v>0</v>
      </c>
      <c r="J304" s="3">
        <v>35027620.25</v>
      </c>
      <c r="K304" s="3">
        <v>2540.9699999999998</v>
      </c>
      <c r="L304" s="3">
        <v>0</v>
      </c>
      <c r="M304" t="s">
        <v>29</v>
      </c>
      <c r="N304" t="s">
        <v>42</v>
      </c>
      <c r="O304" s="4">
        <v>0.2566127374867837</v>
      </c>
      <c r="P304" s="4">
        <v>0.7433872625132163</v>
      </c>
      <c r="Q304" t="s">
        <v>308</v>
      </c>
      <c r="R304" s="4">
        <v>6.3292139684449271E-6</v>
      </c>
      <c r="S304" s="3">
        <v>11194151.539999999</v>
      </c>
      <c r="T304" s="4">
        <v>0.27529094372249879</v>
      </c>
    </row>
    <row r="305" spans="1:20" x14ac:dyDescent="0.4">
      <c r="A305" s="2">
        <v>45882</v>
      </c>
      <c r="B305" t="s">
        <v>38</v>
      </c>
      <c r="C305" t="s">
        <v>28</v>
      </c>
      <c r="D305" s="3" t="str">
        <f t="shared" si="34"/>
        <v>PASS</v>
      </c>
      <c r="E305" s="3" t="str">
        <f t="shared" si="35"/>
        <v>PASS</v>
      </c>
      <c r="F305" s="3" t="str">
        <f t="shared" si="36"/>
        <v>PASS</v>
      </c>
      <c r="G305" s="3" t="str">
        <f t="shared" si="37"/>
        <v>FAIL</v>
      </c>
      <c r="H305" s="3">
        <v>43693467.939999998</v>
      </c>
      <c r="I305" s="4">
        <v>0</v>
      </c>
      <c r="J305" s="3">
        <v>36935710.07</v>
      </c>
      <c r="K305" s="3">
        <v>2678.7</v>
      </c>
      <c r="L305" s="3">
        <v>0</v>
      </c>
      <c r="M305" t="s">
        <v>29</v>
      </c>
      <c r="N305" t="s">
        <v>42</v>
      </c>
      <c r="O305" s="4">
        <v>0.26454406728561369</v>
      </c>
      <c r="P305" s="4">
        <v>0.73545593271438625</v>
      </c>
      <c r="Q305" t="s">
        <v>309</v>
      </c>
      <c r="R305" s="4">
        <v>6.880323385879551E-6</v>
      </c>
      <c r="S305" s="3">
        <v>15051531.300000001</v>
      </c>
      <c r="T305" s="4">
        <v>0.34448012505367648</v>
      </c>
    </row>
    <row r="306" spans="1:20" x14ac:dyDescent="0.4">
      <c r="A306" s="2">
        <v>45882</v>
      </c>
      <c r="B306" t="s">
        <v>39</v>
      </c>
      <c r="C306" t="s">
        <v>28</v>
      </c>
      <c r="D306" s="3" t="str">
        <f t="shared" si="34"/>
        <v>PASS</v>
      </c>
      <c r="E306" s="3" t="str">
        <f t="shared" si="35"/>
        <v>PASS</v>
      </c>
      <c r="F306" s="3" t="str">
        <f t="shared" si="36"/>
        <v>PASS</v>
      </c>
      <c r="G306" s="3" t="str">
        <f t="shared" si="37"/>
        <v>FAIL</v>
      </c>
      <c r="H306" s="3">
        <v>79337383.75</v>
      </c>
      <c r="I306" s="4">
        <v>0</v>
      </c>
      <c r="J306" s="3">
        <v>70704861.689999998</v>
      </c>
      <c r="K306" s="3">
        <v>5126.84</v>
      </c>
      <c r="L306" s="3">
        <v>0</v>
      </c>
      <c r="M306" t="s">
        <v>29</v>
      </c>
      <c r="N306" t="s">
        <v>42</v>
      </c>
      <c r="O306" s="4">
        <v>0.26004235141019189</v>
      </c>
      <c r="P306" s="4">
        <v>0.73995764858980806</v>
      </c>
      <c r="Q306" t="s">
        <v>310</v>
      </c>
      <c r="R306" s="4">
        <v>1.2946799143687041E-5</v>
      </c>
      <c r="S306" s="3">
        <v>18197381.5</v>
      </c>
      <c r="T306" s="4">
        <v>0.22936704791453369</v>
      </c>
    </row>
    <row r="307" spans="1:20" x14ac:dyDescent="0.4">
      <c r="A307" s="2">
        <v>45883</v>
      </c>
      <c r="B307" t="s">
        <v>27</v>
      </c>
      <c r="C307" t="s">
        <v>28</v>
      </c>
      <c r="D307" s="3" t="str">
        <f t="shared" si="34"/>
        <v>PASS</v>
      </c>
      <c r="E307" s="3" t="str">
        <f t="shared" si="35"/>
        <v>PASS</v>
      </c>
      <c r="F307" s="3" t="str">
        <f t="shared" si="36"/>
        <v>PASS</v>
      </c>
      <c r="G307" s="3" t="str">
        <f t="shared" si="37"/>
        <v>FAIL</v>
      </c>
      <c r="H307" s="3">
        <v>55447250.049999997</v>
      </c>
      <c r="I307" s="4">
        <v>0</v>
      </c>
      <c r="J307" s="3">
        <v>50201210.82</v>
      </c>
      <c r="K307" s="3">
        <v>3654.28</v>
      </c>
      <c r="L307" s="3">
        <v>0</v>
      </c>
      <c r="M307" t="s">
        <v>29</v>
      </c>
      <c r="N307" t="s">
        <v>311</v>
      </c>
      <c r="O307" s="4">
        <v>0.25656936734419589</v>
      </c>
      <c r="P307" s="4">
        <v>0.74343063265580411</v>
      </c>
      <c r="Q307" t="s">
        <v>312</v>
      </c>
      <c r="R307" s="4">
        <v>7.6829042023753881E-5</v>
      </c>
      <c r="S307" s="3">
        <v>10232927.890000001</v>
      </c>
      <c r="T307" s="4">
        <v>0.1845524869271673</v>
      </c>
    </row>
    <row r="308" spans="1:20" x14ac:dyDescent="0.4">
      <c r="A308" s="2">
        <v>45883</v>
      </c>
      <c r="B308" t="s">
        <v>30</v>
      </c>
      <c r="C308" t="s">
        <v>28</v>
      </c>
      <c r="D308" s="3" t="str">
        <f t="shared" si="34"/>
        <v>PASS</v>
      </c>
      <c r="E308" s="3" t="str">
        <f t="shared" si="35"/>
        <v>PASS</v>
      </c>
      <c r="F308" s="3" t="str">
        <f t="shared" si="36"/>
        <v>PASS</v>
      </c>
      <c r="G308" s="3" t="str">
        <f t="shared" si="37"/>
        <v>FAIL</v>
      </c>
      <c r="H308" s="3">
        <v>34975579.340000004</v>
      </c>
      <c r="I308" s="4">
        <v>0</v>
      </c>
      <c r="J308" s="3">
        <v>32485478.390000001</v>
      </c>
      <c r="K308" s="3">
        <v>2355.54</v>
      </c>
      <c r="L308" s="3">
        <v>0</v>
      </c>
      <c r="M308" t="s">
        <v>29</v>
      </c>
      <c r="N308" t="s">
        <v>42</v>
      </c>
      <c r="O308" s="4">
        <v>0.26219003327412599</v>
      </c>
      <c r="P308" s="4">
        <v>0.73780996672587396</v>
      </c>
      <c r="Q308" t="s">
        <v>313</v>
      </c>
      <c r="R308" s="4">
        <v>5.970352022208428E-6</v>
      </c>
      <c r="S308" s="3">
        <v>4861067.6100000003</v>
      </c>
      <c r="T308" s="4">
        <v>0.13898462017584409</v>
      </c>
    </row>
    <row r="309" spans="1:20" x14ac:dyDescent="0.4">
      <c r="A309" s="2">
        <v>45883</v>
      </c>
      <c r="B309" t="s">
        <v>31</v>
      </c>
      <c r="C309" t="s">
        <v>28</v>
      </c>
      <c r="D309" s="3" t="str">
        <f t="shared" si="34"/>
        <v>PASS</v>
      </c>
      <c r="E309" s="3" t="str">
        <f t="shared" si="35"/>
        <v>PASS</v>
      </c>
      <c r="F309" s="3" t="str">
        <f t="shared" si="36"/>
        <v>PASS</v>
      </c>
      <c r="G309" s="3" t="str">
        <f t="shared" si="37"/>
        <v>FAIL</v>
      </c>
      <c r="H309" s="3">
        <v>23844178.210000001</v>
      </c>
      <c r="I309" s="4">
        <v>0</v>
      </c>
      <c r="J309" s="3">
        <v>21552658.579999998</v>
      </c>
      <c r="K309" s="3">
        <v>1563.59</v>
      </c>
      <c r="L309" s="3">
        <v>0</v>
      </c>
      <c r="M309" t="s">
        <v>29</v>
      </c>
      <c r="N309" t="s">
        <v>42</v>
      </c>
      <c r="O309" s="4">
        <v>0.25992712032280518</v>
      </c>
      <c r="P309" s="4">
        <v>0.74007287967719482</v>
      </c>
      <c r="Q309" t="s">
        <v>314</v>
      </c>
      <c r="R309" s="4">
        <v>3.9282566614816809E-6</v>
      </c>
      <c r="S309" s="3">
        <v>4313663.91</v>
      </c>
      <c r="T309" s="4">
        <v>0.18091057162921609</v>
      </c>
    </row>
    <row r="310" spans="1:20" x14ac:dyDescent="0.4">
      <c r="A310" s="2">
        <v>45883</v>
      </c>
      <c r="B310" t="s">
        <v>32</v>
      </c>
      <c r="C310" t="s">
        <v>28</v>
      </c>
      <c r="D310" s="3" t="str">
        <f t="shared" si="34"/>
        <v>PASS</v>
      </c>
      <c r="E310" s="3" t="str">
        <f t="shared" si="35"/>
        <v>PASS</v>
      </c>
      <c r="F310" s="3" t="str">
        <f t="shared" si="36"/>
        <v>PASS</v>
      </c>
      <c r="G310" s="3" t="str">
        <f t="shared" si="37"/>
        <v>FAIL</v>
      </c>
      <c r="H310" s="3">
        <v>24687125.530000001</v>
      </c>
      <c r="I310" s="4">
        <v>0</v>
      </c>
      <c r="J310" s="3">
        <v>20716430.91</v>
      </c>
      <c r="K310" s="3">
        <v>1503.28</v>
      </c>
      <c r="L310" s="3">
        <v>0</v>
      </c>
      <c r="M310" t="s">
        <v>29</v>
      </c>
      <c r="N310" t="s">
        <v>46</v>
      </c>
      <c r="O310" s="4">
        <v>0.29492238100969292</v>
      </c>
      <c r="P310" s="4">
        <v>0.70507761899030708</v>
      </c>
      <c r="Q310" t="s">
        <v>315</v>
      </c>
      <c r="R310" s="4">
        <v>3.7509617713767438E-6</v>
      </c>
      <c r="S310" s="3">
        <v>7787327.6699999999</v>
      </c>
      <c r="T310" s="4">
        <v>0.31544084225345609</v>
      </c>
    </row>
    <row r="311" spans="1:20" x14ac:dyDescent="0.4">
      <c r="A311" s="2">
        <v>45883</v>
      </c>
      <c r="B311" t="s">
        <v>33</v>
      </c>
      <c r="C311" t="s">
        <v>28</v>
      </c>
      <c r="D311" s="3" t="str">
        <f t="shared" si="34"/>
        <v>PASS</v>
      </c>
      <c r="E311" s="3" t="str">
        <f t="shared" si="35"/>
        <v>PASS</v>
      </c>
      <c r="F311" s="3" t="str">
        <f t="shared" si="36"/>
        <v>PASS</v>
      </c>
      <c r="G311" s="3" t="str">
        <f t="shared" si="37"/>
        <v>FAIL</v>
      </c>
      <c r="H311" s="3">
        <v>15523839.119999999</v>
      </c>
      <c r="I311" s="4">
        <v>0</v>
      </c>
      <c r="J311" s="3">
        <v>13687315.890000001</v>
      </c>
      <c r="K311" s="3">
        <v>993.42</v>
      </c>
      <c r="L311" s="3">
        <v>0</v>
      </c>
      <c r="M311" t="s">
        <v>29</v>
      </c>
      <c r="N311" t="s">
        <v>42</v>
      </c>
      <c r="O311" s="4">
        <v>0.25995323470246873</v>
      </c>
      <c r="P311" s="4">
        <v>0.74004676529753133</v>
      </c>
      <c r="Q311" t="s">
        <v>316</v>
      </c>
      <c r="R311" s="4">
        <v>2.4928088765356841E-6</v>
      </c>
      <c r="S311" s="3">
        <v>4356109.1100000003</v>
      </c>
      <c r="T311" s="4">
        <v>0.28060772057266731</v>
      </c>
    </row>
    <row r="312" spans="1:20" x14ac:dyDescent="0.4">
      <c r="A312" s="2">
        <v>45883</v>
      </c>
      <c r="B312" t="s">
        <v>34</v>
      </c>
      <c r="C312" t="s">
        <v>28</v>
      </c>
      <c r="D312" s="3" t="str">
        <f t="shared" si="34"/>
        <v>PASS</v>
      </c>
      <c r="E312" s="3" t="str">
        <f t="shared" si="35"/>
        <v>PASS</v>
      </c>
      <c r="F312" s="3" t="str">
        <f t="shared" si="36"/>
        <v>PASS</v>
      </c>
      <c r="G312" s="3" t="str">
        <f t="shared" si="37"/>
        <v>FAIL</v>
      </c>
      <c r="H312" s="3">
        <v>167285412.21000001</v>
      </c>
      <c r="I312" s="4">
        <v>0</v>
      </c>
      <c r="J312" s="3">
        <v>143082772.50999999</v>
      </c>
      <c r="K312" s="3">
        <v>10378.17</v>
      </c>
      <c r="L312" s="3">
        <v>0</v>
      </c>
      <c r="M312" t="s">
        <v>29</v>
      </c>
      <c r="N312" t="s">
        <v>42</v>
      </c>
      <c r="O312" s="4">
        <v>0.25863067265777012</v>
      </c>
      <c r="P312" s="4">
        <v>0.74136932734222993</v>
      </c>
      <c r="Q312" t="s">
        <v>317</v>
      </c>
      <c r="R312" s="4">
        <v>2.594486427969358E-5</v>
      </c>
      <c r="S312" s="3">
        <v>46943606.380000003</v>
      </c>
      <c r="T312" s="4">
        <v>0.28061984461065759</v>
      </c>
    </row>
    <row r="313" spans="1:20" x14ac:dyDescent="0.4">
      <c r="A313" s="2">
        <v>45883</v>
      </c>
      <c r="B313" t="s">
        <v>35</v>
      </c>
      <c r="C313" t="s">
        <v>28</v>
      </c>
      <c r="D313" s="3" t="str">
        <f t="shared" si="34"/>
        <v>PASS</v>
      </c>
      <c r="E313" s="3" t="str">
        <f t="shared" si="35"/>
        <v>PASS</v>
      </c>
      <c r="F313" s="3" t="str">
        <f t="shared" si="36"/>
        <v>PASS</v>
      </c>
      <c r="G313" s="3" t="str">
        <f t="shared" si="37"/>
        <v>FAIL</v>
      </c>
      <c r="H313" s="3">
        <v>137739169.83000001</v>
      </c>
      <c r="I313" s="4">
        <v>0</v>
      </c>
      <c r="J313" s="3">
        <v>120496950.17</v>
      </c>
      <c r="K313" s="3">
        <v>8737.81</v>
      </c>
      <c r="L313" s="3">
        <v>0</v>
      </c>
      <c r="M313" t="s">
        <v>29</v>
      </c>
      <c r="N313" t="s">
        <v>42</v>
      </c>
      <c r="O313" s="4">
        <v>0.26647894668453082</v>
      </c>
      <c r="P313" s="4">
        <v>0.73352105331546924</v>
      </c>
      <c r="Q313" t="s">
        <v>318</v>
      </c>
      <c r="R313" s="4">
        <v>2.2514314960313711E-5</v>
      </c>
      <c r="S313" s="3">
        <v>36526700.919999987</v>
      </c>
      <c r="T313" s="4">
        <v>0.26518746239781937</v>
      </c>
    </row>
    <row r="314" spans="1:20" x14ac:dyDescent="0.4">
      <c r="A314" s="2">
        <v>45883</v>
      </c>
      <c r="B314" t="s">
        <v>36</v>
      </c>
      <c r="C314" t="s">
        <v>28</v>
      </c>
      <c r="D314" s="3" t="str">
        <f t="shared" si="34"/>
        <v>PASS</v>
      </c>
      <c r="E314" s="3" t="str">
        <f t="shared" si="35"/>
        <v>PASS</v>
      </c>
      <c r="F314" s="3" t="str">
        <f t="shared" si="36"/>
        <v>PASS</v>
      </c>
      <c r="G314" s="3" t="str">
        <f t="shared" si="37"/>
        <v>FAIL</v>
      </c>
      <c r="H314" s="3">
        <v>102686190.28</v>
      </c>
      <c r="I314" s="4">
        <v>0</v>
      </c>
      <c r="J314" s="3">
        <v>92621257.75</v>
      </c>
      <c r="K314" s="3">
        <v>6717.95</v>
      </c>
      <c r="L314" s="3">
        <v>0</v>
      </c>
      <c r="M314" t="s">
        <v>29</v>
      </c>
      <c r="N314" t="s">
        <v>42</v>
      </c>
      <c r="O314" s="4">
        <v>0.2590600486636126</v>
      </c>
      <c r="P314" s="4">
        <v>0.74093995133638746</v>
      </c>
      <c r="Q314" t="s">
        <v>319</v>
      </c>
      <c r="R314" s="4">
        <v>1.6761843405463159E-5</v>
      </c>
      <c r="S314" s="3">
        <v>19471788.699999999</v>
      </c>
      <c r="T314" s="4">
        <v>0.18962421964341281</v>
      </c>
    </row>
    <row r="315" spans="1:20" x14ac:dyDescent="0.4">
      <c r="A315" s="2">
        <v>45883</v>
      </c>
      <c r="B315" t="s">
        <v>37</v>
      </c>
      <c r="C315" t="s">
        <v>28</v>
      </c>
      <c r="D315" s="3" t="str">
        <f t="shared" si="34"/>
        <v>PASS</v>
      </c>
      <c r="E315" s="3" t="str">
        <f t="shared" si="35"/>
        <v>PASS</v>
      </c>
      <c r="F315" s="3" t="str">
        <f t="shared" si="36"/>
        <v>PASS</v>
      </c>
      <c r="G315" s="3" t="str">
        <f t="shared" si="37"/>
        <v>FAIL</v>
      </c>
      <c r="H315" s="3">
        <v>40703366.57</v>
      </c>
      <c r="I315" s="4">
        <v>0</v>
      </c>
      <c r="J315" s="3">
        <v>35065458.630000003</v>
      </c>
      <c r="K315" s="3">
        <v>2543.7800000000002</v>
      </c>
      <c r="L315" s="3">
        <v>0</v>
      </c>
      <c r="M315" t="s">
        <v>29</v>
      </c>
      <c r="N315" t="s">
        <v>42</v>
      </c>
      <c r="O315" s="4">
        <v>0.25762923209768379</v>
      </c>
      <c r="P315" s="4">
        <v>0.74237076790231615</v>
      </c>
      <c r="Q315" t="s">
        <v>320</v>
      </c>
      <c r="R315" s="4">
        <v>6.3292139684449271E-6</v>
      </c>
      <c r="S315" s="3">
        <v>11202698.34</v>
      </c>
      <c r="T315" s="4">
        <v>0.27522780752629028</v>
      </c>
    </row>
    <row r="316" spans="1:20" x14ac:dyDescent="0.4">
      <c r="A316" s="2">
        <v>45883</v>
      </c>
      <c r="B316" t="s">
        <v>38</v>
      </c>
      <c r="C316" t="s">
        <v>28</v>
      </c>
      <c r="D316" s="3" t="str">
        <f t="shared" si="34"/>
        <v>PASS</v>
      </c>
      <c r="E316" s="3" t="str">
        <f t="shared" si="35"/>
        <v>PASS</v>
      </c>
      <c r="F316" s="3" t="str">
        <f t="shared" si="36"/>
        <v>PASS</v>
      </c>
      <c r="G316" s="3" t="str">
        <f t="shared" si="37"/>
        <v>FAIL</v>
      </c>
      <c r="H316" s="3">
        <v>43736908.579999998</v>
      </c>
      <c r="I316" s="4">
        <v>0</v>
      </c>
      <c r="J316" s="3">
        <v>36976659.700000003</v>
      </c>
      <c r="K316" s="3">
        <v>2682.18</v>
      </c>
      <c r="L316" s="3">
        <v>0</v>
      </c>
      <c r="M316" t="s">
        <v>29</v>
      </c>
      <c r="N316" t="s">
        <v>42</v>
      </c>
      <c r="O316" s="4">
        <v>0.26557329839071431</v>
      </c>
      <c r="P316" s="4">
        <v>0.73442670160928569</v>
      </c>
      <c r="Q316" t="s">
        <v>321</v>
      </c>
      <c r="R316" s="4">
        <v>6.880323385879551E-6</v>
      </c>
      <c r="S316" s="3">
        <v>15091357.1</v>
      </c>
      <c r="T316" s="4">
        <v>0.34504855486976449</v>
      </c>
    </row>
    <row r="317" spans="1:20" x14ac:dyDescent="0.4">
      <c r="A317" s="2">
        <v>45883</v>
      </c>
      <c r="B317" t="s">
        <v>39</v>
      </c>
      <c r="C317" t="s">
        <v>28</v>
      </c>
      <c r="D317" s="3" t="str">
        <f t="shared" si="34"/>
        <v>PASS</v>
      </c>
      <c r="E317" s="3" t="str">
        <f t="shared" si="35"/>
        <v>PASS</v>
      </c>
      <c r="F317" s="3" t="str">
        <f t="shared" si="36"/>
        <v>PASS</v>
      </c>
      <c r="G317" s="3" t="str">
        <f t="shared" si="37"/>
        <v>FAIL</v>
      </c>
      <c r="H317" s="3">
        <v>79429720.640000001</v>
      </c>
      <c r="I317" s="4">
        <v>0</v>
      </c>
      <c r="J317" s="3">
        <v>70792446.450000003</v>
      </c>
      <c r="K317" s="3">
        <v>5133.37</v>
      </c>
      <c r="L317" s="3">
        <v>0</v>
      </c>
      <c r="M317" t="s">
        <v>29</v>
      </c>
      <c r="N317" t="s">
        <v>42</v>
      </c>
      <c r="O317" s="4">
        <v>0.26102694378631691</v>
      </c>
      <c r="P317" s="4">
        <v>0.73897305621368314</v>
      </c>
      <c r="Q317" t="s">
        <v>322</v>
      </c>
      <c r="R317" s="4">
        <v>1.2946799143687041E-5</v>
      </c>
      <c r="S317" s="3">
        <v>18238281.699999999</v>
      </c>
      <c r="T317" s="4">
        <v>0.2296153323094452</v>
      </c>
    </row>
    <row r="318" spans="1:20" x14ac:dyDescent="0.4">
      <c r="A318" s="2">
        <v>45884</v>
      </c>
      <c r="B318" t="s">
        <v>27</v>
      </c>
      <c r="C318" t="s">
        <v>28</v>
      </c>
      <c r="D318" s="3" t="str">
        <f t="shared" si="34"/>
        <v>PASS</v>
      </c>
      <c r="E318" s="3" t="str">
        <f t="shared" si="35"/>
        <v>PASS</v>
      </c>
      <c r="F318" s="3" t="str">
        <f t="shared" si="36"/>
        <v>PASS</v>
      </c>
      <c r="G318" s="3" t="str">
        <f t="shared" si="37"/>
        <v>FAIL</v>
      </c>
      <c r="H318" s="3">
        <v>54285267.359999999</v>
      </c>
      <c r="I318" s="4">
        <v>0</v>
      </c>
      <c r="J318" s="3">
        <v>49769599.880000003</v>
      </c>
      <c r="K318" s="3">
        <v>10936.29</v>
      </c>
      <c r="L318" s="3">
        <v>0</v>
      </c>
      <c r="M318" t="s">
        <v>29</v>
      </c>
      <c r="N318" t="s">
        <v>323</v>
      </c>
      <c r="O318" s="4">
        <v>0.25545605611969407</v>
      </c>
      <c r="P318" s="4">
        <v>0.74454394388030587</v>
      </c>
      <c r="Q318" t="s">
        <v>324</v>
      </c>
      <c r="R318" s="4">
        <v>7.6318218435212298E-5</v>
      </c>
      <c r="S318" s="3">
        <v>10263868.92</v>
      </c>
      <c r="T318" s="4">
        <v>0.18907282618567181</v>
      </c>
    </row>
    <row r="319" spans="1:20" x14ac:dyDescent="0.4">
      <c r="A319" s="2">
        <v>45884</v>
      </c>
      <c r="B319" t="s">
        <v>30</v>
      </c>
      <c r="C319" t="s">
        <v>28</v>
      </c>
      <c r="D319" s="3" t="str">
        <f t="shared" si="34"/>
        <v>PASS</v>
      </c>
      <c r="E319" s="3" t="str">
        <f t="shared" si="35"/>
        <v>PASS</v>
      </c>
      <c r="F319" s="3" t="str">
        <f t="shared" si="36"/>
        <v>PASS</v>
      </c>
      <c r="G319" s="3" t="str">
        <f t="shared" si="37"/>
        <v>FAIL</v>
      </c>
      <c r="H319" s="3">
        <v>34639203.710000001</v>
      </c>
      <c r="I319" s="4">
        <v>0</v>
      </c>
      <c r="J319" s="3">
        <v>32458132.850000001</v>
      </c>
      <c r="K319" s="3">
        <v>7075.59</v>
      </c>
      <c r="L319" s="3">
        <v>0</v>
      </c>
      <c r="M319" t="s">
        <v>29</v>
      </c>
      <c r="N319" t="s">
        <v>42</v>
      </c>
      <c r="O319" s="4">
        <v>0.26141753036789361</v>
      </c>
      <c r="P319" s="4">
        <v>0.73858246963210639</v>
      </c>
      <c r="Q319" t="s">
        <v>325</v>
      </c>
      <c r="R319" s="4">
        <v>5.970352022208428E-6</v>
      </c>
      <c r="S319" s="3">
        <v>4839461.2699999996</v>
      </c>
      <c r="T319" s="4">
        <v>0.13971052309735671</v>
      </c>
    </row>
    <row r="320" spans="1:20" x14ac:dyDescent="0.4">
      <c r="A320" s="2">
        <v>45884</v>
      </c>
      <c r="B320" t="s">
        <v>31</v>
      </c>
      <c r="C320" t="s">
        <v>28</v>
      </c>
      <c r="D320" s="3" t="str">
        <f t="shared" si="34"/>
        <v>PASS</v>
      </c>
      <c r="E320" s="3" t="str">
        <f t="shared" si="35"/>
        <v>PASS</v>
      </c>
      <c r="F320" s="3" t="str">
        <f t="shared" si="36"/>
        <v>PASS</v>
      </c>
      <c r="G320" s="3" t="str">
        <f t="shared" si="37"/>
        <v>FAIL</v>
      </c>
      <c r="H320" s="3">
        <v>23467122.73</v>
      </c>
      <c r="I320" s="4">
        <v>0</v>
      </c>
      <c r="J320" s="3">
        <v>21537689.93</v>
      </c>
      <c r="K320" s="3">
        <v>4696.47</v>
      </c>
      <c r="L320" s="3">
        <v>0</v>
      </c>
      <c r="M320" t="s">
        <v>29</v>
      </c>
      <c r="N320" t="s">
        <v>42</v>
      </c>
      <c r="O320" s="4">
        <v>0.25912922314969922</v>
      </c>
      <c r="P320" s="4">
        <v>0.74087077685030078</v>
      </c>
      <c r="Q320" t="s">
        <v>326</v>
      </c>
      <c r="R320" s="4">
        <v>3.9282566614816809E-6</v>
      </c>
      <c r="S320" s="3">
        <v>4295032.5199999996</v>
      </c>
      <c r="T320" s="4">
        <v>0.18302339700594389</v>
      </c>
    </row>
    <row r="321" spans="1:20" x14ac:dyDescent="0.4">
      <c r="A321" s="2">
        <v>45884</v>
      </c>
      <c r="B321" t="s">
        <v>32</v>
      </c>
      <c r="C321" t="s">
        <v>28</v>
      </c>
      <c r="D321" s="3" t="str">
        <f t="shared" si="34"/>
        <v>PASS</v>
      </c>
      <c r="E321" s="3" t="str">
        <f t="shared" si="35"/>
        <v>PASS</v>
      </c>
      <c r="F321" s="3" t="str">
        <f t="shared" si="36"/>
        <v>PASS</v>
      </c>
      <c r="G321" s="3" t="str">
        <f t="shared" si="37"/>
        <v>FAIL</v>
      </c>
      <c r="H321" s="3">
        <v>24673328.960000001</v>
      </c>
      <c r="I321" s="4">
        <v>0</v>
      </c>
      <c r="J321" s="3">
        <v>20699536.93</v>
      </c>
      <c r="K321" s="3">
        <v>4513.8599999999997</v>
      </c>
      <c r="L321" s="3">
        <v>0</v>
      </c>
      <c r="M321" t="s">
        <v>29</v>
      </c>
      <c r="N321" t="s">
        <v>46</v>
      </c>
      <c r="O321" s="4">
        <v>0.29374898629676738</v>
      </c>
      <c r="P321" s="4">
        <v>0.70625101370323262</v>
      </c>
      <c r="Q321" t="s">
        <v>327</v>
      </c>
      <c r="R321" s="4">
        <v>3.7509617713767438E-6</v>
      </c>
      <c r="S321" s="3">
        <v>7761253.0899999999</v>
      </c>
      <c r="T321" s="4">
        <v>0.31456043497747782</v>
      </c>
    </row>
    <row r="322" spans="1:20" x14ac:dyDescent="0.4">
      <c r="A322" s="2">
        <v>45884</v>
      </c>
      <c r="B322" t="s">
        <v>33</v>
      </c>
      <c r="C322" t="s">
        <v>28</v>
      </c>
      <c r="D322" s="3" t="str">
        <f t="shared" si="34"/>
        <v>PASS</v>
      </c>
      <c r="E322" s="3" t="str">
        <f t="shared" si="35"/>
        <v>PASS</v>
      </c>
      <c r="F322" s="3" t="str">
        <f t="shared" si="36"/>
        <v>PASS</v>
      </c>
      <c r="G322" s="3" t="str">
        <f t="shared" si="37"/>
        <v>FAIL</v>
      </c>
      <c r="H322" s="3">
        <v>15335080.57</v>
      </c>
      <c r="I322" s="4">
        <v>0</v>
      </c>
      <c r="J322" s="3">
        <v>13675441.470000001</v>
      </c>
      <c r="K322" s="3">
        <v>2983.35</v>
      </c>
      <c r="L322" s="3">
        <v>0</v>
      </c>
      <c r="M322" t="s">
        <v>29</v>
      </c>
      <c r="N322" t="s">
        <v>42</v>
      </c>
      <c r="O322" s="4">
        <v>0.25915160675248022</v>
      </c>
      <c r="P322" s="4">
        <v>0.74084839324751983</v>
      </c>
      <c r="Q322" t="s">
        <v>328</v>
      </c>
      <c r="R322" s="4">
        <v>2.4928088765356841E-6</v>
      </c>
      <c r="S322" s="3">
        <v>4335464.28</v>
      </c>
      <c r="T322" s="4">
        <v>0.28271545494723149</v>
      </c>
    </row>
    <row r="323" spans="1:20" x14ac:dyDescent="0.4">
      <c r="A323" s="2">
        <v>45884</v>
      </c>
      <c r="B323" t="s">
        <v>34</v>
      </c>
      <c r="C323" t="s">
        <v>28</v>
      </c>
      <c r="D323" s="3" t="str">
        <f t="shared" si="34"/>
        <v>PASS</v>
      </c>
      <c r="E323" s="3" t="str">
        <f t="shared" si="35"/>
        <v>PASS</v>
      </c>
      <c r="F323" s="3" t="str">
        <f t="shared" si="36"/>
        <v>PASS</v>
      </c>
      <c r="G323" s="3" t="str">
        <f t="shared" si="37"/>
        <v>FAIL</v>
      </c>
      <c r="H323" s="3">
        <v>167232880.87</v>
      </c>
      <c r="I323" s="4">
        <v>0</v>
      </c>
      <c r="J323" s="3">
        <v>143009593.69999999</v>
      </c>
      <c r="K323" s="3">
        <v>31166.25</v>
      </c>
      <c r="L323" s="3">
        <v>0</v>
      </c>
      <c r="M323" t="s">
        <v>29</v>
      </c>
      <c r="N323" t="s">
        <v>42</v>
      </c>
      <c r="O323" s="4">
        <v>0.25779169233455418</v>
      </c>
      <c r="P323" s="4">
        <v>0.74220830766544577</v>
      </c>
      <c r="Q323" t="s">
        <v>329</v>
      </c>
      <c r="R323" s="4">
        <v>2.594486427969358E-5</v>
      </c>
      <c r="S323" s="3">
        <v>46758691.68</v>
      </c>
      <c r="T323" s="4">
        <v>0.27960226144969841</v>
      </c>
    </row>
    <row r="324" spans="1:20" x14ac:dyDescent="0.4">
      <c r="A324" s="2">
        <v>45884</v>
      </c>
      <c r="B324" t="s">
        <v>35</v>
      </c>
      <c r="C324" t="s">
        <v>28</v>
      </c>
      <c r="D324" s="3" t="str">
        <f t="shared" si="34"/>
        <v>PASS</v>
      </c>
      <c r="E324" s="3" t="str">
        <f t="shared" si="35"/>
        <v>PASS</v>
      </c>
      <c r="F324" s="3" t="str">
        <f t="shared" si="36"/>
        <v>PASS</v>
      </c>
      <c r="G324" s="3" t="str">
        <f t="shared" si="37"/>
        <v>FAIL</v>
      </c>
      <c r="H324" s="3">
        <v>135759686.16</v>
      </c>
      <c r="I324" s="4">
        <v>0</v>
      </c>
      <c r="J324" s="3">
        <v>120392381.33</v>
      </c>
      <c r="K324" s="3">
        <v>26246.880000000001</v>
      </c>
      <c r="L324" s="3">
        <v>0</v>
      </c>
      <c r="M324" t="s">
        <v>29</v>
      </c>
      <c r="N324" t="s">
        <v>42</v>
      </c>
      <c r="O324" s="4">
        <v>0.26571303911926702</v>
      </c>
      <c r="P324" s="4">
        <v>0.73428696088073298</v>
      </c>
      <c r="Q324" t="s">
        <v>330</v>
      </c>
      <c r="R324" s="4">
        <v>2.2514314960313711E-5</v>
      </c>
      <c r="S324" s="3">
        <v>36289618.170000002</v>
      </c>
      <c r="T324" s="4">
        <v>0.26730776415636942</v>
      </c>
    </row>
    <row r="325" spans="1:20" x14ac:dyDescent="0.4">
      <c r="A325" s="2">
        <v>45884</v>
      </c>
      <c r="B325" t="s">
        <v>36</v>
      </c>
      <c r="C325" t="s">
        <v>28</v>
      </c>
      <c r="D325" s="3" t="str">
        <f t="shared" si="34"/>
        <v>PASS</v>
      </c>
      <c r="E325" s="3" t="str">
        <f t="shared" si="35"/>
        <v>PASS</v>
      </c>
      <c r="F325" s="3" t="str">
        <f t="shared" si="36"/>
        <v>PASS</v>
      </c>
      <c r="G325" s="3" t="str">
        <f t="shared" si="37"/>
        <v>FAIL</v>
      </c>
      <c r="H325" s="3">
        <v>101497508.09</v>
      </c>
      <c r="I325" s="4">
        <v>0</v>
      </c>
      <c r="J325" s="3">
        <v>92578082.340000004</v>
      </c>
      <c r="K325" s="3">
        <v>20175.72</v>
      </c>
      <c r="L325" s="3">
        <v>0</v>
      </c>
      <c r="M325" t="s">
        <v>29</v>
      </c>
      <c r="N325" t="s">
        <v>42</v>
      </c>
      <c r="O325" s="4">
        <v>0.25726785172033412</v>
      </c>
      <c r="P325" s="4">
        <v>0.74273214827966594</v>
      </c>
      <c r="Q325" t="s">
        <v>331</v>
      </c>
      <c r="R325" s="4">
        <v>1.6761843405463159E-5</v>
      </c>
      <c r="S325" s="3">
        <v>19015620.350000001</v>
      </c>
      <c r="T325" s="4">
        <v>0.18735061291493429</v>
      </c>
    </row>
    <row r="326" spans="1:20" x14ac:dyDescent="0.4">
      <c r="A326" s="2">
        <v>45884</v>
      </c>
      <c r="B326" t="s">
        <v>37</v>
      </c>
      <c r="C326" t="s">
        <v>28</v>
      </c>
      <c r="D326" s="3" t="str">
        <f t="shared" si="34"/>
        <v>PASS</v>
      </c>
      <c r="E326" s="3" t="str">
        <f t="shared" si="35"/>
        <v>PASS</v>
      </c>
      <c r="F326" s="3" t="str">
        <f t="shared" si="36"/>
        <v>PASS</v>
      </c>
      <c r="G326" s="3" t="str">
        <f t="shared" si="37"/>
        <v>FAIL</v>
      </c>
      <c r="H326" s="3">
        <v>40270098.68</v>
      </c>
      <c r="I326" s="4">
        <v>0</v>
      </c>
      <c r="J326" s="3">
        <v>35034787.579999998</v>
      </c>
      <c r="K326" s="3">
        <v>7639.59</v>
      </c>
      <c r="L326" s="3">
        <v>0</v>
      </c>
      <c r="M326" t="s">
        <v>29</v>
      </c>
      <c r="N326" t="s">
        <v>42</v>
      </c>
      <c r="O326" s="4">
        <v>0.25681971638773099</v>
      </c>
      <c r="P326" s="4">
        <v>0.74318028361226895</v>
      </c>
      <c r="Q326" t="s">
        <v>332</v>
      </c>
      <c r="R326" s="4">
        <v>6.3292139684449271E-6</v>
      </c>
      <c r="S326" s="3">
        <v>11146359.09</v>
      </c>
      <c r="T326" s="4">
        <v>0.27678996216455259</v>
      </c>
    </row>
    <row r="327" spans="1:20" x14ac:dyDescent="0.4">
      <c r="A327" s="2">
        <v>45884</v>
      </c>
      <c r="B327" t="s">
        <v>38</v>
      </c>
      <c r="C327" t="s">
        <v>28</v>
      </c>
      <c r="D327" s="3" t="str">
        <f t="shared" si="34"/>
        <v>PASS</v>
      </c>
      <c r="E327" s="3" t="str">
        <f t="shared" si="35"/>
        <v>PASS</v>
      </c>
      <c r="F327" s="3" t="str">
        <f t="shared" si="36"/>
        <v>PASS</v>
      </c>
      <c r="G327" s="3" t="str">
        <f t="shared" si="37"/>
        <v>FAIL</v>
      </c>
      <c r="H327" s="3">
        <v>43317718.32</v>
      </c>
      <c r="I327" s="4">
        <v>0</v>
      </c>
      <c r="J327" s="3">
        <v>36941030.399999999</v>
      </c>
      <c r="K327" s="3">
        <v>8055.48</v>
      </c>
      <c r="L327" s="3">
        <v>0</v>
      </c>
      <c r="M327" t="s">
        <v>29</v>
      </c>
      <c r="N327" t="s">
        <v>42</v>
      </c>
      <c r="O327" s="4">
        <v>0.26476402266245391</v>
      </c>
      <c r="P327" s="4">
        <v>0.73523597733754609</v>
      </c>
      <c r="Q327" t="s">
        <v>333</v>
      </c>
      <c r="R327" s="4">
        <v>6.880323385879551E-6</v>
      </c>
      <c r="S327" s="3">
        <v>14996719.560000001</v>
      </c>
      <c r="T327" s="4">
        <v>0.34620289668110099</v>
      </c>
    </row>
    <row r="328" spans="1:20" x14ac:dyDescent="0.4">
      <c r="A328" s="2">
        <v>45884</v>
      </c>
      <c r="B328" t="s">
        <v>39</v>
      </c>
      <c r="C328" t="s">
        <v>28</v>
      </c>
      <c r="D328" s="3" t="str">
        <f t="shared" ref="D328:D391" si="43">IF(J328/H328&gt;=0.75,"PASS","FAIL")</f>
        <v>PASS</v>
      </c>
      <c r="E328" s="3" t="str">
        <f t="shared" ref="E328:E391" si="44">IF(L328=0,"PASS","FAIL")</f>
        <v>PASS</v>
      </c>
      <c r="F328" s="3" t="str">
        <f t="shared" ref="F328:F391" si="45">IF(R328="","",IF(R328&lt;=0.1,"PASS","FAIL"))</f>
        <v>PASS</v>
      </c>
      <c r="G328" s="3" t="str">
        <f t="shared" ref="G328:G391" si="46">IF(S328=0,"PASS",IF(S328&lt;=0.05*J328,"PASS","FAIL"))</f>
        <v>FAIL</v>
      </c>
      <c r="H328" s="3">
        <v>78609434.439999998</v>
      </c>
      <c r="I328" s="4">
        <v>0</v>
      </c>
      <c r="J328" s="3">
        <v>70723330.760000005</v>
      </c>
      <c r="K328" s="3">
        <v>15419.19</v>
      </c>
      <c r="L328" s="3">
        <v>0</v>
      </c>
      <c r="M328" t="s">
        <v>29</v>
      </c>
      <c r="N328" t="s">
        <v>42</v>
      </c>
      <c r="O328" s="4">
        <v>0.26023180274774721</v>
      </c>
      <c r="P328" s="4">
        <v>0.73976819725225285</v>
      </c>
      <c r="Q328" t="s">
        <v>334</v>
      </c>
      <c r="R328" s="4">
        <v>1.2946799143687041E-5</v>
      </c>
      <c r="S328" s="3">
        <v>18140059.260000002</v>
      </c>
      <c r="T328" s="4">
        <v>0.23076185942853611</v>
      </c>
    </row>
    <row r="329" spans="1:20" x14ac:dyDescent="0.4">
      <c r="A329" s="2">
        <v>45887</v>
      </c>
      <c r="B329" t="s">
        <v>27</v>
      </c>
      <c r="C329" t="s">
        <v>28</v>
      </c>
      <c r="D329" s="3" t="str">
        <f t="shared" si="43"/>
        <v>PASS</v>
      </c>
      <c r="E329" s="3" t="str">
        <f t="shared" si="44"/>
        <v>PASS</v>
      </c>
      <c r="F329" s="3" t="str">
        <f t="shared" si="45"/>
        <v>PASS</v>
      </c>
      <c r="G329" s="3" t="str">
        <f t="shared" si="46"/>
        <v>FAIL</v>
      </c>
      <c r="H329" s="3">
        <v>54287795.560000002</v>
      </c>
      <c r="I329" s="4">
        <v>0</v>
      </c>
      <c r="J329" s="3">
        <v>49770633.369999997</v>
      </c>
      <c r="K329" s="3">
        <v>3614.09</v>
      </c>
      <c r="L329" s="3">
        <v>0</v>
      </c>
      <c r="M329" t="s">
        <v>29</v>
      </c>
      <c r="N329" t="s">
        <v>335</v>
      </c>
      <c r="O329" s="4">
        <v>0.25366020332001249</v>
      </c>
      <c r="P329" s="4">
        <v>0.7463397966799874</v>
      </c>
      <c r="Q329" t="s">
        <v>336</v>
      </c>
      <c r="R329" s="4">
        <v>7.6106843157195097E-5</v>
      </c>
      <c r="S329" s="3">
        <v>9139459.5199999996</v>
      </c>
      <c r="T329" s="4">
        <v>0.1683520103500773</v>
      </c>
    </row>
    <row r="330" spans="1:20" x14ac:dyDescent="0.4">
      <c r="A330" s="2">
        <v>45887</v>
      </c>
      <c r="B330" t="s">
        <v>30</v>
      </c>
      <c r="C330" t="s">
        <v>28</v>
      </c>
      <c r="D330" s="3" t="str">
        <f t="shared" si="43"/>
        <v>PASS</v>
      </c>
      <c r="E330" s="3" t="str">
        <f t="shared" si="44"/>
        <v>PASS</v>
      </c>
      <c r="F330" s="3" t="str">
        <f t="shared" si="45"/>
        <v>PASS</v>
      </c>
      <c r="G330" s="3" t="str">
        <f t="shared" si="46"/>
        <v>FAIL</v>
      </c>
      <c r="H330" s="3">
        <v>34641542.770000003</v>
      </c>
      <c r="I330" s="4">
        <v>0</v>
      </c>
      <c r="J330" s="3">
        <v>32445546.52</v>
      </c>
      <c r="K330" s="3">
        <v>2356.5500000000002</v>
      </c>
      <c r="L330" s="3">
        <v>0</v>
      </c>
      <c r="M330" t="s">
        <v>29</v>
      </c>
      <c r="N330" t="s">
        <v>337</v>
      </c>
      <c r="O330" s="4">
        <v>0.23550888857088051</v>
      </c>
      <c r="P330" s="4">
        <v>0.76449111142911952</v>
      </c>
      <c r="Q330" t="s">
        <v>338</v>
      </c>
      <c r="R330" s="4">
        <v>5.9596716071418652E-6</v>
      </c>
      <c r="S330" s="3">
        <v>4276694.53</v>
      </c>
      <c r="T330" s="4">
        <v>0.1234556601129113</v>
      </c>
    </row>
    <row r="331" spans="1:20" x14ac:dyDescent="0.4">
      <c r="A331" s="2">
        <v>45887</v>
      </c>
      <c r="B331" t="s">
        <v>31</v>
      </c>
      <c r="C331" t="s">
        <v>28</v>
      </c>
      <c r="D331" s="3" t="str">
        <f t="shared" si="43"/>
        <v>PASS</v>
      </c>
      <c r="E331" s="3" t="str">
        <f t="shared" si="44"/>
        <v>PASS</v>
      </c>
      <c r="F331" s="3" t="str">
        <f t="shared" si="45"/>
        <v>PASS</v>
      </c>
      <c r="G331" s="3" t="str">
        <f t="shared" si="46"/>
        <v>FAIL</v>
      </c>
      <c r="H331" s="3">
        <v>23466942.350000001</v>
      </c>
      <c r="I331" s="4">
        <v>0</v>
      </c>
      <c r="J331" s="3">
        <v>21529098.719999999</v>
      </c>
      <c r="K331" s="3">
        <v>1564.41</v>
      </c>
      <c r="L331" s="3">
        <v>0</v>
      </c>
      <c r="M331" t="s">
        <v>29</v>
      </c>
      <c r="N331" t="s">
        <v>337</v>
      </c>
      <c r="O331" s="4">
        <v>0.23351332981392919</v>
      </c>
      <c r="P331" s="4">
        <v>0.76648667018607086</v>
      </c>
      <c r="Q331" t="s">
        <v>339</v>
      </c>
      <c r="R331" s="4">
        <v>3.9154401634018061E-6</v>
      </c>
      <c r="S331" s="3">
        <v>3705911.13</v>
      </c>
      <c r="T331" s="4">
        <v>0.15792049406044581</v>
      </c>
    </row>
    <row r="332" spans="1:20" x14ac:dyDescent="0.4">
      <c r="A332" s="2">
        <v>45887</v>
      </c>
      <c r="B332" t="s">
        <v>32</v>
      </c>
      <c r="C332" t="s">
        <v>28</v>
      </c>
      <c r="D332" s="3" t="str">
        <f t="shared" si="43"/>
        <v>PASS</v>
      </c>
      <c r="E332" s="3" t="str">
        <f t="shared" si="44"/>
        <v>PASS</v>
      </c>
      <c r="F332" s="3" t="str">
        <f t="shared" si="45"/>
        <v>PASS</v>
      </c>
      <c r="G332" s="3" t="str">
        <f t="shared" si="46"/>
        <v>FAIL</v>
      </c>
      <c r="H332" s="3">
        <v>24676467.460000001</v>
      </c>
      <c r="I332" s="4">
        <v>0</v>
      </c>
      <c r="J332" s="3">
        <v>20695508.850000001</v>
      </c>
      <c r="K332" s="3">
        <v>1503.39</v>
      </c>
      <c r="L332" s="3">
        <v>0</v>
      </c>
      <c r="M332" t="s">
        <v>29</v>
      </c>
      <c r="N332" t="s">
        <v>340</v>
      </c>
      <c r="O332" s="4">
        <v>0.27470782338362271</v>
      </c>
      <c r="P332" s="4">
        <v>0.72529217661637735</v>
      </c>
      <c r="Q332" t="s">
        <v>341</v>
      </c>
      <c r="R332" s="4">
        <v>3.7466896053501189E-6</v>
      </c>
      <c r="S332" s="3">
        <v>7753625.4899999993</v>
      </c>
      <c r="T332" s="4">
        <v>0.31421132309835081</v>
      </c>
    </row>
    <row r="333" spans="1:20" x14ac:dyDescent="0.4">
      <c r="A333" s="2">
        <v>45887</v>
      </c>
      <c r="B333" t="s">
        <v>33</v>
      </c>
      <c r="C333" t="s">
        <v>28</v>
      </c>
      <c r="D333" s="3" t="str">
        <f t="shared" si="43"/>
        <v>PASS</v>
      </c>
      <c r="E333" s="3" t="str">
        <f t="shared" si="44"/>
        <v>PASS</v>
      </c>
      <c r="F333" s="3" t="str">
        <f t="shared" si="45"/>
        <v>PASS</v>
      </c>
      <c r="G333" s="3" t="str">
        <f t="shared" si="46"/>
        <v>FAIL</v>
      </c>
      <c r="H333" s="3">
        <v>15337230.18</v>
      </c>
      <c r="I333" s="4">
        <v>0</v>
      </c>
      <c r="J333" s="3">
        <v>13671991.779999999</v>
      </c>
      <c r="K333" s="3">
        <v>993.58</v>
      </c>
      <c r="L333" s="3">
        <v>0</v>
      </c>
      <c r="M333" t="s">
        <v>29</v>
      </c>
      <c r="N333" t="s">
        <v>340</v>
      </c>
      <c r="O333" s="4">
        <v>0.27705565516365449</v>
      </c>
      <c r="P333" s="4">
        <v>0.72294434483634551</v>
      </c>
      <c r="Q333" t="s">
        <v>342</v>
      </c>
      <c r="R333" s="4">
        <v>2.4842645444824329E-6</v>
      </c>
      <c r="S333" s="3">
        <v>3975917.830000001</v>
      </c>
      <c r="T333" s="4">
        <v>0.259233106847719</v>
      </c>
    </row>
    <row r="334" spans="1:20" x14ac:dyDescent="0.4">
      <c r="A334" s="2">
        <v>45887</v>
      </c>
      <c r="B334" t="s">
        <v>34</v>
      </c>
      <c r="C334" t="s">
        <v>28</v>
      </c>
      <c r="D334" s="3" t="str">
        <f t="shared" si="43"/>
        <v>PASS</v>
      </c>
      <c r="E334" s="3" t="str">
        <f t="shared" si="44"/>
        <v>PASS</v>
      </c>
      <c r="F334" s="3" t="str">
        <f t="shared" si="45"/>
        <v>PASS</v>
      </c>
      <c r="G334" s="3" t="str">
        <f t="shared" si="46"/>
        <v>FAIL</v>
      </c>
      <c r="H334" s="3">
        <v>167246407.99000001</v>
      </c>
      <c r="I334" s="4">
        <v>0</v>
      </c>
      <c r="J334" s="3">
        <v>142969939.44</v>
      </c>
      <c r="K334" s="3">
        <v>10383.44</v>
      </c>
      <c r="L334" s="3">
        <v>0</v>
      </c>
      <c r="M334" t="s">
        <v>29</v>
      </c>
      <c r="N334" t="s">
        <v>340</v>
      </c>
      <c r="O334" s="4">
        <v>0.27723455885377968</v>
      </c>
      <c r="P334" s="4">
        <v>0.72276544114622032</v>
      </c>
      <c r="Q334" t="s">
        <v>343</v>
      </c>
      <c r="R334" s="4">
        <v>2.590855086846727E-5</v>
      </c>
      <c r="S334" s="3">
        <v>46767338.159999996</v>
      </c>
      <c r="T334" s="4">
        <v>0.27963134588096089</v>
      </c>
    </row>
    <row r="335" spans="1:20" x14ac:dyDescent="0.4">
      <c r="A335" s="2">
        <v>45887</v>
      </c>
      <c r="B335" t="s">
        <v>35</v>
      </c>
      <c r="C335" t="s">
        <v>28</v>
      </c>
      <c r="D335" s="3" t="str">
        <f t="shared" si="43"/>
        <v>PASS</v>
      </c>
      <c r="E335" s="3" t="str">
        <f t="shared" si="44"/>
        <v>PASS</v>
      </c>
      <c r="F335" s="3" t="str">
        <f t="shared" si="45"/>
        <v>PASS</v>
      </c>
      <c r="G335" s="3" t="str">
        <f t="shared" si="46"/>
        <v>FAIL</v>
      </c>
      <c r="H335" s="3">
        <v>135777661.97999999</v>
      </c>
      <c r="I335" s="4">
        <v>0</v>
      </c>
      <c r="J335" s="3">
        <v>120360324.62</v>
      </c>
      <c r="K335" s="3">
        <v>8741.3700000000008</v>
      </c>
      <c r="L335" s="3">
        <v>0</v>
      </c>
      <c r="M335" t="s">
        <v>29</v>
      </c>
      <c r="N335" t="s">
        <v>337</v>
      </c>
      <c r="O335" s="4">
        <v>0.24012056980774871</v>
      </c>
      <c r="P335" s="4">
        <v>0.75987943019225135</v>
      </c>
      <c r="Q335" t="s">
        <v>344</v>
      </c>
      <c r="R335" s="4">
        <v>2.2428871639781209E-5</v>
      </c>
      <c r="S335" s="3">
        <v>32660834.289999999</v>
      </c>
      <c r="T335" s="4">
        <v>0.24054644787454749</v>
      </c>
    </row>
    <row r="336" spans="1:20" x14ac:dyDescent="0.4">
      <c r="A336" s="2">
        <v>45887</v>
      </c>
      <c r="B336" t="s">
        <v>36</v>
      </c>
      <c r="C336" t="s">
        <v>28</v>
      </c>
      <c r="D336" s="3" t="str">
        <f t="shared" si="43"/>
        <v>PASS</v>
      </c>
      <c r="E336" s="3" t="str">
        <f t="shared" si="44"/>
        <v>PASS</v>
      </c>
      <c r="F336" s="3" t="str">
        <f t="shared" si="45"/>
        <v>PASS</v>
      </c>
      <c r="G336" s="3" t="str">
        <f t="shared" si="46"/>
        <v>FAIL</v>
      </c>
      <c r="H336" s="3">
        <v>101490868.86</v>
      </c>
      <c r="I336" s="4">
        <v>0</v>
      </c>
      <c r="J336" s="3">
        <v>92533443.319999993</v>
      </c>
      <c r="K336" s="3">
        <v>6722.1</v>
      </c>
      <c r="L336" s="3">
        <v>0</v>
      </c>
      <c r="M336" t="s">
        <v>29</v>
      </c>
      <c r="N336" t="s">
        <v>337</v>
      </c>
      <c r="O336" s="4">
        <v>0.23229181827446549</v>
      </c>
      <c r="P336" s="4">
        <v>0.76770818172553446</v>
      </c>
      <c r="Q336" t="s">
        <v>345</v>
      </c>
      <c r="R336" s="4">
        <v>1.671057741314366E-5</v>
      </c>
      <c r="S336" s="3">
        <v>17164983.48</v>
      </c>
      <c r="T336" s="4">
        <v>0.16912835285387071</v>
      </c>
    </row>
    <row r="337" spans="1:20" x14ac:dyDescent="0.4">
      <c r="A337" s="2">
        <v>45887</v>
      </c>
      <c r="B337" t="s">
        <v>37</v>
      </c>
      <c r="C337" t="s">
        <v>28</v>
      </c>
      <c r="D337" s="3" t="str">
        <f t="shared" si="43"/>
        <v>PASS</v>
      </c>
      <c r="E337" s="3" t="str">
        <f t="shared" si="44"/>
        <v>PASS</v>
      </c>
      <c r="F337" s="3" t="str">
        <f t="shared" si="45"/>
        <v>PASS</v>
      </c>
      <c r="G337" s="3" t="str">
        <f t="shared" si="46"/>
        <v>FAIL</v>
      </c>
      <c r="H337" s="3">
        <v>40278255.460000001</v>
      </c>
      <c r="I337" s="4">
        <v>0</v>
      </c>
      <c r="J337" s="3">
        <v>35029956.390000001</v>
      </c>
      <c r="K337" s="3">
        <v>2544.3000000000002</v>
      </c>
      <c r="L337" s="3">
        <v>0</v>
      </c>
      <c r="M337" t="s">
        <v>29</v>
      </c>
      <c r="N337" t="s">
        <v>340</v>
      </c>
      <c r="O337" s="4">
        <v>0.27212868163093928</v>
      </c>
      <c r="P337" s="4">
        <v>0.7278713183690606</v>
      </c>
      <c r="Q337" t="s">
        <v>346</v>
      </c>
      <c r="R337" s="4">
        <v>6.3078531383118024E-6</v>
      </c>
      <c r="S337" s="3">
        <v>10494891.140000001</v>
      </c>
      <c r="T337" s="4">
        <v>0.26055972435108038</v>
      </c>
    </row>
    <row r="338" spans="1:20" x14ac:dyDescent="0.4">
      <c r="A338" s="2">
        <v>45887</v>
      </c>
      <c r="B338" t="s">
        <v>38</v>
      </c>
      <c r="C338" t="s">
        <v>28</v>
      </c>
      <c r="D338" s="3" t="str">
        <f t="shared" si="43"/>
        <v>PASS</v>
      </c>
      <c r="E338" s="3" t="str">
        <f t="shared" si="44"/>
        <v>PASS</v>
      </c>
      <c r="F338" s="3" t="str">
        <f t="shared" si="45"/>
        <v>PASS</v>
      </c>
      <c r="G338" s="3" t="str">
        <f t="shared" si="46"/>
        <v>FAIL</v>
      </c>
      <c r="H338" s="3">
        <v>43325302.509999998</v>
      </c>
      <c r="I338" s="4">
        <v>0</v>
      </c>
      <c r="J338" s="3">
        <v>36933712.159999996</v>
      </c>
      <c r="K338" s="3">
        <v>2682.57</v>
      </c>
      <c r="L338" s="3">
        <v>0</v>
      </c>
      <c r="M338" t="s">
        <v>29</v>
      </c>
      <c r="N338" t="s">
        <v>340</v>
      </c>
      <c r="O338" s="4">
        <v>0.28117939526390678</v>
      </c>
      <c r="P338" s="4">
        <v>0.71882060473609322</v>
      </c>
      <c r="Q338" t="s">
        <v>347</v>
      </c>
      <c r="R338" s="4">
        <v>6.8717790538263011E-6</v>
      </c>
      <c r="S338" s="3">
        <v>14232828.640000001</v>
      </c>
      <c r="T338" s="4">
        <v>0.32851077350734931</v>
      </c>
    </row>
    <row r="339" spans="1:20" x14ac:dyDescent="0.4">
      <c r="A339" s="2">
        <v>45887</v>
      </c>
      <c r="B339" t="s">
        <v>39</v>
      </c>
      <c r="C339" t="s">
        <v>28</v>
      </c>
      <c r="D339" s="3" t="str">
        <f t="shared" si="43"/>
        <v>PASS</v>
      </c>
      <c r="E339" s="3" t="str">
        <f t="shared" si="44"/>
        <v>PASS</v>
      </c>
      <c r="F339" s="3" t="str">
        <f t="shared" si="45"/>
        <v>PASS</v>
      </c>
      <c r="G339" s="3" t="str">
        <f t="shared" si="46"/>
        <v>FAIL</v>
      </c>
      <c r="H339" s="3">
        <v>78617927.930000007</v>
      </c>
      <c r="I339" s="4">
        <v>0</v>
      </c>
      <c r="J339" s="3">
        <v>70705936.790000007</v>
      </c>
      <c r="K339" s="3">
        <v>5134.71</v>
      </c>
      <c r="L339" s="3">
        <v>0</v>
      </c>
      <c r="M339" t="s">
        <v>29</v>
      </c>
      <c r="N339" t="s">
        <v>340</v>
      </c>
      <c r="O339" s="4">
        <v>0.27576777517157047</v>
      </c>
      <c r="P339" s="4">
        <v>0.72423222482842942</v>
      </c>
      <c r="Q339" t="s">
        <v>348</v>
      </c>
      <c r="R339" s="4">
        <v>1.2921166147527289E-5</v>
      </c>
      <c r="S339" s="3">
        <v>16749408.300000001</v>
      </c>
      <c r="T339" s="4">
        <v>0.21304820339342159</v>
      </c>
    </row>
    <row r="340" spans="1:20" x14ac:dyDescent="0.4">
      <c r="A340" s="2">
        <v>45888</v>
      </c>
      <c r="B340" t="s">
        <v>27</v>
      </c>
      <c r="C340" t="s">
        <v>28</v>
      </c>
      <c r="D340" s="3" t="str">
        <f t="shared" si="43"/>
        <v>PASS</v>
      </c>
      <c r="E340" s="3" t="str">
        <f t="shared" si="44"/>
        <v>PASS</v>
      </c>
      <c r="F340" s="3" t="str">
        <f t="shared" si="45"/>
        <v>PASS</v>
      </c>
      <c r="G340" s="3" t="str">
        <f t="shared" si="46"/>
        <v>FAIL</v>
      </c>
      <c r="H340" s="3">
        <v>54591282.280000001</v>
      </c>
      <c r="I340" s="4">
        <v>0</v>
      </c>
      <c r="J340" s="3">
        <v>50070506.609999999</v>
      </c>
      <c r="K340" s="3">
        <v>3614.16</v>
      </c>
      <c r="L340" s="3">
        <v>0</v>
      </c>
      <c r="M340" t="s">
        <v>29</v>
      </c>
      <c r="N340" t="s">
        <v>349</v>
      </c>
      <c r="O340" s="4">
        <v>0.25166104285997759</v>
      </c>
      <c r="P340" s="4">
        <v>0.74833895714002241</v>
      </c>
      <c r="Q340" t="s">
        <v>350</v>
      </c>
      <c r="R340" s="4">
        <v>7.6106843157195097E-5</v>
      </c>
      <c r="S340" s="3">
        <v>9205902.2499999981</v>
      </c>
      <c r="T340" s="4">
        <v>0.16863319316777911</v>
      </c>
    </row>
    <row r="341" spans="1:20" x14ac:dyDescent="0.4">
      <c r="A341" s="2">
        <v>45888</v>
      </c>
      <c r="B341" t="s">
        <v>30</v>
      </c>
      <c r="C341" t="s">
        <v>28</v>
      </c>
      <c r="D341" s="3" t="str">
        <f t="shared" si="43"/>
        <v>PASS</v>
      </c>
      <c r="E341" s="3" t="str">
        <f t="shared" si="44"/>
        <v>PASS</v>
      </c>
      <c r="F341" s="3" t="str">
        <f t="shared" si="45"/>
        <v>PASS</v>
      </c>
      <c r="G341" s="3" t="str">
        <f t="shared" si="46"/>
        <v>FAIL</v>
      </c>
      <c r="H341" s="3">
        <v>34469876.969999999</v>
      </c>
      <c r="I341" s="4">
        <v>0</v>
      </c>
      <c r="J341" s="3">
        <v>32271525.079999998</v>
      </c>
      <c r="K341" s="3">
        <v>2355.64</v>
      </c>
      <c r="L341" s="3">
        <v>0</v>
      </c>
      <c r="M341" t="s">
        <v>29</v>
      </c>
      <c r="N341" t="s">
        <v>42</v>
      </c>
      <c r="O341" s="4">
        <v>0.25818012595765433</v>
      </c>
      <c r="P341" s="4">
        <v>0.74181987404234562</v>
      </c>
      <c r="Q341" t="s">
        <v>351</v>
      </c>
      <c r="R341" s="4">
        <v>5.9596716071418652E-6</v>
      </c>
      <c r="S341" s="3">
        <v>4273878.03</v>
      </c>
      <c r="T341" s="4">
        <v>0.1239887810948575</v>
      </c>
    </row>
    <row r="342" spans="1:20" x14ac:dyDescent="0.4">
      <c r="A342" s="2">
        <v>45888</v>
      </c>
      <c r="B342" t="s">
        <v>31</v>
      </c>
      <c r="C342" t="s">
        <v>28</v>
      </c>
      <c r="D342" s="3" t="str">
        <f t="shared" si="43"/>
        <v>PASS</v>
      </c>
      <c r="E342" s="3" t="str">
        <f t="shared" si="44"/>
        <v>PASS</v>
      </c>
      <c r="F342" s="3" t="str">
        <f t="shared" si="45"/>
        <v>PASS</v>
      </c>
      <c r="G342" s="3" t="str">
        <f t="shared" si="46"/>
        <v>FAIL</v>
      </c>
      <c r="H342" s="3">
        <v>23367308.5</v>
      </c>
      <c r="I342" s="4">
        <v>0</v>
      </c>
      <c r="J342" s="3">
        <v>21427901.800000001</v>
      </c>
      <c r="K342" s="3">
        <v>1563.78</v>
      </c>
      <c r="L342" s="3">
        <v>0</v>
      </c>
      <c r="M342" t="s">
        <v>29</v>
      </c>
      <c r="N342" t="s">
        <v>42</v>
      </c>
      <c r="O342" s="4">
        <v>0.25552683557659378</v>
      </c>
      <c r="P342" s="4">
        <v>0.74447316442340616</v>
      </c>
      <c r="Q342" t="s">
        <v>352</v>
      </c>
      <c r="R342" s="4">
        <v>3.9154401634018061E-6</v>
      </c>
      <c r="S342" s="3">
        <v>3711780.709999999</v>
      </c>
      <c r="T342" s="4">
        <v>0.15884502530533201</v>
      </c>
    </row>
    <row r="343" spans="1:20" x14ac:dyDescent="0.4">
      <c r="A343" s="2">
        <v>45888</v>
      </c>
      <c r="B343" t="s">
        <v>32</v>
      </c>
      <c r="C343" t="s">
        <v>28</v>
      </c>
      <c r="D343" s="3" t="str">
        <f t="shared" si="43"/>
        <v>PASS</v>
      </c>
      <c r="E343" s="3" t="str">
        <f t="shared" si="44"/>
        <v>PASS</v>
      </c>
      <c r="F343" s="3" t="str">
        <f t="shared" si="45"/>
        <v>PASS</v>
      </c>
      <c r="G343" s="3" t="str">
        <f t="shared" si="46"/>
        <v>FAIL</v>
      </c>
      <c r="H343" s="3">
        <v>24585274.66</v>
      </c>
      <c r="I343" s="4">
        <v>0</v>
      </c>
      <c r="J343" s="3">
        <v>20602813.5</v>
      </c>
      <c r="K343" s="3">
        <v>1503.1</v>
      </c>
      <c r="L343" s="3">
        <v>0</v>
      </c>
      <c r="M343" t="s">
        <v>29</v>
      </c>
      <c r="N343" t="s">
        <v>46</v>
      </c>
      <c r="O343" s="4">
        <v>0.28912249436223852</v>
      </c>
      <c r="P343" s="4">
        <v>0.71087750563776153</v>
      </c>
      <c r="Q343" t="s">
        <v>353</v>
      </c>
      <c r="R343" s="4">
        <v>3.7466896053501189E-6</v>
      </c>
      <c r="S343" s="3">
        <v>7766212.3699999992</v>
      </c>
      <c r="T343" s="4">
        <v>0.31588877803490839</v>
      </c>
    </row>
    <row r="344" spans="1:20" x14ac:dyDescent="0.4">
      <c r="A344" s="2">
        <v>45888</v>
      </c>
      <c r="B344" t="s">
        <v>33</v>
      </c>
      <c r="C344" t="s">
        <v>28</v>
      </c>
      <c r="D344" s="3" t="str">
        <f t="shared" si="43"/>
        <v>PASS</v>
      </c>
      <c r="E344" s="3" t="str">
        <f t="shared" si="44"/>
        <v>PASS</v>
      </c>
      <c r="F344" s="3" t="str">
        <f t="shared" si="45"/>
        <v>PASS</v>
      </c>
      <c r="G344" s="3" t="str">
        <f t="shared" si="46"/>
        <v>FAIL</v>
      </c>
      <c r="H344" s="3">
        <v>15270757.35</v>
      </c>
      <c r="I344" s="4">
        <v>0</v>
      </c>
      <c r="J344" s="3">
        <v>13604526.33</v>
      </c>
      <c r="K344" s="3">
        <v>993.33</v>
      </c>
      <c r="L344" s="3">
        <v>0</v>
      </c>
      <c r="M344" t="s">
        <v>29</v>
      </c>
      <c r="N344" t="s">
        <v>42</v>
      </c>
      <c r="O344" s="4">
        <v>0.25532961793312209</v>
      </c>
      <c r="P344" s="4">
        <v>0.74467038206687786</v>
      </c>
      <c r="Q344" t="s">
        <v>354</v>
      </c>
      <c r="R344" s="4">
        <v>2.4842645444824329E-6</v>
      </c>
      <c r="S344" s="3">
        <v>3964544.66</v>
      </c>
      <c r="T344" s="4">
        <v>0.25961676746831419</v>
      </c>
    </row>
    <row r="345" spans="1:20" x14ac:dyDescent="0.4">
      <c r="A345" s="2">
        <v>45888</v>
      </c>
      <c r="B345" t="s">
        <v>34</v>
      </c>
      <c r="C345" t="s">
        <v>28</v>
      </c>
      <c r="D345" s="3" t="str">
        <f t="shared" si="43"/>
        <v>PASS</v>
      </c>
      <c r="E345" s="3" t="str">
        <f t="shared" si="44"/>
        <v>PASS</v>
      </c>
      <c r="F345" s="3" t="str">
        <f t="shared" si="45"/>
        <v>PASS</v>
      </c>
      <c r="G345" s="3" t="str">
        <f t="shared" si="46"/>
        <v>FAIL</v>
      </c>
      <c r="H345" s="3">
        <v>166627224.40000001</v>
      </c>
      <c r="I345" s="4">
        <v>0</v>
      </c>
      <c r="J345" s="3">
        <v>142340375.84</v>
      </c>
      <c r="K345" s="3">
        <v>10380.56</v>
      </c>
      <c r="L345" s="3">
        <v>0</v>
      </c>
      <c r="M345" t="s">
        <v>29</v>
      </c>
      <c r="N345" t="s">
        <v>46</v>
      </c>
      <c r="O345" s="4">
        <v>0.28932100064349531</v>
      </c>
      <c r="P345" s="4">
        <v>0.7106789993565048</v>
      </c>
      <c r="Q345" t="s">
        <v>355</v>
      </c>
      <c r="R345" s="4">
        <v>2.590855086846727E-5</v>
      </c>
      <c r="S345" s="3">
        <v>46649472.219999999</v>
      </c>
      <c r="T345" s="4">
        <v>0.2799630875925459</v>
      </c>
    </row>
    <row r="346" spans="1:20" x14ac:dyDescent="0.4">
      <c r="A346" s="2">
        <v>45888</v>
      </c>
      <c r="B346" t="s">
        <v>35</v>
      </c>
      <c r="C346" t="s">
        <v>28</v>
      </c>
      <c r="D346" s="3" t="str">
        <f t="shared" si="43"/>
        <v>PASS</v>
      </c>
      <c r="E346" s="3" t="str">
        <f t="shared" si="44"/>
        <v>PASS</v>
      </c>
      <c r="F346" s="3" t="str">
        <f t="shared" si="45"/>
        <v>PASS</v>
      </c>
      <c r="G346" s="3" t="str">
        <f t="shared" si="46"/>
        <v>FAIL</v>
      </c>
      <c r="H346" s="3">
        <v>135149641.22</v>
      </c>
      <c r="I346" s="4">
        <v>0</v>
      </c>
      <c r="J346" s="3">
        <v>119723565.37</v>
      </c>
      <c r="K346" s="3">
        <v>8739.0400000000009</v>
      </c>
      <c r="L346" s="3">
        <v>0</v>
      </c>
      <c r="M346" t="s">
        <v>29</v>
      </c>
      <c r="N346" t="s">
        <v>42</v>
      </c>
      <c r="O346" s="4">
        <v>0.26189692700094702</v>
      </c>
      <c r="P346" s="4">
        <v>0.73810307299905298</v>
      </c>
      <c r="Q346" t="s">
        <v>356</v>
      </c>
      <c r="R346" s="4">
        <v>2.2428871639781209E-5</v>
      </c>
      <c r="S346" s="3">
        <v>32476394.48</v>
      </c>
      <c r="T346" s="4">
        <v>0.24029952419284711</v>
      </c>
    </row>
    <row r="347" spans="1:20" x14ac:dyDescent="0.4">
      <c r="A347" s="2">
        <v>45888</v>
      </c>
      <c r="B347" t="s">
        <v>36</v>
      </c>
      <c r="C347" t="s">
        <v>28</v>
      </c>
      <c r="D347" s="3" t="str">
        <f t="shared" si="43"/>
        <v>PASS</v>
      </c>
      <c r="E347" s="3" t="str">
        <f t="shared" si="44"/>
        <v>PASS</v>
      </c>
      <c r="F347" s="3" t="str">
        <f t="shared" si="45"/>
        <v>PASS</v>
      </c>
      <c r="G347" s="3" t="str">
        <f t="shared" si="46"/>
        <v>FAIL</v>
      </c>
      <c r="H347" s="3">
        <v>101086404.78</v>
      </c>
      <c r="I347" s="4">
        <v>0</v>
      </c>
      <c r="J347" s="3">
        <v>92122261.060000002</v>
      </c>
      <c r="K347" s="3">
        <v>6718.86</v>
      </c>
      <c r="L347" s="3">
        <v>0</v>
      </c>
      <c r="M347" t="s">
        <v>29</v>
      </c>
      <c r="N347" t="s">
        <v>42</v>
      </c>
      <c r="O347" s="4">
        <v>0.25359642491606033</v>
      </c>
      <c r="P347" s="4">
        <v>0.74640357508393973</v>
      </c>
      <c r="Q347" t="s">
        <v>357</v>
      </c>
      <c r="R347" s="4">
        <v>1.671057741314366E-5</v>
      </c>
      <c r="S347" s="3">
        <v>17259805.32</v>
      </c>
      <c r="T347" s="4">
        <v>0.17074309208605731</v>
      </c>
    </row>
    <row r="348" spans="1:20" x14ac:dyDescent="0.4">
      <c r="A348" s="2">
        <v>45888</v>
      </c>
      <c r="B348" t="s">
        <v>37</v>
      </c>
      <c r="C348" t="s">
        <v>28</v>
      </c>
      <c r="D348" s="3" t="str">
        <f t="shared" si="43"/>
        <v>PASS</v>
      </c>
      <c r="E348" s="3" t="str">
        <f t="shared" si="44"/>
        <v>PASS</v>
      </c>
      <c r="F348" s="3" t="str">
        <f t="shared" si="45"/>
        <v>PASS</v>
      </c>
      <c r="G348" s="3" t="str">
        <f t="shared" si="46"/>
        <v>FAIL</v>
      </c>
      <c r="H348" s="3">
        <v>40119486.079999998</v>
      </c>
      <c r="I348" s="4">
        <v>0</v>
      </c>
      <c r="J348" s="3">
        <v>34868643.740000002</v>
      </c>
      <c r="K348" s="3">
        <v>2543.9499999999998</v>
      </c>
      <c r="L348" s="3">
        <v>0</v>
      </c>
      <c r="M348" t="s">
        <v>29</v>
      </c>
      <c r="N348" t="s">
        <v>46</v>
      </c>
      <c r="O348" s="4">
        <v>0.28762886520002051</v>
      </c>
      <c r="P348" s="4">
        <v>0.71237113479997949</v>
      </c>
      <c r="Q348" t="s">
        <v>358</v>
      </c>
      <c r="R348" s="4">
        <v>6.3078531383118024E-6</v>
      </c>
      <c r="S348" s="3">
        <v>10503211.01</v>
      </c>
      <c r="T348" s="4">
        <v>0.26179824410153563</v>
      </c>
    </row>
    <row r="349" spans="1:20" x14ac:dyDescent="0.4">
      <c r="A349" s="2">
        <v>45888</v>
      </c>
      <c r="B349" t="s">
        <v>38</v>
      </c>
      <c r="C349" t="s">
        <v>28</v>
      </c>
      <c r="D349" s="3" t="str">
        <f t="shared" si="43"/>
        <v>PASS</v>
      </c>
      <c r="E349" s="3" t="str">
        <f t="shared" si="44"/>
        <v>PASS</v>
      </c>
      <c r="F349" s="3" t="str">
        <f t="shared" si="45"/>
        <v>PASS</v>
      </c>
      <c r="G349" s="3" t="str">
        <f t="shared" si="46"/>
        <v>FAIL</v>
      </c>
      <c r="H349" s="3">
        <v>43133520.450000003</v>
      </c>
      <c r="I349" s="4">
        <v>0</v>
      </c>
      <c r="J349" s="3">
        <v>36739248.609999999</v>
      </c>
      <c r="K349" s="3">
        <v>2682.04</v>
      </c>
      <c r="L349" s="3">
        <v>0</v>
      </c>
      <c r="M349" t="s">
        <v>29</v>
      </c>
      <c r="N349" t="s">
        <v>42</v>
      </c>
      <c r="O349" s="4">
        <v>0.26154987985749117</v>
      </c>
      <c r="P349" s="4">
        <v>0.73845012014250888</v>
      </c>
      <c r="Q349" t="s">
        <v>359</v>
      </c>
      <c r="R349" s="4">
        <v>6.8717790538263011E-6</v>
      </c>
      <c r="S349" s="3">
        <v>14160629.9</v>
      </c>
      <c r="T349" s="4">
        <v>0.32829756885749389</v>
      </c>
    </row>
    <row r="350" spans="1:20" x14ac:dyDescent="0.4">
      <c r="A350" s="2">
        <v>45888</v>
      </c>
      <c r="B350" t="s">
        <v>39</v>
      </c>
      <c r="C350" t="s">
        <v>28</v>
      </c>
      <c r="D350" s="3" t="str">
        <f t="shared" si="43"/>
        <v>PASS</v>
      </c>
      <c r="E350" s="3" t="str">
        <f t="shared" si="44"/>
        <v>PASS</v>
      </c>
      <c r="F350" s="3" t="str">
        <f t="shared" si="45"/>
        <v>PASS</v>
      </c>
      <c r="G350" s="3" t="str">
        <f t="shared" si="46"/>
        <v>FAIL</v>
      </c>
      <c r="H350" s="3">
        <v>78247529.840000004</v>
      </c>
      <c r="I350" s="4">
        <v>0</v>
      </c>
      <c r="J350" s="3">
        <v>70330405.260000005</v>
      </c>
      <c r="K350" s="3">
        <v>5133.4399999999996</v>
      </c>
      <c r="L350" s="3">
        <v>0</v>
      </c>
      <c r="M350" t="s">
        <v>29</v>
      </c>
      <c r="N350" t="s">
        <v>42</v>
      </c>
      <c r="O350" s="4">
        <v>0.25691148136006059</v>
      </c>
      <c r="P350" s="4">
        <v>0.74308851863993941</v>
      </c>
      <c r="Q350" t="s">
        <v>360</v>
      </c>
      <c r="R350" s="4">
        <v>1.2921166147527289E-5</v>
      </c>
      <c r="S350" s="3">
        <v>16692071.380000001</v>
      </c>
      <c r="T350" s="4">
        <v>0.21332394024618839</v>
      </c>
    </row>
    <row r="351" spans="1:20" x14ac:dyDescent="0.4">
      <c r="A351" s="2">
        <v>45889</v>
      </c>
      <c r="B351" t="s">
        <v>27</v>
      </c>
      <c r="C351" t="s">
        <v>28</v>
      </c>
      <c r="D351" s="3" t="str">
        <f t="shared" si="43"/>
        <v>PASS</v>
      </c>
      <c r="E351" s="3" t="str">
        <f t="shared" si="44"/>
        <v>PASS</v>
      </c>
      <c r="F351" s="3" t="str">
        <f t="shared" si="45"/>
        <v>PASS</v>
      </c>
      <c r="G351" s="3" t="str">
        <f t="shared" si="46"/>
        <v>FAIL</v>
      </c>
      <c r="H351" s="3">
        <v>54618565.159999996</v>
      </c>
      <c r="I351" s="4">
        <v>0</v>
      </c>
      <c r="J351" s="3">
        <v>50094154.229999997</v>
      </c>
      <c r="K351" s="3">
        <v>3635.94</v>
      </c>
      <c r="L351" s="3">
        <v>0</v>
      </c>
      <c r="M351" t="s">
        <v>29</v>
      </c>
      <c r="N351" t="s">
        <v>361</v>
      </c>
      <c r="O351" s="4">
        <v>0.27127072487555598</v>
      </c>
      <c r="P351" s="4">
        <v>0.72872927512444408</v>
      </c>
      <c r="Q351" t="s">
        <v>362</v>
      </c>
      <c r="R351" s="4">
        <v>7.6106843157195097E-5</v>
      </c>
      <c r="S351" s="3">
        <v>9232725.9299999997</v>
      </c>
      <c r="T351" s="4">
        <v>0.16904006729128801</v>
      </c>
    </row>
    <row r="352" spans="1:20" x14ac:dyDescent="0.4">
      <c r="A352" s="2">
        <v>45889</v>
      </c>
      <c r="B352" t="s">
        <v>30</v>
      </c>
      <c r="C352" t="s">
        <v>28</v>
      </c>
      <c r="D352" s="3" t="str">
        <f t="shared" si="43"/>
        <v>PASS</v>
      </c>
      <c r="E352" s="3" t="str">
        <f t="shared" si="44"/>
        <v>PASS</v>
      </c>
      <c r="F352" s="3" t="str">
        <f t="shared" si="45"/>
        <v>PASS</v>
      </c>
      <c r="G352" s="3" t="str">
        <f t="shared" si="46"/>
        <v>FAIL</v>
      </c>
      <c r="H352" s="3">
        <v>34440299.079999998</v>
      </c>
      <c r="I352" s="4">
        <v>0</v>
      </c>
      <c r="J352" s="3">
        <v>32239604.190000001</v>
      </c>
      <c r="K352" s="3">
        <v>2343</v>
      </c>
      <c r="L352" s="3">
        <v>0</v>
      </c>
      <c r="M352" t="s">
        <v>29</v>
      </c>
      <c r="N352" t="s">
        <v>42</v>
      </c>
      <c r="O352" s="4">
        <v>0.25589037202134463</v>
      </c>
      <c r="P352" s="4">
        <v>0.74410962797865543</v>
      </c>
      <c r="Q352" t="s">
        <v>363</v>
      </c>
      <c r="R352" s="4">
        <v>5.9596716071418652E-6</v>
      </c>
      <c r="S352" s="3">
        <v>4262182.5999999996</v>
      </c>
      <c r="T352" s="4">
        <v>0.1237556790694397</v>
      </c>
    </row>
    <row r="353" spans="1:20" x14ac:dyDescent="0.4">
      <c r="A353" s="2">
        <v>45889</v>
      </c>
      <c r="B353" t="s">
        <v>31</v>
      </c>
      <c r="C353" t="s">
        <v>28</v>
      </c>
      <c r="D353" s="3" t="str">
        <f t="shared" si="43"/>
        <v>PASS</v>
      </c>
      <c r="E353" s="3" t="str">
        <f t="shared" si="44"/>
        <v>PASS</v>
      </c>
      <c r="F353" s="3" t="str">
        <f t="shared" si="45"/>
        <v>PASS</v>
      </c>
      <c r="G353" s="3" t="str">
        <f t="shared" si="46"/>
        <v>FAIL</v>
      </c>
      <c r="H353" s="3">
        <v>23355135.109999999</v>
      </c>
      <c r="I353" s="4">
        <v>0</v>
      </c>
      <c r="J353" s="3">
        <v>21414172.690000001</v>
      </c>
      <c r="K353" s="3">
        <v>1556.43</v>
      </c>
      <c r="L353" s="3">
        <v>0</v>
      </c>
      <c r="M353" t="s">
        <v>29</v>
      </c>
      <c r="N353" t="s">
        <v>42</v>
      </c>
      <c r="O353" s="4">
        <v>0.25405483129126671</v>
      </c>
      <c r="P353" s="4">
        <v>0.74594516870873329</v>
      </c>
      <c r="Q353" t="s">
        <v>364</v>
      </c>
      <c r="R353" s="4">
        <v>3.9303927444949938E-6</v>
      </c>
      <c r="S353" s="3">
        <v>3704410.85</v>
      </c>
      <c r="T353" s="4">
        <v>0.1586122637506763</v>
      </c>
    </row>
    <row r="354" spans="1:20" x14ac:dyDescent="0.4">
      <c r="A354" s="2">
        <v>45889</v>
      </c>
      <c r="B354" t="s">
        <v>32</v>
      </c>
      <c r="C354" t="s">
        <v>28</v>
      </c>
      <c r="D354" s="3" t="str">
        <f t="shared" si="43"/>
        <v>PASS</v>
      </c>
      <c r="E354" s="3" t="str">
        <f t="shared" si="44"/>
        <v>PASS</v>
      </c>
      <c r="F354" s="3" t="str">
        <f t="shared" si="45"/>
        <v>PASS</v>
      </c>
      <c r="G354" s="3" t="str">
        <f t="shared" si="46"/>
        <v>FAIL</v>
      </c>
      <c r="H354" s="3">
        <v>24577663.379999999</v>
      </c>
      <c r="I354" s="4">
        <v>0</v>
      </c>
      <c r="J354" s="3">
        <v>20593706.399999999</v>
      </c>
      <c r="K354" s="3">
        <v>1496.37</v>
      </c>
      <c r="L354" s="3">
        <v>0</v>
      </c>
      <c r="M354" t="s">
        <v>29</v>
      </c>
      <c r="N354" t="s">
        <v>46</v>
      </c>
      <c r="O354" s="4">
        <v>0.28709576873447118</v>
      </c>
      <c r="P354" s="4">
        <v>0.71290423126552871</v>
      </c>
      <c r="Q354" t="s">
        <v>365</v>
      </c>
      <c r="R354" s="4">
        <v>3.7573700204166808E-6</v>
      </c>
      <c r="S354" s="3">
        <v>7758848.6000000006</v>
      </c>
      <c r="T354" s="4">
        <v>0.31568699107148412</v>
      </c>
    </row>
    <row r="355" spans="1:20" x14ac:dyDescent="0.4">
      <c r="A355" s="2">
        <v>45889</v>
      </c>
      <c r="B355" t="s">
        <v>33</v>
      </c>
      <c r="C355" t="s">
        <v>28</v>
      </c>
      <c r="D355" s="3" t="str">
        <f t="shared" si="43"/>
        <v>PASS</v>
      </c>
      <c r="E355" s="3" t="str">
        <f t="shared" si="44"/>
        <v>PASS</v>
      </c>
      <c r="F355" s="3" t="str">
        <f t="shared" si="45"/>
        <v>PASS</v>
      </c>
      <c r="G355" s="3" t="str">
        <f t="shared" si="46"/>
        <v>FAIL</v>
      </c>
      <c r="H355" s="3">
        <v>15261733.18</v>
      </c>
      <c r="I355" s="4">
        <v>0</v>
      </c>
      <c r="J355" s="3">
        <v>13594514.43</v>
      </c>
      <c r="K355" s="3">
        <v>988.44</v>
      </c>
      <c r="L355" s="3">
        <v>0</v>
      </c>
      <c r="M355" t="s">
        <v>29</v>
      </c>
      <c r="N355" t="s">
        <v>42</v>
      </c>
      <c r="O355" s="4">
        <v>0.25364875647125268</v>
      </c>
      <c r="P355" s="4">
        <v>0.74635124352874738</v>
      </c>
      <c r="Q355" t="s">
        <v>366</v>
      </c>
      <c r="R355" s="4">
        <v>2.4906727935223712E-6</v>
      </c>
      <c r="S355" s="3">
        <v>3954382.040000001</v>
      </c>
      <c r="T355" s="4">
        <v>0.25910438829988769</v>
      </c>
    </row>
    <row r="356" spans="1:20" x14ac:dyDescent="0.4">
      <c r="A356" s="2">
        <v>45889</v>
      </c>
      <c r="B356" t="s">
        <v>34</v>
      </c>
      <c r="C356" t="s">
        <v>28</v>
      </c>
      <c r="D356" s="3" t="str">
        <f t="shared" si="43"/>
        <v>PASS</v>
      </c>
      <c r="E356" s="3" t="str">
        <f t="shared" si="44"/>
        <v>PASS</v>
      </c>
      <c r="F356" s="3" t="str">
        <f t="shared" si="45"/>
        <v>PASS</v>
      </c>
      <c r="G356" s="3" t="str">
        <f t="shared" si="46"/>
        <v>FAIL</v>
      </c>
      <c r="H356" s="3">
        <v>166565442.62</v>
      </c>
      <c r="I356" s="4">
        <v>0</v>
      </c>
      <c r="J356" s="3">
        <v>142268259.75999999</v>
      </c>
      <c r="K356" s="3">
        <v>10334.85</v>
      </c>
      <c r="L356" s="3">
        <v>0</v>
      </c>
      <c r="M356" t="s">
        <v>29</v>
      </c>
      <c r="N356" t="s">
        <v>46</v>
      </c>
      <c r="O356" s="4">
        <v>0.2874698333907561</v>
      </c>
      <c r="P356" s="4">
        <v>0.71253016660924384</v>
      </c>
      <c r="Q356" t="s">
        <v>367</v>
      </c>
      <c r="R356" s="4">
        <v>2.5991858105986461E-5</v>
      </c>
      <c r="S356" s="3">
        <v>46517150.580000013</v>
      </c>
      <c r="T356" s="4">
        <v>0.27927251804639669</v>
      </c>
    </row>
    <row r="357" spans="1:20" x14ac:dyDescent="0.4">
      <c r="A357" s="2">
        <v>45889</v>
      </c>
      <c r="B357" t="s">
        <v>35</v>
      </c>
      <c r="C357" t="s">
        <v>28</v>
      </c>
      <c r="D357" s="3" t="str">
        <f t="shared" si="43"/>
        <v>PASS</v>
      </c>
      <c r="E357" s="3" t="str">
        <f t="shared" si="44"/>
        <v>PASS</v>
      </c>
      <c r="F357" s="3" t="str">
        <f t="shared" si="45"/>
        <v>PASS</v>
      </c>
      <c r="G357" s="3" t="str">
        <f t="shared" si="46"/>
        <v>FAIL</v>
      </c>
      <c r="H357" s="3">
        <v>135066113.87</v>
      </c>
      <c r="I357" s="4">
        <v>0</v>
      </c>
      <c r="J357" s="3">
        <v>119631345.76000001</v>
      </c>
      <c r="K357" s="3">
        <v>8692.81</v>
      </c>
      <c r="L357" s="3">
        <v>0</v>
      </c>
      <c r="M357" t="s">
        <v>29</v>
      </c>
      <c r="N357" t="s">
        <v>42</v>
      </c>
      <c r="O357" s="4">
        <v>0.26027264762586078</v>
      </c>
      <c r="P357" s="4">
        <v>0.73972735237413922</v>
      </c>
      <c r="Q357" t="s">
        <v>368</v>
      </c>
      <c r="R357" s="4">
        <v>2.2492954130180589E-5</v>
      </c>
      <c r="S357" s="3">
        <v>32379791.940000001</v>
      </c>
      <c r="T357" s="4">
        <v>0.23973290570250119</v>
      </c>
    </row>
    <row r="358" spans="1:20" x14ac:dyDescent="0.4">
      <c r="A358" s="2">
        <v>45889</v>
      </c>
      <c r="B358" t="s">
        <v>36</v>
      </c>
      <c r="C358" t="s">
        <v>28</v>
      </c>
      <c r="D358" s="3" t="str">
        <f t="shared" si="43"/>
        <v>PASS</v>
      </c>
      <c r="E358" s="3" t="str">
        <f t="shared" si="44"/>
        <v>PASS</v>
      </c>
      <c r="F358" s="3" t="str">
        <f t="shared" si="45"/>
        <v>PASS</v>
      </c>
      <c r="G358" s="3" t="str">
        <f t="shared" si="46"/>
        <v>FAIL</v>
      </c>
      <c r="H358" s="3">
        <v>101053018</v>
      </c>
      <c r="I358" s="4">
        <v>0</v>
      </c>
      <c r="J358" s="3">
        <v>92082185.950000003</v>
      </c>
      <c r="K358" s="3">
        <v>6689.01</v>
      </c>
      <c r="L358" s="3">
        <v>0</v>
      </c>
      <c r="M358" t="s">
        <v>29</v>
      </c>
      <c r="N358" t="s">
        <v>42</v>
      </c>
      <c r="O358" s="4">
        <v>0.25204625270953401</v>
      </c>
      <c r="P358" s="4">
        <v>0.74795374729046604</v>
      </c>
      <c r="Q358" t="s">
        <v>369</v>
      </c>
      <c r="R358" s="4">
        <v>1.6766115571489788E-5</v>
      </c>
      <c r="S358" s="3">
        <v>17251884.5</v>
      </c>
      <c r="T358" s="4">
        <v>0.17072112086746391</v>
      </c>
    </row>
    <row r="359" spans="1:20" x14ac:dyDescent="0.4">
      <c r="A359" s="2">
        <v>45889</v>
      </c>
      <c r="B359" t="s">
        <v>37</v>
      </c>
      <c r="C359" t="s">
        <v>28</v>
      </c>
      <c r="D359" s="3" t="str">
        <f t="shared" si="43"/>
        <v>PASS</v>
      </c>
      <c r="E359" s="3" t="str">
        <f t="shared" si="44"/>
        <v>PASS</v>
      </c>
      <c r="F359" s="3" t="str">
        <f t="shared" si="45"/>
        <v>PASS</v>
      </c>
      <c r="G359" s="3" t="str">
        <f t="shared" si="46"/>
        <v>FAIL</v>
      </c>
      <c r="H359" s="3">
        <v>40098586.670000002</v>
      </c>
      <c r="I359" s="4">
        <v>0</v>
      </c>
      <c r="J359" s="3">
        <v>34845212.770000003</v>
      </c>
      <c r="K359" s="3">
        <v>2532.2399999999998</v>
      </c>
      <c r="L359" s="3">
        <v>0</v>
      </c>
      <c r="M359" t="s">
        <v>29</v>
      </c>
      <c r="N359" t="s">
        <v>46</v>
      </c>
      <c r="O359" s="4">
        <v>0.28624906772236652</v>
      </c>
      <c r="P359" s="4">
        <v>0.71375093227763353</v>
      </c>
      <c r="Q359" t="s">
        <v>370</v>
      </c>
      <c r="R359" s="4">
        <v>6.337758300498177E-6</v>
      </c>
      <c r="S359" s="3">
        <v>10482369.98</v>
      </c>
      <c r="T359" s="4">
        <v>0.26141494876781901</v>
      </c>
    </row>
    <row r="360" spans="1:20" x14ac:dyDescent="0.4">
      <c r="A360" s="2">
        <v>45889</v>
      </c>
      <c r="B360" t="s">
        <v>38</v>
      </c>
      <c r="C360" t="s">
        <v>28</v>
      </c>
      <c r="D360" s="3" t="str">
        <f t="shared" si="43"/>
        <v>PASS</v>
      </c>
      <c r="E360" s="3" t="str">
        <f t="shared" si="44"/>
        <v>PASS</v>
      </c>
      <c r="F360" s="3" t="str">
        <f t="shared" si="45"/>
        <v>PASS</v>
      </c>
      <c r="G360" s="3" t="str">
        <f t="shared" si="46"/>
        <v>FAIL</v>
      </c>
      <c r="H360" s="3">
        <v>43100524.549999997</v>
      </c>
      <c r="I360" s="4">
        <v>0</v>
      </c>
      <c r="J360" s="3">
        <v>36703585.340000004</v>
      </c>
      <c r="K360" s="3">
        <v>2667.92</v>
      </c>
      <c r="L360" s="3">
        <v>0</v>
      </c>
      <c r="M360" t="s">
        <v>29</v>
      </c>
      <c r="N360" t="s">
        <v>42</v>
      </c>
      <c r="O360" s="4">
        <v>0.25993169854179698</v>
      </c>
      <c r="P360" s="4">
        <v>0.74006830145820302</v>
      </c>
      <c r="Q360" t="s">
        <v>371</v>
      </c>
      <c r="R360" s="4">
        <v>6.8910038009461138E-6</v>
      </c>
      <c r="S360" s="3">
        <v>14114240.880000001</v>
      </c>
      <c r="T360" s="4">
        <v>0.32747260102661557</v>
      </c>
    </row>
    <row r="361" spans="1:20" x14ac:dyDescent="0.4">
      <c r="A361" s="2">
        <v>45889</v>
      </c>
      <c r="B361" t="s">
        <v>39</v>
      </c>
      <c r="C361" t="s">
        <v>28</v>
      </c>
      <c r="D361" s="3" t="str">
        <f t="shared" si="43"/>
        <v>PASS</v>
      </c>
      <c r="E361" s="3" t="str">
        <f t="shared" si="44"/>
        <v>PASS</v>
      </c>
      <c r="F361" s="3" t="str">
        <f t="shared" si="45"/>
        <v>PASS</v>
      </c>
      <c r="G361" s="3" t="str">
        <f t="shared" si="46"/>
        <v>FAIL</v>
      </c>
      <c r="H361" s="3">
        <v>78198631.969999999</v>
      </c>
      <c r="I361" s="4">
        <v>0</v>
      </c>
      <c r="J361" s="3">
        <v>70276401.209999993</v>
      </c>
      <c r="K361" s="3">
        <v>5106.18</v>
      </c>
      <c r="L361" s="3">
        <v>0</v>
      </c>
      <c r="M361" t="s">
        <v>29</v>
      </c>
      <c r="N361" t="s">
        <v>42</v>
      </c>
      <c r="O361" s="4">
        <v>0.25523179817363328</v>
      </c>
      <c r="P361" s="4">
        <v>0.7447682018263666</v>
      </c>
      <c r="Q361" t="s">
        <v>372</v>
      </c>
      <c r="R361" s="4">
        <v>1.295534347574029E-5</v>
      </c>
      <c r="S361" s="3">
        <v>16654010.720000001</v>
      </c>
      <c r="T361" s="4">
        <v>0.21297061470831249</v>
      </c>
    </row>
    <row r="362" spans="1:20" x14ac:dyDescent="0.4">
      <c r="A362" s="2">
        <v>45890</v>
      </c>
      <c r="B362" t="s">
        <v>27</v>
      </c>
      <c r="C362" t="s">
        <v>28</v>
      </c>
      <c r="D362" s="3" t="str">
        <f t="shared" si="43"/>
        <v>PASS</v>
      </c>
      <c r="E362" s="3" t="str">
        <f t="shared" si="44"/>
        <v>PASS</v>
      </c>
      <c r="F362" s="3" t="str">
        <f t="shared" si="45"/>
        <v>PASS</v>
      </c>
      <c r="G362" s="3" t="str">
        <f t="shared" si="46"/>
        <v>FAIL</v>
      </c>
      <c r="H362" s="3">
        <v>54567359.810000002</v>
      </c>
      <c r="I362" s="4">
        <v>0</v>
      </c>
      <c r="J362" s="3">
        <v>50039311.909999996</v>
      </c>
      <c r="K362" s="3">
        <v>3637.65</v>
      </c>
      <c r="L362" s="3">
        <v>0</v>
      </c>
      <c r="M362" t="s">
        <v>29</v>
      </c>
      <c r="N362" t="s">
        <v>373</v>
      </c>
      <c r="O362" s="4">
        <v>0.27105533713962698</v>
      </c>
      <c r="P362" s="4">
        <v>0.72894466286037307</v>
      </c>
      <c r="Q362" t="s">
        <v>374</v>
      </c>
      <c r="R362" s="4">
        <v>7.6106843157195097E-5</v>
      </c>
      <c r="S362" s="3">
        <v>9248273.9299999997</v>
      </c>
      <c r="T362" s="4">
        <v>0.16948362468336181</v>
      </c>
    </row>
    <row r="363" spans="1:20" x14ac:dyDescent="0.4">
      <c r="A363" s="2">
        <v>45890</v>
      </c>
      <c r="B363" t="s">
        <v>30</v>
      </c>
      <c r="C363" t="s">
        <v>28</v>
      </c>
      <c r="D363" s="3" t="str">
        <f t="shared" si="43"/>
        <v>PASS</v>
      </c>
      <c r="E363" s="3" t="str">
        <f t="shared" si="44"/>
        <v>PASS</v>
      </c>
      <c r="F363" s="3" t="str">
        <f t="shared" si="45"/>
        <v>PASS</v>
      </c>
      <c r="G363" s="3" t="str">
        <f t="shared" si="46"/>
        <v>FAIL</v>
      </c>
      <c r="H363" s="3">
        <v>34374720.350000001</v>
      </c>
      <c r="I363" s="4">
        <v>0</v>
      </c>
      <c r="J363" s="3">
        <v>32171684.780000001</v>
      </c>
      <c r="K363" s="3">
        <v>2340.6799999999998</v>
      </c>
      <c r="L363" s="3">
        <v>0</v>
      </c>
      <c r="M363" t="s">
        <v>29</v>
      </c>
      <c r="N363" t="s">
        <v>42</v>
      </c>
      <c r="O363" s="4">
        <v>0.25545118684953122</v>
      </c>
      <c r="P363" s="4">
        <v>0.74454881315046884</v>
      </c>
      <c r="Q363" t="s">
        <v>375</v>
      </c>
      <c r="R363" s="4">
        <v>5.9596716071418652E-6</v>
      </c>
      <c r="S363" s="3">
        <v>4262323.12</v>
      </c>
      <c r="T363" s="4">
        <v>0.1239958631401637</v>
      </c>
    </row>
    <row r="364" spans="1:20" x14ac:dyDescent="0.4">
      <c r="A364" s="2">
        <v>45890</v>
      </c>
      <c r="B364" t="s">
        <v>31</v>
      </c>
      <c r="C364" t="s">
        <v>28</v>
      </c>
      <c r="D364" s="3" t="str">
        <f t="shared" si="43"/>
        <v>PASS</v>
      </c>
      <c r="E364" s="3" t="str">
        <f t="shared" si="44"/>
        <v>PASS</v>
      </c>
      <c r="F364" s="3" t="str">
        <f t="shared" si="45"/>
        <v>PASS</v>
      </c>
      <c r="G364" s="3" t="str">
        <f t="shared" si="46"/>
        <v>FAIL</v>
      </c>
      <c r="H364" s="3">
        <v>23320271.82</v>
      </c>
      <c r="I364" s="4">
        <v>0</v>
      </c>
      <c r="J364" s="3">
        <v>21377754.670000002</v>
      </c>
      <c r="K364" s="3">
        <v>1555.44</v>
      </c>
      <c r="L364" s="3">
        <v>0</v>
      </c>
      <c r="M364" t="s">
        <v>29</v>
      </c>
      <c r="N364" t="s">
        <v>42</v>
      </c>
      <c r="O364" s="4">
        <v>0.25351604289881202</v>
      </c>
      <c r="P364" s="4">
        <v>0.74648395710118798</v>
      </c>
      <c r="Q364" t="s">
        <v>376</v>
      </c>
      <c r="R364" s="4">
        <v>3.9303927444949938E-6</v>
      </c>
      <c r="S364" s="3">
        <v>3712593.66</v>
      </c>
      <c r="T364" s="4">
        <v>0.1592002738499812</v>
      </c>
    </row>
    <row r="365" spans="1:20" x14ac:dyDescent="0.4">
      <c r="A365" s="2">
        <v>45890</v>
      </c>
      <c r="B365" t="s">
        <v>32</v>
      </c>
      <c r="C365" t="s">
        <v>28</v>
      </c>
      <c r="D365" s="3" t="str">
        <f t="shared" si="43"/>
        <v>PASS</v>
      </c>
      <c r="E365" s="3" t="str">
        <f t="shared" si="44"/>
        <v>PASS</v>
      </c>
      <c r="F365" s="3" t="str">
        <f t="shared" si="45"/>
        <v>PASS</v>
      </c>
      <c r="G365" s="3" t="str">
        <f t="shared" si="46"/>
        <v>FAIL</v>
      </c>
      <c r="H365" s="3">
        <v>24537976.16</v>
      </c>
      <c r="I365" s="4">
        <v>0</v>
      </c>
      <c r="J365" s="3">
        <v>20552524.02</v>
      </c>
      <c r="K365" s="3">
        <v>1495.71</v>
      </c>
      <c r="L365" s="3">
        <v>0</v>
      </c>
      <c r="M365" t="s">
        <v>29</v>
      </c>
      <c r="N365" t="s">
        <v>46</v>
      </c>
      <c r="O365" s="4">
        <v>0.28651756077597318</v>
      </c>
      <c r="P365" s="4">
        <v>0.71348243922402677</v>
      </c>
      <c r="Q365" t="s">
        <v>377</v>
      </c>
      <c r="R365" s="4">
        <v>3.7573700204166808E-6</v>
      </c>
      <c r="S365" s="3">
        <v>7756227.2300000004</v>
      </c>
      <c r="T365" s="4">
        <v>0.31609074764053402</v>
      </c>
    </row>
    <row r="366" spans="1:20" x14ac:dyDescent="0.4">
      <c r="A366" s="2">
        <v>45890</v>
      </c>
      <c r="B366" t="s">
        <v>33</v>
      </c>
      <c r="C366" t="s">
        <v>28</v>
      </c>
      <c r="D366" s="3" t="str">
        <f t="shared" si="43"/>
        <v>PASS</v>
      </c>
      <c r="E366" s="3" t="str">
        <f t="shared" si="44"/>
        <v>PASS</v>
      </c>
      <c r="F366" s="3" t="str">
        <f t="shared" si="45"/>
        <v>PASS</v>
      </c>
      <c r="G366" s="3" t="str">
        <f t="shared" si="46"/>
        <v>FAIL</v>
      </c>
      <c r="H366" s="3">
        <v>15234919.630000001</v>
      </c>
      <c r="I366" s="4">
        <v>0</v>
      </c>
      <c r="J366" s="3">
        <v>13566713.880000001</v>
      </c>
      <c r="K366" s="3">
        <v>987.71</v>
      </c>
      <c r="L366" s="3">
        <v>0</v>
      </c>
      <c r="M366" t="s">
        <v>29</v>
      </c>
      <c r="N366" t="s">
        <v>42</v>
      </c>
      <c r="O366" s="4">
        <v>0.25318554001965882</v>
      </c>
      <c r="P366" s="4">
        <v>0.74681445998034124</v>
      </c>
      <c r="Q366" t="s">
        <v>378</v>
      </c>
      <c r="R366" s="4">
        <v>2.4906727935223712E-6</v>
      </c>
      <c r="S366" s="3">
        <v>3943703.97</v>
      </c>
      <c r="T366" s="4">
        <v>0.25885951916898953</v>
      </c>
    </row>
    <row r="367" spans="1:20" x14ac:dyDescent="0.4">
      <c r="A367" s="2">
        <v>45890</v>
      </c>
      <c r="B367" t="s">
        <v>34</v>
      </c>
      <c r="C367" t="s">
        <v>28</v>
      </c>
      <c r="D367" s="3" t="str">
        <f t="shared" si="43"/>
        <v>PASS</v>
      </c>
      <c r="E367" s="3" t="str">
        <f t="shared" si="44"/>
        <v>PASS</v>
      </c>
      <c r="F367" s="3" t="str">
        <f t="shared" si="45"/>
        <v>PASS</v>
      </c>
      <c r="G367" s="3" t="str">
        <f t="shared" si="46"/>
        <v>FAIL</v>
      </c>
      <c r="H367" s="3">
        <v>166335364.99000001</v>
      </c>
      <c r="I367" s="4">
        <v>0</v>
      </c>
      <c r="J367" s="3">
        <v>142027853.06</v>
      </c>
      <c r="K367" s="3">
        <v>10329.620000000001</v>
      </c>
      <c r="L367" s="3">
        <v>0</v>
      </c>
      <c r="M367" t="s">
        <v>29</v>
      </c>
      <c r="N367" t="s">
        <v>46</v>
      </c>
      <c r="O367" s="4">
        <v>0.28681381589842919</v>
      </c>
      <c r="P367" s="4">
        <v>0.71318618410157075</v>
      </c>
      <c r="Q367" t="s">
        <v>379</v>
      </c>
      <c r="R367" s="4">
        <v>2.5991858105986461E-5</v>
      </c>
      <c r="S367" s="3">
        <v>46441776.240000002</v>
      </c>
      <c r="T367" s="4">
        <v>0.27920566527023322</v>
      </c>
    </row>
    <row r="368" spans="1:20" x14ac:dyDescent="0.4">
      <c r="A368" s="2">
        <v>45890</v>
      </c>
      <c r="B368" t="s">
        <v>35</v>
      </c>
      <c r="C368" t="s">
        <v>28</v>
      </c>
      <c r="D368" s="3" t="str">
        <f t="shared" si="43"/>
        <v>PASS</v>
      </c>
      <c r="E368" s="3" t="str">
        <f t="shared" si="44"/>
        <v>PASS</v>
      </c>
      <c r="F368" s="3" t="str">
        <f t="shared" si="45"/>
        <v>PASS</v>
      </c>
      <c r="G368" s="3" t="str">
        <f t="shared" si="46"/>
        <v>FAIL</v>
      </c>
      <c r="H368" s="3">
        <v>134819980.75</v>
      </c>
      <c r="I368" s="4">
        <v>0</v>
      </c>
      <c r="J368" s="3">
        <v>119376527.08</v>
      </c>
      <c r="K368" s="3">
        <v>8686.11</v>
      </c>
      <c r="L368" s="3">
        <v>0</v>
      </c>
      <c r="M368" t="s">
        <v>29</v>
      </c>
      <c r="N368" t="s">
        <v>42</v>
      </c>
      <c r="O368" s="4">
        <v>0.25983493571741462</v>
      </c>
      <c r="P368" s="4">
        <v>0.74016506428258544</v>
      </c>
      <c r="Q368" t="s">
        <v>380</v>
      </c>
      <c r="R368" s="4">
        <v>2.2492954130180589E-5</v>
      </c>
      <c r="S368" s="3">
        <v>32266760.829999998</v>
      </c>
      <c r="T368" s="4">
        <v>0.2393321868947085</v>
      </c>
    </row>
    <row r="369" spans="1:20" x14ac:dyDescent="0.4">
      <c r="A369" s="2">
        <v>45890</v>
      </c>
      <c r="B369" t="s">
        <v>36</v>
      </c>
      <c r="C369" t="s">
        <v>28</v>
      </c>
      <c r="D369" s="3" t="str">
        <f t="shared" si="43"/>
        <v>PASS</v>
      </c>
      <c r="E369" s="3" t="str">
        <f t="shared" si="44"/>
        <v>PASS</v>
      </c>
      <c r="F369" s="3" t="str">
        <f t="shared" si="45"/>
        <v>PASS</v>
      </c>
      <c r="G369" s="3" t="str">
        <f t="shared" si="46"/>
        <v>FAIL</v>
      </c>
      <c r="H369" s="3">
        <v>100914387.16</v>
      </c>
      <c r="I369" s="4">
        <v>0</v>
      </c>
      <c r="J369" s="3">
        <v>91936869.689999998</v>
      </c>
      <c r="K369" s="3">
        <v>6686.1</v>
      </c>
      <c r="L369" s="3">
        <v>0</v>
      </c>
      <c r="M369" t="s">
        <v>29</v>
      </c>
      <c r="N369" t="s">
        <v>42</v>
      </c>
      <c r="O369" s="4">
        <v>0.25148156509960901</v>
      </c>
      <c r="P369" s="4">
        <v>0.74851843490039105</v>
      </c>
      <c r="Q369" t="s">
        <v>381</v>
      </c>
      <c r="R369" s="4">
        <v>1.6766115571489788E-5</v>
      </c>
      <c r="S369" s="3">
        <v>17349307.809999999</v>
      </c>
      <c r="T369" s="4">
        <v>0.1719210540563719</v>
      </c>
    </row>
    <row r="370" spans="1:20" x14ac:dyDescent="0.4">
      <c r="A370" s="2">
        <v>45890</v>
      </c>
      <c r="B370" t="s">
        <v>37</v>
      </c>
      <c r="C370" t="s">
        <v>28</v>
      </c>
      <c r="D370" s="3" t="str">
        <f t="shared" si="43"/>
        <v>PASS</v>
      </c>
      <c r="E370" s="3" t="str">
        <f t="shared" si="44"/>
        <v>PASS</v>
      </c>
      <c r="F370" s="3" t="str">
        <f t="shared" si="45"/>
        <v>PASS</v>
      </c>
      <c r="G370" s="3" t="str">
        <f t="shared" si="46"/>
        <v>FAIL</v>
      </c>
      <c r="H370" s="3">
        <v>40037196.399999999</v>
      </c>
      <c r="I370" s="4">
        <v>0</v>
      </c>
      <c r="J370" s="3">
        <v>34781292.640000001</v>
      </c>
      <c r="K370" s="3">
        <v>2530.54</v>
      </c>
      <c r="L370" s="3">
        <v>0</v>
      </c>
      <c r="M370" t="s">
        <v>29</v>
      </c>
      <c r="N370" t="s">
        <v>46</v>
      </c>
      <c r="O370" s="4">
        <v>0.28561985613424862</v>
      </c>
      <c r="P370" s="4">
        <v>0.71438014386575144</v>
      </c>
      <c r="Q370" t="s">
        <v>382</v>
      </c>
      <c r="R370" s="4">
        <v>6.337758300498177E-6</v>
      </c>
      <c r="S370" s="3">
        <v>10472740.050000001</v>
      </c>
      <c r="T370" s="4">
        <v>0.26157525980015928</v>
      </c>
    </row>
    <row r="371" spans="1:20" x14ac:dyDescent="0.4">
      <c r="A371" s="2">
        <v>45890</v>
      </c>
      <c r="B371" t="s">
        <v>38</v>
      </c>
      <c r="C371" t="s">
        <v>28</v>
      </c>
      <c r="D371" s="3" t="str">
        <f t="shared" si="43"/>
        <v>PASS</v>
      </c>
      <c r="E371" s="3" t="str">
        <f t="shared" si="44"/>
        <v>PASS</v>
      </c>
      <c r="F371" s="3" t="str">
        <f t="shared" si="45"/>
        <v>PASS</v>
      </c>
      <c r="G371" s="3" t="str">
        <f t="shared" si="46"/>
        <v>FAIL</v>
      </c>
      <c r="H371" s="3">
        <v>43021107.899999999</v>
      </c>
      <c r="I371" s="4">
        <v>0</v>
      </c>
      <c r="J371" s="3">
        <v>36621503.909999996</v>
      </c>
      <c r="K371" s="3">
        <v>2665.33</v>
      </c>
      <c r="L371" s="3">
        <v>0</v>
      </c>
      <c r="M371" t="s">
        <v>29</v>
      </c>
      <c r="N371" t="s">
        <v>42</v>
      </c>
      <c r="O371" s="4">
        <v>0.2595034284598281</v>
      </c>
      <c r="P371" s="4">
        <v>0.7404965715401719</v>
      </c>
      <c r="Q371" t="s">
        <v>383</v>
      </c>
      <c r="R371" s="4">
        <v>6.8910038009461138E-6</v>
      </c>
      <c r="S371" s="3">
        <v>14045174.84</v>
      </c>
      <c r="T371" s="4">
        <v>0.3264717141326805</v>
      </c>
    </row>
    <row r="372" spans="1:20" x14ac:dyDescent="0.4">
      <c r="A372" s="2">
        <v>45890</v>
      </c>
      <c r="B372" t="s">
        <v>39</v>
      </c>
      <c r="C372" t="s">
        <v>28</v>
      </c>
      <c r="D372" s="3" t="str">
        <f t="shared" si="43"/>
        <v>PASS</v>
      </c>
      <c r="E372" s="3" t="str">
        <f t="shared" si="44"/>
        <v>PASS</v>
      </c>
      <c r="F372" s="3" t="str">
        <f t="shared" si="45"/>
        <v>PASS</v>
      </c>
      <c r="G372" s="3" t="str">
        <f t="shared" si="46"/>
        <v>FAIL</v>
      </c>
      <c r="H372" s="3">
        <v>78049299.040000007</v>
      </c>
      <c r="I372" s="4">
        <v>0</v>
      </c>
      <c r="J372" s="3">
        <v>70121966.019999996</v>
      </c>
      <c r="K372" s="3">
        <v>5102.26</v>
      </c>
      <c r="L372" s="3">
        <v>0</v>
      </c>
      <c r="M372" t="s">
        <v>29</v>
      </c>
      <c r="N372" t="s">
        <v>42</v>
      </c>
      <c r="O372" s="4">
        <v>0.25480092707189622</v>
      </c>
      <c r="P372" s="4">
        <v>0.74519907292810383</v>
      </c>
      <c r="Q372" t="s">
        <v>384</v>
      </c>
      <c r="R372" s="4">
        <v>1.295534347574029E-5</v>
      </c>
      <c r="S372" s="3">
        <v>16617969.859999999</v>
      </c>
      <c r="T372" s="4">
        <v>0.21291632422583759</v>
      </c>
    </row>
    <row r="373" spans="1:20" x14ac:dyDescent="0.4">
      <c r="A373" s="2">
        <v>45891</v>
      </c>
      <c r="B373" t="s">
        <v>27</v>
      </c>
      <c r="C373" t="s">
        <v>28</v>
      </c>
      <c r="D373" s="3" t="str">
        <f t="shared" si="43"/>
        <v>PASS</v>
      </c>
      <c r="E373" s="3" t="str">
        <f t="shared" si="44"/>
        <v>PASS</v>
      </c>
      <c r="F373" s="3" t="str">
        <f t="shared" si="45"/>
        <v>PASS</v>
      </c>
      <c r="G373" s="3" t="str">
        <f t="shared" si="46"/>
        <v>FAIL</v>
      </c>
      <c r="H373" s="3">
        <v>55230371.060000002</v>
      </c>
      <c r="I373" s="4">
        <v>0</v>
      </c>
      <c r="J373" s="3">
        <v>50691424.189999998</v>
      </c>
      <c r="K373" s="3">
        <v>10901.01</v>
      </c>
      <c r="L373" s="3">
        <v>0</v>
      </c>
      <c r="M373" t="s">
        <v>29</v>
      </c>
      <c r="N373" t="s">
        <v>385</v>
      </c>
      <c r="O373" s="4">
        <v>0.27233967067596021</v>
      </c>
      <c r="P373" s="4">
        <v>0.72766032932403979</v>
      </c>
      <c r="Q373" t="s">
        <v>386</v>
      </c>
      <c r="R373" s="4">
        <v>7.6106843157195097E-5</v>
      </c>
      <c r="S373" s="3">
        <v>9188889.2999999989</v>
      </c>
      <c r="T373" s="4">
        <v>0.1663738469187101</v>
      </c>
    </row>
    <row r="374" spans="1:20" x14ac:dyDescent="0.4">
      <c r="A374" s="2">
        <v>45891</v>
      </c>
      <c r="B374" t="s">
        <v>30</v>
      </c>
      <c r="C374" t="s">
        <v>28</v>
      </c>
      <c r="D374" s="3" t="str">
        <f t="shared" si="43"/>
        <v>PASS</v>
      </c>
      <c r="E374" s="3" t="str">
        <f t="shared" si="44"/>
        <v>PASS</v>
      </c>
      <c r="F374" s="3" t="str">
        <f t="shared" si="45"/>
        <v>PASS</v>
      </c>
      <c r="G374" s="3" t="str">
        <f t="shared" si="46"/>
        <v>FAIL</v>
      </c>
      <c r="H374" s="3">
        <v>34684836.049999997</v>
      </c>
      <c r="I374" s="4">
        <v>0</v>
      </c>
      <c r="J374" s="3">
        <v>32475118.559999999</v>
      </c>
      <c r="K374" s="3">
        <v>7007.25</v>
      </c>
      <c r="L374" s="3">
        <v>0</v>
      </c>
      <c r="M374" t="s">
        <v>29</v>
      </c>
      <c r="N374" t="s">
        <v>42</v>
      </c>
      <c r="O374" s="4">
        <v>0.2569897697087884</v>
      </c>
      <c r="P374" s="4">
        <v>0.7430102302912116</v>
      </c>
      <c r="Q374" t="s">
        <v>387</v>
      </c>
      <c r="R374" s="4">
        <v>5.9596716071418652E-6</v>
      </c>
      <c r="S374" s="3">
        <v>4284628.9399999985</v>
      </c>
      <c r="T374" s="4">
        <v>0.1235303212569171</v>
      </c>
    </row>
    <row r="375" spans="1:20" x14ac:dyDescent="0.4">
      <c r="A375" s="2">
        <v>45891</v>
      </c>
      <c r="B375" t="s">
        <v>31</v>
      </c>
      <c r="C375" t="s">
        <v>28</v>
      </c>
      <c r="D375" s="3" t="str">
        <f t="shared" si="43"/>
        <v>PASS</v>
      </c>
      <c r="E375" s="3" t="str">
        <f t="shared" si="44"/>
        <v>PASS</v>
      </c>
      <c r="F375" s="3" t="str">
        <f t="shared" si="45"/>
        <v>PASS</v>
      </c>
      <c r="G375" s="3" t="str">
        <f t="shared" si="46"/>
        <v>FAIL</v>
      </c>
      <c r="H375" s="3">
        <v>23493131.120000001</v>
      </c>
      <c r="I375" s="4">
        <v>0</v>
      </c>
      <c r="J375" s="3">
        <v>21546283.059999999</v>
      </c>
      <c r="K375" s="3">
        <v>4658.37</v>
      </c>
      <c r="L375" s="3">
        <v>0</v>
      </c>
      <c r="M375" t="s">
        <v>29</v>
      </c>
      <c r="N375" t="s">
        <v>42</v>
      </c>
      <c r="O375" s="4">
        <v>0.25543500076899112</v>
      </c>
      <c r="P375" s="4">
        <v>0.74456499923100883</v>
      </c>
      <c r="Q375" t="s">
        <v>388</v>
      </c>
      <c r="R375" s="4">
        <v>3.9303927444949938E-6</v>
      </c>
      <c r="S375" s="3">
        <v>3713133.7999999989</v>
      </c>
      <c r="T375" s="4">
        <v>0.15805189104141851</v>
      </c>
    </row>
    <row r="376" spans="1:20" x14ac:dyDescent="0.4">
      <c r="A376" s="2">
        <v>45891</v>
      </c>
      <c r="B376" t="s">
        <v>32</v>
      </c>
      <c r="C376" t="s">
        <v>28</v>
      </c>
      <c r="D376" s="3" t="str">
        <f t="shared" si="43"/>
        <v>PASS</v>
      </c>
      <c r="E376" s="3" t="str">
        <f t="shared" si="44"/>
        <v>PASS</v>
      </c>
      <c r="F376" s="3" t="str">
        <f t="shared" si="45"/>
        <v>PASS</v>
      </c>
      <c r="G376" s="3" t="str">
        <f t="shared" si="46"/>
        <v>FAIL</v>
      </c>
      <c r="H376" s="3">
        <v>24706494.620000001</v>
      </c>
      <c r="I376" s="4">
        <v>0</v>
      </c>
      <c r="J376" s="3">
        <v>20716891.300000001</v>
      </c>
      <c r="K376" s="3">
        <v>4478.16</v>
      </c>
      <c r="L376" s="3">
        <v>0</v>
      </c>
      <c r="M376" t="s">
        <v>29</v>
      </c>
      <c r="N376" t="s">
        <v>46</v>
      </c>
      <c r="O376" s="4">
        <v>0.28864048922243463</v>
      </c>
      <c r="P376" s="4">
        <v>0.71135951077756543</v>
      </c>
      <c r="Q376" t="s">
        <v>389</v>
      </c>
      <c r="R376" s="4">
        <v>3.7573700204166808E-6</v>
      </c>
      <c r="S376" s="3">
        <v>7756423.3600000003</v>
      </c>
      <c r="T376" s="4">
        <v>0.31394268913086298</v>
      </c>
    </row>
    <row r="377" spans="1:20" x14ac:dyDescent="0.4">
      <c r="A377" s="2">
        <v>45891</v>
      </c>
      <c r="B377" t="s">
        <v>33</v>
      </c>
      <c r="C377" t="s">
        <v>28</v>
      </c>
      <c r="D377" s="3" t="str">
        <f t="shared" si="43"/>
        <v>PASS</v>
      </c>
      <c r="E377" s="3" t="str">
        <f t="shared" si="44"/>
        <v>PASS</v>
      </c>
      <c r="F377" s="3" t="str">
        <f t="shared" si="45"/>
        <v>PASS</v>
      </c>
      <c r="G377" s="3" t="str">
        <f t="shared" si="46"/>
        <v>FAIL</v>
      </c>
      <c r="H377" s="3">
        <v>15348443.07</v>
      </c>
      <c r="I377" s="4">
        <v>0</v>
      </c>
      <c r="J377" s="3">
        <v>13677282.380000001</v>
      </c>
      <c r="K377" s="3">
        <v>2957.07</v>
      </c>
      <c r="L377" s="3">
        <v>0</v>
      </c>
      <c r="M377" t="s">
        <v>29</v>
      </c>
      <c r="N377" t="s">
        <v>42</v>
      </c>
      <c r="O377" s="4">
        <v>0.25502936205372112</v>
      </c>
      <c r="P377" s="4">
        <v>0.74497063794627894</v>
      </c>
      <c r="Q377" t="s">
        <v>390</v>
      </c>
      <c r="R377" s="4">
        <v>2.4906727935223712E-6</v>
      </c>
      <c r="S377" s="3">
        <v>3972595.31</v>
      </c>
      <c r="T377" s="4">
        <v>0.25882724989642869</v>
      </c>
    </row>
    <row r="378" spans="1:20" x14ac:dyDescent="0.4">
      <c r="A378" s="2">
        <v>45891</v>
      </c>
      <c r="B378" t="s">
        <v>34</v>
      </c>
      <c r="C378" t="s">
        <v>28</v>
      </c>
      <c r="D378" s="3" t="str">
        <f t="shared" si="43"/>
        <v>PASS</v>
      </c>
      <c r="E378" s="3" t="str">
        <f t="shared" si="44"/>
        <v>PASS</v>
      </c>
      <c r="F378" s="3" t="str">
        <f t="shared" si="45"/>
        <v>PASS</v>
      </c>
      <c r="G378" s="3" t="str">
        <f t="shared" si="46"/>
        <v>FAIL</v>
      </c>
      <c r="H378" s="3">
        <v>167373373.53</v>
      </c>
      <c r="I378" s="4">
        <v>0</v>
      </c>
      <c r="J378" s="3">
        <v>143036553.41999999</v>
      </c>
      <c r="K378" s="3">
        <v>30936.48</v>
      </c>
      <c r="L378" s="3">
        <v>0</v>
      </c>
      <c r="M378" t="s">
        <v>29</v>
      </c>
      <c r="N378" t="s">
        <v>46</v>
      </c>
      <c r="O378" s="4">
        <v>0.28920060209040238</v>
      </c>
      <c r="P378" s="4">
        <v>0.71079939790959767</v>
      </c>
      <c r="Q378" t="s">
        <v>391</v>
      </c>
      <c r="R378" s="4">
        <v>2.5991858105986461E-5</v>
      </c>
      <c r="S378" s="3">
        <v>46746841.739999987</v>
      </c>
      <c r="T378" s="4">
        <v>0.2792967647964692</v>
      </c>
    </row>
    <row r="379" spans="1:20" x14ac:dyDescent="0.4">
      <c r="A379" s="2">
        <v>45891</v>
      </c>
      <c r="B379" t="s">
        <v>35</v>
      </c>
      <c r="C379" t="s">
        <v>28</v>
      </c>
      <c r="D379" s="3" t="str">
        <f t="shared" si="43"/>
        <v>PASS</v>
      </c>
      <c r="E379" s="3" t="str">
        <f t="shared" si="44"/>
        <v>PASS</v>
      </c>
      <c r="F379" s="3" t="str">
        <f t="shared" si="45"/>
        <v>PASS</v>
      </c>
      <c r="G379" s="3" t="str">
        <f t="shared" si="46"/>
        <v>FAIL</v>
      </c>
      <c r="H379" s="3">
        <v>135943273.15000001</v>
      </c>
      <c r="I379" s="4">
        <v>0</v>
      </c>
      <c r="J379" s="3">
        <v>120475119.62</v>
      </c>
      <c r="K379" s="3">
        <v>26002.83</v>
      </c>
      <c r="L379" s="3">
        <v>0</v>
      </c>
      <c r="M379" t="s">
        <v>29</v>
      </c>
      <c r="N379" t="s">
        <v>42</v>
      </c>
      <c r="O379" s="4">
        <v>0.26146048810206612</v>
      </c>
      <c r="P379" s="4">
        <v>0.73853951189793388</v>
      </c>
      <c r="Q379" t="s">
        <v>392</v>
      </c>
      <c r="R379" s="4">
        <v>2.2492954130180589E-5</v>
      </c>
      <c r="S379" s="3">
        <v>32681995.980000012</v>
      </c>
      <c r="T379" s="4">
        <v>0.24040907080366269</v>
      </c>
    </row>
    <row r="380" spans="1:20" x14ac:dyDescent="0.4">
      <c r="A380" s="2">
        <v>45891</v>
      </c>
      <c r="B380" t="s">
        <v>36</v>
      </c>
      <c r="C380" t="s">
        <v>28</v>
      </c>
      <c r="D380" s="3" t="str">
        <f t="shared" si="43"/>
        <v>PASS</v>
      </c>
      <c r="E380" s="3" t="str">
        <f t="shared" si="44"/>
        <v>PASS</v>
      </c>
      <c r="F380" s="3" t="str">
        <f t="shared" si="45"/>
        <v>PASS</v>
      </c>
      <c r="G380" s="3" t="str">
        <f t="shared" si="46"/>
        <v>FAIL</v>
      </c>
      <c r="H380" s="3">
        <v>101595006.53</v>
      </c>
      <c r="I380" s="4">
        <v>0</v>
      </c>
      <c r="J380" s="3">
        <v>92598440.439999998</v>
      </c>
      <c r="K380" s="3">
        <v>20026.650000000001</v>
      </c>
      <c r="L380" s="3">
        <v>0</v>
      </c>
      <c r="M380" t="s">
        <v>29</v>
      </c>
      <c r="N380" t="s">
        <v>42</v>
      </c>
      <c r="O380" s="4">
        <v>0.25355834059876531</v>
      </c>
      <c r="P380" s="4">
        <v>0.74644165940123475</v>
      </c>
      <c r="Q380" t="s">
        <v>393</v>
      </c>
      <c r="R380" s="4">
        <v>1.6766115571489788E-5</v>
      </c>
      <c r="S380" s="3">
        <v>17156866.120000001</v>
      </c>
      <c r="T380" s="4">
        <v>0.1688750924479123</v>
      </c>
    </row>
    <row r="381" spans="1:20" x14ac:dyDescent="0.4">
      <c r="A381" s="2">
        <v>45891</v>
      </c>
      <c r="B381" t="s">
        <v>37</v>
      </c>
      <c r="C381" t="s">
        <v>28</v>
      </c>
      <c r="D381" s="3" t="str">
        <f t="shared" si="43"/>
        <v>PASS</v>
      </c>
      <c r="E381" s="3" t="str">
        <f t="shared" si="44"/>
        <v>PASS</v>
      </c>
      <c r="F381" s="3" t="str">
        <f t="shared" si="45"/>
        <v>PASS</v>
      </c>
      <c r="G381" s="3" t="str">
        <f t="shared" si="46"/>
        <v>FAIL</v>
      </c>
      <c r="H381" s="3">
        <v>40318852.640000001</v>
      </c>
      <c r="I381" s="4">
        <v>0</v>
      </c>
      <c r="J381" s="3">
        <v>35055698.549999997</v>
      </c>
      <c r="K381" s="3">
        <v>7577.7</v>
      </c>
      <c r="L381" s="3">
        <v>0</v>
      </c>
      <c r="M381" t="s">
        <v>29</v>
      </c>
      <c r="N381" t="s">
        <v>42</v>
      </c>
      <c r="O381" s="4">
        <v>0.25321199425934698</v>
      </c>
      <c r="P381" s="4">
        <v>0.74678800574065296</v>
      </c>
      <c r="Q381" t="s">
        <v>394</v>
      </c>
      <c r="R381" s="4">
        <v>6.337758300498177E-6</v>
      </c>
      <c r="S381" s="3">
        <v>10495428.789999999</v>
      </c>
      <c r="T381" s="4">
        <v>0.26031070089498459</v>
      </c>
    </row>
    <row r="382" spans="1:20" x14ac:dyDescent="0.4">
      <c r="A382" s="2">
        <v>45891</v>
      </c>
      <c r="B382" t="s">
        <v>38</v>
      </c>
      <c r="C382" t="s">
        <v>28</v>
      </c>
      <c r="D382" s="3" t="str">
        <f t="shared" si="43"/>
        <v>PASS</v>
      </c>
      <c r="E382" s="3" t="str">
        <f t="shared" si="44"/>
        <v>PASS</v>
      </c>
      <c r="F382" s="3" t="str">
        <f t="shared" si="45"/>
        <v>PASS</v>
      </c>
      <c r="G382" s="3" t="str">
        <f t="shared" si="46"/>
        <v>FAIL</v>
      </c>
      <c r="H382" s="3">
        <v>43379713.079999998</v>
      </c>
      <c r="I382" s="4">
        <v>0</v>
      </c>
      <c r="J382" s="3">
        <v>36972457.960000001</v>
      </c>
      <c r="K382" s="3">
        <v>7978.11</v>
      </c>
      <c r="L382" s="3">
        <v>0</v>
      </c>
      <c r="M382" t="s">
        <v>29</v>
      </c>
      <c r="N382" t="s">
        <v>42</v>
      </c>
      <c r="O382" s="4">
        <v>0.26102045610386032</v>
      </c>
      <c r="P382" s="4">
        <v>0.73897954389613973</v>
      </c>
      <c r="Q382" t="s">
        <v>395</v>
      </c>
      <c r="R382" s="4">
        <v>6.8910038009461138E-6</v>
      </c>
      <c r="S382" s="3">
        <v>14256672.68</v>
      </c>
      <c r="T382" s="4">
        <v>0.32864838579517869</v>
      </c>
    </row>
    <row r="383" spans="1:20" x14ac:dyDescent="0.4">
      <c r="A383" s="2">
        <v>45891</v>
      </c>
      <c r="B383" t="s">
        <v>39</v>
      </c>
      <c r="C383" t="s">
        <v>28</v>
      </c>
      <c r="D383" s="3" t="str">
        <f t="shared" si="43"/>
        <v>PASS</v>
      </c>
      <c r="E383" s="3" t="str">
        <f t="shared" si="44"/>
        <v>PASS</v>
      </c>
      <c r="F383" s="3" t="str">
        <f t="shared" si="45"/>
        <v>PASS</v>
      </c>
      <c r="G383" s="3" t="str">
        <f t="shared" si="46"/>
        <v>FAIL</v>
      </c>
      <c r="H383" s="3">
        <v>78700340.829999998</v>
      </c>
      <c r="I383" s="4">
        <v>0</v>
      </c>
      <c r="J383" s="3">
        <v>70757734.659999996</v>
      </c>
      <c r="K383" s="3">
        <v>15273.15</v>
      </c>
      <c r="L383" s="3">
        <v>0</v>
      </c>
      <c r="M383" t="s">
        <v>29</v>
      </c>
      <c r="N383" t="s">
        <v>42</v>
      </c>
      <c r="O383" s="4">
        <v>0.25642164191919598</v>
      </c>
      <c r="P383" s="4">
        <v>0.74357835808080397</v>
      </c>
      <c r="Q383" t="s">
        <v>396</v>
      </c>
      <c r="R383" s="4">
        <v>1.295534347574029E-5</v>
      </c>
      <c r="S383" s="3">
        <v>16745031.4</v>
      </c>
      <c r="T383" s="4">
        <v>0.21276949023855959</v>
      </c>
    </row>
    <row r="384" spans="1:20" x14ac:dyDescent="0.4">
      <c r="A384" s="2">
        <v>45894</v>
      </c>
      <c r="B384" t="s">
        <v>27</v>
      </c>
      <c r="C384" t="s">
        <v>28</v>
      </c>
      <c r="D384" s="3" t="str">
        <f t="shared" si="43"/>
        <v>PASS</v>
      </c>
      <c r="E384" s="3" t="str">
        <f t="shared" si="44"/>
        <v>PASS</v>
      </c>
      <c r="F384" s="3" t="str">
        <f t="shared" si="45"/>
        <v>PASS</v>
      </c>
      <c r="G384" s="3" t="str">
        <f t="shared" si="46"/>
        <v>FAIL</v>
      </c>
      <c r="H384" s="3">
        <v>55153702.590000004</v>
      </c>
      <c r="I384" s="4">
        <v>0</v>
      </c>
      <c r="J384" s="3">
        <v>50600959.280000001</v>
      </c>
      <c r="K384" s="3">
        <v>3681.02</v>
      </c>
      <c r="L384" s="3">
        <v>0</v>
      </c>
      <c r="M384" t="s">
        <v>29</v>
      </c>
      <c r="N384" t="s">
        <v>397</v>
      </c>
      <c r="O384" s="4">
        <v>0.25245261931326768</v>
      </c>
      <c r="P384" s="4">
        <v>0.74754738068673232</v>
      </c>
      <c r="Q384" t="s">
        <v>398</v>
      </c>
      <c r="R384" s="4">
        <v>7.6324089970712775E-5</v>
      </c>
      <c r="S384" s="3">
        <v>9099527.9600000009</v>
      </c>
      <c r="T384" s="4">
        <v>0.16498489734485841</v>
      </c>
    </row>
    <row r="385" spans="1:20" x14ac:dyDescent="0.4">
      <c r="A385" s="2">
        <v>45894</v>
      </c>
      <c r="B385" t="s">
        <v>30</v>
      </c>
      <c r="C385" t="s">
        <v>28</v>
      </c>
      <c r="D385" s="3" t="str">
        <f t="shared" si="43"/>
        <v>PASS</v>
      </c>
      <c r="E385" s="3" t="str">
        <f t="shared" si="44"/>
        <v>PASS</v>
      </c>
      <c r="F385" s="3" t="str">
        <f t="shared" si="45"/>
        <v>PASS</v>
      </c>
      <c r="G385" s="3" t="str">
        <f t="shared" si="46"/>
        <v>FAIL</v>
      </c>
      <c r="H385" s="3">
        <v>34590535.460000001</v>
      </c>
      <c r="I385" s="4">
        <v>0</v>
      </c>
      <c r="J385" s="3">
        <v>32383659.859999999</v>
      </c>
      <c r="K385" s="3">
        <v>2357.7800000000002</v>
      </c>
      <c r="L385" s="3">
        <v>0</v>
      </c>
      <c r="M385" t="s">
        <v>29</v>
      </c>
      <c r="N385" t="s">
        <v>42</v>
      </c>
      <c r="O385" s="4">
        <v>0.255934205578702</v>
      </c>
      <c r="P385" s="4">
        <v>0.74406579442129805</v>
      </c>
      <c r="Q385" t="s">
        <v>399</v>
      </c>
      <c r="R385" s="4">
        <v>5.9468551090619904E-6</v>
      </c>
      <c r="S385" s="3">
        <v>4236671.38</v>
      </c>
      <c r="T385" s="4">
        <v>0.1224806532671119</v>
      </c>
    </row>
    <row r="386" spans="1:20" x14ac:dyDescent="0.4">
      <c r="A386" s="2">
        <v>45894</v>
      </c>
      <c r="B386" t="s">
        <v>31</v>
      </c>
      <c r="C386" t="s">
        <v>28</v>
      </c>
      <c r="D386" s="3" t="str">
        <f t="shared" si="43"/>
        <v>PASS</v>
      </c>
      <c r="E386" s="3" t="str">
        <f t="shared" si="44"/>
        <v>PASS</v>
      </c>
      <c r="F386" s="3" t="str">
        <f t="shared" si="45"/>
        <v>PASS</v>
      </c>
      <c r="G386" s="3" t="str">
        <f t="shared" si="46"/>
        <v>FAIL</v>
      </c>
      <c r="H386" s="3">
        <v>23437026.350000001</v>
      </c>
      <c r="I386" s="4">
        <v>0</v>
      </c>
      <c r="J386" s="3">
        <v>21493079.219999999</v>
      </c>
      <c r="K386" s="3">
        <v>1565.03</v>
      </c>
      <c r="L386" s="3">
        <v>0</v>
      </c>
      <c r="M386" t="s">
        <v>29</v>
      </c>
      <c r="N386" t="s">
        <v>42</v>
      </c>
      <c r="O386" s="4">
        <v>0.25413154830404061</v>
      </c>
      <c r="P386" s="4">
        <v>0.7458684516959595</v>
      </c>
      <c r="Q386" t="s">
        <v>400</v>
      </c>
      <c r="R386" s="4">
        <v>3.919712329428431E-6</v>
      </c>
      <c r="S386" s="3">
        <v>3677142.55</v>
      </c>
      <c r="T386" s="4">
        <v>0.15689458615981799</v>
      </c>
    </row>
    <row r="387" spans="1:20" x14ac:dyDescent="0.4">
      <c r="A387" s="2">
        <v>45894</v>
      </c>
      <c r="B387" t="s">
        <v>32</v>
      </c>
      <c r="C387" t="s">
        <v>28</v>
      </c>
      <c r="D387" s="3" t="str">
        <f t="shared" si="43"/>
        <v>PASS</v>
      </c>
      <c r="E387" s="3" t="str">
        <f t="shared" si="44"/>
        <v>PASS</v>
      </c>
      <c r="F387" s="3" t="str">
        <f t="shared" si="45"/>
        <v>PASS</v>
      </c>
      <c r="G387" s="3" t="str">
        <f t="shared" si="46"/>
        <v>FAIL</v>
      </c>
      <c r="H387" s="3">
        <v>24646236.640000001</v>
      </c>
      <c r="I387" s="4">
        <v>0</v>
      </c>
      <c r="J387" s="3">
        <v>20657857.859999999</v>
      </c>
      <c r="K387" s="3">
        <v>1504.65</v>
      </c>
      <c r="L387" s="3">
        <v>0</v>
      </c>
      <c r="M387" t="s">
        <v>29</v>
      </c>
      <c r="N387" t="s">
        <v>46</v>
      </c>
      <c r="O387" s="4">
        <v>0.28764714910280642</v>
      </c>
      <c r="P387" s="4">
        <v>0.71235285089719369</v>
      </c>
      <c r="Q387" t="s">
        <v>401</v>
      </c>
      <c r="R387" s="4">
        <v>3.7488256883634309E-6</v>
      </c>
      <c r="S387" s="3">
        <v>7708343.2599999998</v>
      </c>
      <c r="T387" s="4">
        <v>0.31275944366652803</v>
      </c>
    </row>
    <row r="388" spans="1:20" x14ac:dyDescent="0.4">
      <c r="A388" s="2">
        <v>45894</v>
      </c>
      <c r="B388" t="s">
        <v>33</v>
      </c>
      <c r="C388" t="s">
        <v>28</v>
      </c>
      <c r="D388" s="3" t="str">
        <f t="shared" si="43"/>
        <v>PASS</v>
      </c>
      <c r="E388" s="3" t="str">
        <f t="shared" si="44"/>
        <v>PASS</v>
      </c>
      <c r="F388" s="3" t="str">
        <f t="shared" si="45"/>
        <v>PASS</v>
      </c>
      <c r="G388" s="3" t="str">
        <f t="shared" si="46"/>
        <v>FAIL</v>
      </c>
      <c r="H388" s="3">
        <v>15310175.470000001</v>
      </c>
      <c r="I388" s="4">
        <v>0</v>
      </c>
      <c r="J388" s="3">
        <v>13639962.140000001</v>
      </c>
      <c r="K388" s="3">
        <v>993.72</v>
      </c>
      <c r="L388" s="3">
        <v>0</v>
      </c>
      <c r="M388" t="s">
        <v>29</v>
      </c>
      <c r="N388" t="s">
        <v>42</v>
      </c>
      <c r="O388" s="4">
        <v>0.25410529915151209</v>
      </c>
      <c r="P388" s="4">
        <v>0.74589470084848786</v>
      </c>
      <c r="Q388" t="s">
        <v>402</v>
      </c>
      <c r="R388" s="4">
        <v>2.4842645444824329E-6</v>
      </c>
      <c r="S388" s="3">
        <v>3945043.46</v>
      </c>
      <c r="T388" s="4">
        <v>0.25767460782733931</v>
      </c>
    </row>
    <row r="389" spans="1:20" x14ac:dyDescent="0.4">
      <c r="A389" s="2">
        <v>45894</v>
      </c>
      <c r="B389" t="s">
        <v>34</v>
      </c>
      <c r="C389" t="s">
        <v>28</v>
      </c>
      <c r="D389" s="3" t="str">
        <f t="shared" si="43"/>
        <v>PASS</v>
      </c>
      <c r="E389" s="3" t="str">
        <f t="shared" si="44"/>
        <v>PASS</v>
      </c>
      <c r="F389" s="3" t="str">
        <f t="shared" si="45"/>
        <v>PASS</v>
      </c>
      <c r="G389" s="3" t="str">
        <f t="shared" si="46"/>
        <v>FAIL</v>
      </c>
      <c r="H389" s="3">
        <v>167041380.37</v>
      </c>
      <c r="I389" s="4">
        <v>0</v>
      </c>
      <c r="J389" s="3">
        <v>142715843.21000001</v>
      </c>
      <c r="K389" s="3">
        <v>10385.4</v>
      </c>
      <c r="L389" s="3">
        <v>0</v>
      </c>
      <c r="M389" t="s">
        <v>29</v>
      </c>
      <c r="N389" t="s">
        <v>46</v>
      </c>
      <c r="O389" s="4">
        <v>0.28767079531309731</v>
      </c>
      <c r="P389" s="4">
        <v>0.71232920468690275</v>
      </c>
      <c r="Q389" t="s">
        <v>403</v>
      </c>
      <c r="R389" s="4">
        <v>2.5917095200520521E-5</v>
      </c>
      <c r="S389" s="3">
        <v>46438691.760000013</v>
      </c>
      <c r="T389" s="4">
        <v>0.27800711211280332</v>
      </c>
    </row>
    <row r="390" spans="1:20" x14ac:dyDescent="0.4">
      <c r="A390" s="2">
        <v>45894</v>
      </c>
      <c r="B390" t="s">
        <v>35</v>
      </c>
      <c r="C390" t="s">
        <v>28</v>
      </c>
      <c r="D390" s="3" t="str">
        <f t="shared" si="43"/>
        <v>PASS</v>
      </c>
      <c r="E390" s="3" t="str">
        <f t="shared" si="44"/>
        <v>PASS</v>
      </c>
      <c r="F390" s="3" t="str">
        <f t="shared" si="45"/>
        <v>PASS</v>
      </c>
      <c r="G390" s="3" t="str">
        <f t="shared" si="46"/>
        <v>FAIL</v>
      </c>
      <c r="H390" s="3">
        <v>135593074.78</v>
      </c>
      <c r="I390" s="4">
        <v>0</v>
      </c>
      <c r="J390" s="3">
        <v>120137392.28</v>
      </c>
      <c r="K390" s="3">
        <v>8747.3700000000008</v>
      </c>
      <c r="L390" s="3">
        <v>0</v>
      </c>
      <c r="M390" t="s">
        <v>29</v>
      </c>
      <c r="N390" t="s">
        <v>42</v>
      </c>
      <c r="O390" s="4">
        <v>0.26024590168505701</v>
      </c>
      <c r="P390" s="4">
        <v>0.7397540983149431</v>
      </c>
      <c r="Q390" t="s">
        <v>404</v>
      </c>
      <c r="R390" s="4">
        <v>2.243100772279453E-5</v>
      </c>
      <c r="S390" s="3">
        <v>32372179.66</v>
      </c>
      <c r="T390" s="4">
        <v>0.23874508128474789</v>
      </c>
    </row>
    <row r="391" spans="1:20" x14ac:dyDescent="0.4">
      <c r="A391" s="2">
        <v>45894</v>
      </c>
      <c r="B391" t="s">
        <v>36</v>
      </c>
      <c r="C391" t="s">
        <v>28</v>
      </c>
      <c r="D391" s="3" t="str">
        <f t="shared" si="43"/>
        <v>PASS</v>
      </c>
      <c r="E391" s="3" t="str">
        <f t="shared" si="44"/>
        <v>PASS</v>
      </c>
      <c r="F391" s="3" t="str">
        <f t="shared" si="45"/>
        <v>PASS</v>
      </c>
      <c r="G391" s="3" t="str">
        <f t="shared" si="46"/>
        <v>FAIL</v>
      </c>
      <c r="H391" s="3">
        <v>101366496.51000001</v>
      </c>
      <c r="I391" s="4">
        <v>0</v>
      </c>
      <c r="J391" s="3">
        <v>92378583.609999999</v>
      </c>
      <c r="K391" s="3">
        <v>6723.58</v>
      </c>
      <c r="L391" s="3">
        <v>0</v>
      </c>
      <c r="M391" t="s">
        <v>29</v>
      </c>
      <c r="N391" t="s">
        <v>42</v>
      </c>
      <c r="O391" s="4">
        <v>0.25229903825324518</v>
      </c>
      <c r="P391" s="4">
        <v>0.74770096174675471</v>
      </c>
      <c r="Q391" t="s">
        <v>405</v>
      </c>
      <c r="R391" s="4">
        <v>1.6721257828210219E-5</v>
      </c>
      <c r="S391" s="3">
        <v>17050077.289999999</v>
      </c>
      <c r="T391" s="4">
        <v>0.16820229441705109</v>
      </c>
    </row>
    <row r="392" spans="1:20" x14ac:dyDescent="0.4">
      <c r="A392" s="2">
        <v>45894</v>
      </c>
      <c r="B392" t="s">
        <v>37</v>
      </c>
      <c r="C392" t="s">
        <v>28</v>
      </c>
      <c r="D392" s="3" t="str">
        <f t="shared" ref="D392:D444" si="47">IF(J392/H392&gt;=0.75,"PASS","FAIL")</f>
        <v>PASS</v>
      </c>
      <c r="E392" s="3" t="str">
        <f t="shared" ref="E392:E444" si="48">IF(L392=0,"PASS","FAIL")</f>
        <v>PASS</v>
      </c>
      <c r="F392" s="3" t="str">
        <f t="shared" ref="F392:F444" si="49">IF(R392="","",IF(R392&lt;=0.1,"PASS","FAIL"))</f>
        <v>PASS</v>
      </c>
      <c r="G392" s="3" t="str">
        <f t="shared" ref="G392:G444" si="50">IF(S392=0,"PASS",IF(S392&lt;=0.05*J392,"PASS","FAIL"))</f>
        <v>FAIL</v>
      </c>
      <c r="H392" s="3">
        <v>40220797.280000001</v>
      </c>
      <c r="I392" s="4">
        <v>0</v>
      </c>
      <c r="J392" s="3">
        <v>34960495.759999998</v>
      </c>
      <c r="K392" s="3">
        <v>2545.8200000000002</v>
      </c>
      <c r="L392" s="3">
        <v>0</v>
      </c>
      <c r="M392" t="s">
        <v>29</v>
      </c>
      <c r="N392" t="s">
        <v>46</v>
      </c>
      <c r="O392" s="4">
        <v>0.28686021070314482</v>
      </c>
      <c r="P392" s="4">
        <v>0.71313978929685518</v>
      </c>
      <c r="Q392" t="s">
        <v>406</v>
      </c>
      <c r="R392" s="4">
        <v>6.3249418024183022E-6</v>
      </c>
      <c r="S392" s="3">
        <v>10418560.25</v>
      </c>
      <c r="T392" s="4">
        <v>0.25903415532691798</v>
      </c>
    </row>
    <row r="393" spans="1:20" x14ac:dyDescent="0.4">
      <c r="A393" s="2">
        <v>45894</v>
      </c>
      <c r="B393" t="s">
        <v>38</v>
      </c>
      <c r="C393" t="s">
        <v>28</v>
      </c>
      <c r="D393" s="3" t="str">
        <f t="shared" si="47"/>
        <v>PASS</v>
      </c>
      <c r="E393" s="3" t="str">
        <f t="shared" si="48"/>
        <v>PASS</v>
      </c>
      <c r="F393" s="3" t="str">
        <f t="shared" si="49"/>
        <v>PASS</v>
      </c>
      <c r="G393" s="3" t="str">
        <f t="shared" si="50"/>
        <v>FAIL</v>
      </c>
      <c r="H393" s="3">
        <v>43261463.25</v>
      </c>
      <c r="I393" s="4">
        <v>0</v>
      </c>
      <c r="J393" s="3">
        <v>36858932.609999999</v>
      </c>
      <c r="K393" s="3">
        <v>2684.85</v>
      </c>
      <c r="L393" s="3">
        <v>0</v>
      </c>
      <c r="M393" t="s">
        <v>29</v>
      </c>
      <c r="N393" t="s">
        <v>42</v>
      </c>
      <c r="O393" s="4">
        <v>0.26024610781587137</v>
      </c>
      <c r="P393" s="4">
        <v>0.73975389218412857</v>
      </c>
      <c r="Q393" t="s">
        <v>407</v>
      </c>
      <c r="R393" s="4">
        <v>6.8760512198529261E-6</v>
      </c>
      <c r="S393" s="3">
        <v>14134564.960000001</v>
      </c>
      <c r="T393" s="4">
        <v>0.32672415351091938</v>
      </c>
    </row>
    <row r="394" spans="1:20" x14ac:dyDescent="0.4">
      <c r="A394" s="2">
        <v>45894</v>
      </c>
      <c r="B394" t="s">
        <v>39</v>
      </c>
      <c r="C394" t="s">
        <v>28</v>
      </c>
      <c r="D394" s="3" t="str">
        <f t="shared" si="47"/>
        <v>PASS</v>
      </c>
      <c r="E394" s="3" t="str">
        <f t="shared" si="48"/>
        <v>PASS</v>
      </c>
      <c r="F394" s="3" t="str">
        <f t="shared" si="49"/>
        <v>PASS</v>
      </c>
      <c r="G394" s="3" t="str">
        <f t="shared" si="50"/>
        <v>FAIL</v>
      </c>
      <c r="H394" s="3">
        <v>78495505.269999996</v>
      </c>
      <c r="I394" s="4">
        <v>0</v>
      </c>
      <c r="J394" s="3">
        <v>70557689.989999995</v>
      </c>
      <c r="K394" s="3">
        <v>5137.21</v>
      </c>
      <c r="L394" s="3">
        <v>0</v>
      </c>
      <c r="M394" t="s">
        <v>29</v>
      </c>
      <c r="N394" t="s">
        <v>42</v>
      </c>
      <c r="O394" s="4">
        <v>0.25564486369319139</v>
      </c>
      <c r="P394" s="4">
        <v>0.74435513630680861</v>
      </c>
      <c r="Q394" t="s">
        <v>408</v>
      </c>
      <c r="R394" s="4">
        <v>1.292757439656723E-5</v>
      </c>
      <c r="S394" s="3">
        <v>16608001.52</v>
      </c>
      <c r="T394" s="4">
        <v>0.21157901287307679</v>
      </c>
    </row>
    <row r="395" spans="1:20" x14ac:dyDescent="0.4">
      <c r="A395" s="2">
        <v>45895</v>
      </c>
      <c r="B395" t="s">
        <v>27</v>
      </c>
      <c r="C395" t="s">
        <v>28</v>
      </c>
      <c r="D395" s="3" t="str">
        <f t="shared" si="47"/>
        <v>PASS</v>
      </c>
      <c r="E395" s="3" t="str">
        <f t="shared" si="48"/>
        <v>PASS</v>
      </c>
      <c r="F395" s="3" t="str">
        <f t="shared" si="49"/>
        <v>PASS</v>
      </c>
      <c r="G395" s="3" t="str">
        <f t="shared" si="50"/>
        <v>FAIL</v>
      </c>
      <c r="H395" s="3">
        <v>55196910.450000003</v>
      </c>
      <c r="I395" s="4">
        <v>0</v>
      </c>
      <c r="J395" s="3">
        <v>50640493.369999997</v>
      </c>
      <c r="K395" s="3">
        <v>3674.45</v>
      </c>
      <c r="L395" s="3">
        <v>0</v>
      </c>
      <c r="M395" t="s">
        <v>29</v>
      </c>
      <c r="N395" t="s">
        <v>409</v>
      </c>
      <c r="O395" s="4">
        <v>0.25183895300584042</v>
      </c>
      <c r="P395" s="4">
        <v>0.74816104699415964</v>
      </c>
      <c r="Q395" t="s">
        <v>410</v>
      </c>
      <c r="R395" s="4">
        <v>7.6324089970712775E-5</v>
      </c>
      <c r="S395" s="3">
        <v>9116725.8100000005</v>
      </c>
      <c r="T395" s="4">
        <v>0.16516732070100851</v>
      </c>
    </row>
    <row r="396" spans="1:20" x14ac:dyDescent="0.4">
      <c r="A396" s="2">
        <v>45895</v>
      </c>
      <c r="B396" t="s">
        <v>30</v>
      </c>
      <c r="C396" t="s">
        <v>28</v>
      </c>
      <c r="D396" s="3" t="str">
        <f t="shared" si="47"/>
        <v>PASS</v>
      </c>
      <c r="E396" s="3" t="str">
        <f t="shared" si="48"/>
        <v>PASS</v>
      </c>
      <c r="F396" s="3" t="str">
        <f t="shared" si="49"/>
        <v>PASS</v>
      </c>
      <c r="G396" s="3" t="str">
        <f t="shared" si="50"/>
        <v>FAIL</v>
      </c>
      <c r="H396" s="3">
        <v>34704483.859999999</v>
      </c>
      <c r="I396" s="4">
        <v>0</v>
      </c>
      <c r="J396" s="3">
        <v>32495257.120000001</v>
      </c>
      <c r="K396" s="3">
        <v>2351.14</v>
      </c>
      <c r="L396" s="3">
        <v>0</v>
      </c>
      <c r="M396" t="s">
        <v>29</v>
      </c>
      <c r="N396" t="s">
        <v>42</v>
      </c>
      <c r="O396" s="4">
        <v>0.25621080175653649</v>
      </c>
      <c r="P396" s="4">
        <v>0.74378919824346346</v>
      </c>
      <c r="Q396" t="s">
        <v>411</v>
      </c>
      <c r="R396" s="4">
        <v>5.9468551090619904E-6</v>
      </c>
      <c r="S396" s="3">
        <v>4263308.2300000004</v>
      </c>
      <c r="T396" s="4">
        <v>0.1228460347429008</v>
      </c>
    </row>
    <row r="397" spans="1:20" x14ac:dyDescent="0.4">
      <c r="A397" s="2">
        <v>45895</v>
      </c>
      <c r="B397" t="s">
        <v>31</v>
      </c>
      <c r="C397" t="s">
        <v>28</v>
      </c>
      <c r="D397" s="3" t="str">
        <f t="shared" si="47"/>
        <v>PASS</v>
      </c>
      <c r="E397" s="3" t="str">
        <f t="shared" si="48"/>
        <v>PASS</v>
      </c>
      <c r="F397" s="3" t="str">
        <f t="shared" si="49"/>
        <v>PASS</v>
      </c>
      <c r="G397" s="3" t="str">
        <f t="shared" si="50"/>
        <v>FAIL</v>
      </c>
      <c r="H397" s="3">
        <v>23507716.82</v>
      </c>
      <c r="I397" s="4">
        <v>0</v>
      </c>
      <c r="J397" s="3">
        <v>21562209.23</v>
      </c>
      <c r="K397" s="3">
        <v>1561.17</v>
      </c>
      <c r="L397" s="3">
        <v>0</v>
      </c>
      <c r="M397" t="s">
        <v>29</v>
      </c>
      <c r="N397" t="s">
        <v>42</v>
      </c>
      <c r="O397" s="4">
        <v>0.25445785965040468</v>
      </c>
      <c r="P397" s="4">
        <v>0.74554214034959532</v>
      </c>
      <c r="Q397" t="s">
        <v>412</v>
      </c>
      <c r="R397" s="4">
        <v>3.919712329428431E-6</v>
      </c>
      <c r="S397" s="3">
        <v>3697893.68</v>
      </c>
      <c r="T397" s="4">
        <v>0.1573055226211458</v>
      </c>
    </row>
    <row r="398" spans="1:20" x14ac:dyDescent="0.4">
      <c r="A398" s="2">
        <v>45895</v>
      </c>
      <c r="B398" t="s">
        <v>32</v>
      </c>
      <c r="C398" t="s">
        <v>28</v>
      </c>
      <c r="D398" s="3" t="str">
        <f t="shared" si="47"/>
        <v>PASS</v>
      </c>
      <c r="E398" s="3" t="str">
        <f t="shared" si="48"/>
        <v>PASS</v>
      </c>
      <c r="F398" s="3" t="str">
        <f t="shared" si="49"/>
        <v>PASS</v>
      </c>
      <c r="G398" s="3" t="str">
        <f t="shared" si="50"/>
        <v>FAIL</v>
      </c>
      <c r="H398" s="3">
        <v>24720340.25</v>
      </c>
      <c r="I398" s="4">
        <v>0</v>
      </c>
      <c r="J398" s="3">
        <v>20730461.649999999</v>
      </c>
      <c r="K398" s="3">
        <v>1500.37</v>
      </c>
      <c r="L398" s="3">
        <v>0</v>
      </c>
      <c r="M398" t="s">
        <v>29</v>
      </c>
      <c r="N398" t="s">
        <v>46</v>
      </c>
      <c r="O398" s="4">
        <v>0.28820469610718968</v>
      </c>
      <c r="P398" s="4">
        <v>0.7117953038928102</v>
      </c>
      <c r="Q398" t="s">
        <v>413</v>
      </c>
      <c r="R398" s="4">
        <v>3.7488256883634309E-6</v>
      </c>
      <c r="S398" s="3">
        <v>7755042.8899999997</v>
      </c>
      <c r="T398" s="4">
        <v>0.31371100929729312</v>
      </c>
    </row>
    <row r="399" spans="1:20" x14ac:dyDescent="0.4">
      <c r="A399" s="2">
        <v>45895</v>
      </c>
      <c r="B399" t="s">
        <v>33</v>
      </c>
      <c r="C399" t="s">
        <v>28</v>
      </c>
      <c r="D399" s="3" t="str">
        <f t="shared" si="47"/>
        <v>PASS</v>
      </c>
      <c r="E399" s="3" t="str">
        <f t="shared" si="48"/>
        <v>PASS</v>
      </c>
      <c r="F399" s="3" t="str">
        <f t="shared" si="49"/>
        <v>PASS</v>
      </c>
      <c r="G399" s="3" t="str">
        <f t="shared" si="50"/>
        <v>FAIL</v>
      </c>
      <c r="H399" s="3">
        <v>15359865.58</v>
      </c>
      <c r="I399" s="4">
        <v>0</v>
      </c>
      <c r="J399" s="3">
        <v>13688661.949999999</v>
      </c>
      <c r="K399" s="3">
        <v>991.01</v>
      </c>
      <c r="L399" s="3">
        <v>0</v>
      </c>
      <c r="M399" t="s">
        <v>29</v>
      </c>
      <c r="N399" t="s">
        <v>42</v>
      </c>
      <c r="O399" s="4">
        <v>0.25436595576092819</v>
      </c>
      <c r="P399" s="4">
        <v>0.74563404423907187</v>
      </c>
      <c r="Q399" t="s">
        <v>414</v>
      </c>
      <c r="R399" s="4">
        <v>2.4842645444824329E-6</v>
      </c>
      <c r="S399" s="3">
        <v>3976766.22</v>
      </c>
      <c r="T399" s="4">
        <v>0.25890631654863738</v>
      </c>
    </row>
    <row r="400" spans="1:20" x14ac:dyDescent="0.4">
      <c r="A400" s="2">
        <v>45895</v>
      </c>
      <c r="B400" t="s">
        <v>34</v>
      </c>
      <c r="C400" t="s">
        <v>28</v>
      </c>
      <c r="D400" s="3" t="str">
        <f t="shared" si="47"/>
        <v>PASS</v>
      </c>
      <c r="E400" s="3" t="str">
        <f t="shared" si="48"/>
        <v>PASS</v>
      </c>
      <c r="F400" s="3" t="str">
        <f t="shared" si="49"/>
        <v>PASS</v>
      </c>
      <c r="G400" s="3" t="str">
        <f t="shared" si="50"/>
        <v>FAIL</v>
      </c>
      <c r="H400" s="3">
        <v>167509633.66</v>
      </c>
      <c r="I400" s="4">
        <v>0</v>
      </c>
      <c r="J400" s="3">
        <v>143173734.94</v>
      </c>
      <c r="K400" s="3">
        <v>10362.11</v>
      </c>
      <c r="L400" s="3">
        <v>0</v>
      </c>
      <c r="M400" t="s">
        <v>29</v>
      </c>
      <c r="N400" t="s">
        <v>46</v>
      </c>
      <c r="O400" s="4">
        <v>0.2882880631513684</v>
      </c>
      <c r="P400" s="4">
        <v>0.71171193684863154</v>
      </c>
      <c r="Q400" t="s">
        <v>415</v>
      </c>
      <c r="R400" s="4">
        <v>2.5917095200520521E-5</v>
      </c>
      <c r="S400" s="3">
        <v>46793787.540000007</v>
      </c>
      <c r="T400" s="4">
        <v>0.2793498291267173</v>
      </c>
    </row>
    <row r="401" spans="1:20" x14ac:dyDescent="0.4">
      <c r="A401" s="2">
        <v>45895</v>
      </c>
      <c r="B401" t="s">
        <v>35</v>
      </c>
      <c r="C401" t="s">
        <v>28</v>
      </c>
      <c r="D401" s="3" t="str">
        <f t="shared" si="47"/>
        <v>PASS</v>
      </c>
      <c r="E401" s="3" t="str">
        <f t="shared" si="48"/>
        <v>PASS</v>
      </c>
      <c r="F401" s="3" t="str">
        <f t="shared" si="49"/>
        <v>PASS</v>
      </c>
      <c r="G401" s="3" t="str">
        <f t="shared" si="50"/>
        <v>FAIL</v>
      </c>
      <c r="H401" s="3">
        <v>136038927.72</v>
      </c>
      <c r="I401" s="4">
        <v>0</v>
      </c>
      <c r="J401" s="3">
        <v>120574522.92</v>
      </c>
      <c r="K401" s="3">
        <v>8722.85</v>
      </c>
      <c r="L401" s="3">
        <v>0</v>
      </c>
      <c r="M401" t="s">
        <v>29</v>
      </c>
      <c r="N401" t="s">
        <v>42</v>
      </c>
      <c r="O401" s="4">
        <v>0.26047334079719198</v>
      </c>
      <c r="P401" s="4">
        <v>0.73952665920280802</v>
      </c>
      <c r="Q401" t="s">
        <v>416</v>
      </c>
      <c r="R401" s="4">
        <v>2.243100772279453E-5</v>
      </c>
      <c r="S401" s="3">
        <v>32666583.710000001</v>
      </c>
      <c r="T401" s="4">
        <v>0.2401267362032983</v>
      </c>
    </row>
    <row r="402" spans="1:20" x14ac:dyDescent="0.4">
      <c r="A402" s="2">
        <v>45895</v>
      </c>
      <c r="B402" t="s">
        <v>36</v>
      </c>
      <c r="C402" t="s">
        <v>28</v>
      </c>
      <c r="D402" s="3" t="str">
        <f t="shared" si="47"/>
        <v>PASS</v>
      </c>
      <c r="E402" s="3" t="str">
        <f t="shared" si="48"/>
        <v>PASS</v>
      </c>
      <c r="F402" s="3" t="str">
        <f t="shared" si="49"/>
        <v>PASS</v>
      </c>
      <c r="G402" s="3" t="str">
        <f t="shared" si="50"/>
        <v>FAIL</v>
      </c>
      <c r="H402" s="3">
        <v>101668825.65000001</v>
      </c>
      <c r="I402" s="4">
        <v>0</v>
      </c>
      <c r="J402" s="3">
        <v>92674205.810000002</v>
      </c>
      <c r="K402" s="3">
        <v>6707.62</v>
      </c>
      <c r="L402" s="3">
        <v>0</v>
      </c>
      <c r="M402" t="s">
        <v>29</v>
      </c>
      <c r="N402" t="s">
        <v>42</v>
      </c>
      <c r="O402" s="4">
        <v>0.25263082154704247</v>
      </c>
      <c r="P402" s="4">
        <v>0.74736917845295747</v>
      </c>
      <c r="Q402" t="s">
        <v>417</v>
      </c>
      <c r="R402" s="4">
        <v>1.6721257828210219E-5</v>
      </c>
      <c r="S402" s="3">
        <v>17132122.16</v>
      </c>
      <c r="T402" s="4">
        <v>0.1685090985409646</v>
      </c>
    </row>
    <row r="403" spans="1:20" x14ac:dyDescent="0.4">
      <c r="A403" s="2">
        <v>45895</v>
      </c>
      <c r="B403" t="s">
        <v>37</v>
      </c>
      <c r="C403" t="s">
        <v>28</v>
      </c>
      <c r="D403" s="3" t="str">
        <f t="shared" si="47"/>
        <v>PASS</v>
      </c>
      <c r="E403" s="3" t="str">
        <f t="shared" si="48"/>
        <v>PASS</v>
      </c>
      <c r="F403" s="3" t="str">
        <f t="shared" si="49"/>
        <v>PASS</v>
      </c>
      <c r="G403" s="3" t="str">
        <f t="shared" si="50"/>
        <v>FAIL</v>
      </c>
      <c r="H403" s="3">
        <v>40350330.670000002</v>
      </c>
      <c r="I403" s="4">
        <v>0</v>
      </c>
      <c r="J403" s="3">
        <v>35087490.920000002</v>
      </c>
      <c r="K403" s="3">
        <v>2538.91</v>
      </c>
      <c r="L403" s="3">
        <v>0</v>
      </c>
      <c r="M403" t="s">
        <v>29</v>
      </c>
      <c r="N403" t="s">
        <v>46</v>
      </c>
      <c r="O403" s="4">
        <v>0.28739358089159139</v>
      </c>
      <c r="P403" s="4">
        <v>0.7126064191084085</v>
      </c>
      <c r="Q403" t="s">
        <v>418</v>
      </c>
      <c r="R403" s="4">
        <v>6.3249418024183022E-6</v>
      </c>
      <c r="S403" s="3">
        <v>10499010.470000001</v>
      </c>
      <c r="T403" s="4">
        <v>0.26019639233851172</v>
      </c>
    </row>
    <row r="404" spans="1:20" x14ac:dyDescent="0.4">
      <c r="A404" s="2">
        <v>45895</v>
      </c>
      <c r="B404" t="s">
        <v>38</v>
      </c>
      <c r="C404" t="s">
        <v>28</v>
      </c>
      <c r="D404" s="3" t="str">
        <f t="shared" si="47"/>
        <v>PASS</v>
      </c>
      <c r="E404" s="3" t="str">
        <f t="shared" si="48"/>
        <v>PASS</v>
      </c>
      <c r="F404" s="3" t="str">
        <f t="shared" si="49"/>
        <v>PASS</v>
      </c>
      <c r="G404" s="3" t="str">
        <f t="shared" si="50"/>
        <v>FAIL</v>
      </c>
      <c r="H404" s="3">
        <v>43405823.659999996</v>
      </c>
      <c r="I404" s="4">
        <v>0</v>
      </c>
      <c r="J404" s="3">
        <v>37000616.960000001</v>
      </c>
      <c r="K404" s="3">
        <v>2676.61</v>
      </c>
      <c r="L404" s="3">
        <v>0</v>
      </c>
      <c r="M404" t="s">
        <v>29</v>
      </c>
      <c r="N404" t="s">
        <v>42</v>
      </c>
      <c r="O404" s="4">
        <v>0.26045191247535349</v>
      </c>
      <c r="P404" s="4">
        <v>0.73954808752464651</v>
      </c>
      <c r="Q404" t="s">
        <v>419</v>
      </c>
      <c r="R404" s="4">
        <v>6.8760512198529261E-6</v>
      </c>
      <c r="S404" s="3">
        <v>14250142.359999999</v>
      </c>
      <c r="T404" s="4">
        <v>0.32830024080690368</v>
      </c>
    </row>
    <row r="405" spans="1:20" x14ac:dyDescent="0.4">
      <c r="A405" s="2">
        <v>45895</v>
      </c>
      <c r="B405" t="s">
        <v>39</v>
      </c>
      <c r="C405" t="s">
        <v>28</v>
      </c>
      <c r="D405" s="3" t="str">
        <f t="shared" si="47"/>
        <v>PASS</v>
      </c>
      <c r="E405" s="3" t="str">
        <f t="shared" si="48"/>
        <v>PASS</v>
      </c>
      <c r="F405" s="3" t="str">
        <f t="shared" si="49"/>
        <v>PASS</v>
      </c>
      <c r="G405" s="3" t="str">
        <f t="shared" si="50"/>
        <v>FAIL</v>
      </c>
      <c r="H405" s="3">
        <v>78764206.709999993</v>
      </c>
      <c r="I405" s="4">
        <v>0</v>
      </c>
      <c r="J405" s="3">
        <v>70821268.75</v>
      </c>
      <c r="K405" s="3">
        <v>5122.68</v>
      </c>
      <c r="L405" s="3">
        <v>0</v>
      </c>
      <c r="M405" t="s">
        <v>29</v>
      </c>
      <c r="N405" t="s">
        <v>42</v>
      </c>
      <c r="O405" s="4">
        <v>0.25587625158155608</v>
      </c>
      <c r="P405" s="4">
        <v>0.74412374841844386</v>
      </c>
      <c r="Q405" t="s">
        <v>420</v>
      </c>
      <c r="R405" s="4">
        <v>1.292757439656723E-5</v>
      </c>
      <c r="S405" s="3">
        <v>16753455.779999999</v>
      </c>
      <c r="T405" s="4">
        <v>0.21270392326408041</v>
      </c>
    </row>
    <row r="406" spans="1:20" x14ac:dyDescent="0.4">
      <c r="A406" s="2">
        <v>45896</v>
      </c>
      <c r="B406" t="s">
        <v>27</v>
      </c>
      <c r="C406" t="s">
        <v>28</v>
      </c>
      <c r="D406" s="3" t="str">
        <f t="shared" si="47"/>
        <v>PASS</v>
      </c>
      <c r="E406" s="3" t="str">
        <f t="shared" si="48"/>
        <v>PASS</v>
      </c>
      <c r="F406" s="3" t="str">
        <f t="shared" si="49"/>
        <v>PASS</v>
      </c>
      <c r="G406" s="3" t="str">
        <f t="shared" si="50"/>
        <v>FAIL</v>
      </c>
      <c r="H406" s="3">
        <v>55205905.590000004</v>
      </c>
      <c r="I406" s="4">
        <v>0</v>
      </c>
      <c r="J406" s="3">
        <v>50645811.869999997</v>
      </c>
      <c r="K406" s="3">
        <v>3677.32</v>
      </c>
      <c r="L406" s="3">
        <v>0</v>
      </c>
      <c r="M406" t="s">
        <v>29</v>
      </c>
      <c r="N406" t="s">
        <v>421</v>
      </c>
      <c r="O406" s="4">
        <v>0.25140108174555759</v>
      </c>
      <c r="P406" s="4">
        <v>0.74859891825444236</v>
      </c>
      <c r="Q406" t="s">
        <v>422</v>
      </c>
      <c r="R406" s="4">
        <v>7.6324089970712775E-5</v>
      </c>
      <c r="S406" s="3">
        <v>9078801.4399999995</v>
      </c>
      <c r="T406" s="4">
        <v>0.164453446474113</v>
      </c>
    </row>
    <row r="407" spans="1:20" x14ac:dyDescent="0.4">
      <c r="A407" s="2">
        <v>45896</v>
      </c>
      <c r="B407" t="s">
        <v>30</v>
      </c>
      <c r="C407" t="s">
        <v>28</v>
      </c>
      <c r="D407" s="3" t="str">
        <f t="shared" si="47"/>
        <v>PASS</v>
      </c>
      <c r="E407" s="3" t="str">
        <f t="shared" si="48"/>
        <v>PASS</v>
      </c>
      <c r="F407" s="3" t="str">
        <f t="shared" si="49"/>
        <v>PASS</v>
      </c>
      <c r="G407" s="3" t="str">
        <f t="shared" si="50"/>
        <v>FAIL</v>
      </c>
      <c r="H407" s="3">
        <v>34744337.759999998</v>
      </c>
      <c r="I407" s="4">
        <v>0</v>
      </c>
      <c r="J407" s="3">
        <v>32532751.780000001</v>
      </c>
      <c r="K407" s="3">
        <v>2359.2399999999998</v>
      </c>
      <c r="L407" s="3">
        <v>0</v>
      </c>
      <c r="M407" t="s">
        <v>29</v>
      </c>
      <c r="N407" t="s">
        <v>42</v>
      </c>
      <c r="O407" s="4">
        <v>0.25779182703984588</v>
      </c>
      <c r="P407" s="4">
        <v>0.74220817296015407</v>
      </c>
      <c r="Q407" t="s">
        <v>423</v>
      </c>
      <c r="R407" s="4">
        <v>5.9639437731684902E-6</v>
      </c>
      <c r="S407" s="3">
        <v>4268232.9399999985</v>
      </c>
      <c r="T407" s="4">
        <v>0.1228468641274226</v>
      </c>
    </row>
    <row r="408" spans="1:20" x14ac:dyDescent="0.4">
      <c r="A408" s="2">
        <v>45896</v>
      </c>
      <c r="B408" t="s">
        <v>31</v>
      </c>
      <c r="C408" t="s">
        <v>28</v>
      </c>
      <c r="D408" s="3" t="str">
        <f t="shared" si="47"/>
        <v>PASS</v>
      </c>
      <c r="E408" s="3" t="str">
        <f t="shared" si="48"/>
        <v>PASS</v>
      </c>
      <c r="F408" s="3" t="str">
        <f t="shared" si="49"/>
        <v>PASS</v>
      </c>
      <c r="G408" s="3" t="str">
        <f t="shared" si="50"/>
        <v>FAIL</v>
      </c>
      <c r="H408" s="3">
        <v>23528779.050000001</v>
      </c>
      <c r="I408" s="4">
        <v>0</v>
      </c>
      <c r="J408" s="3">
        <v>21581705.98</v>
      </c>
      <c r="K408" s="3">
        <v>1566.19</v>
      </c>
      <c r="L408" s="3">
        <v>0</v>
      </c>
      <c r="M408" t="s">
        <v>29</v>
      </c>
      <c r="N408" t="s">
        <v>42</v>
      </c>
      <c r="O408" s="4">
        <v>0.25610302286214348</v>
      </c>
      <c r="P408" s="4">
        <v>0.74389697713785652</v>
      </c>
      <c r="Q408" t="s">
        <v>424</v>
      </c>
      <c r="R408" s="4">
        <v>3.9303927444949938E-6</v>
      </c>
      <c r="S408" s="3">
        <v>3696106.2</v>
      </c>
      <c r="T408" s="4">
        <v>0.15708873767506429</v>
      </c>
    </row>
    <row r="409" spans="1:20" x14ac:dyDescent="0.4">
      <c r="A409" s="2">
        <v>45896</v>
      </c>
      <c r="B409" t="s">
        <v>32</v>
      </c>
      <c r="C409" t="s">
        <v>28</v>
      </c>
      <c r="D409" s="3" t="str">
        <f t="shared" si="47"/>
        <v>PASS</v>
      </c>
      <c r="E409" s="3" t="str">
        <f t="shared" si="48"/>
        <v>PASS</v>
      </c>
      <c r="F409" s="3" t="str">
        <f t="shared" si="49"/>
        <v>PASS</v>
      </c>
      <c r="G409" s="3" t="str">
        <f t="shared" si="50"/>
        <v>FAIL</v>
      </c>
      <c r="H409" s="3">
        <v>24744868.300000001</v>
      </c>
      <c r="I409" s="4">
        <v>0</v>
      </c>
      <c r="J409" s="3">
        <v>20753484.609999999</v>
      </c>
      <c r="K409" s="3">
        <v>1505.64</v>
      </c>
      <c r="L409" s="3">
        <v>0</v>
      </c>
      <c r="M409" t="s">
        <v>29</v>
      </c>
      <c r="N409" t="s">
        <v>46</v>
      </c>
      <c r="O409" s="4">
        <v>0.28998522335377591</v>
      </c>
      <c r="P409" s="4">
        <v>0.71001477664622414</v>
      </c>
      <c r="Q409" t="s">
        <v>425</v>
      </c>
      <c r="R409" s="4">
        <v>3.7573700204166808E-6</v>
      </c>
      <c r="S409" s="3">
        <v>7760209.2300000004</v>
      </c>
      <c r="T409" s="4">
        <v>0.31360883137131101</v>
      </c>
    </row>
    <row r="410" spans="1:20" x14ac:dyDescent="0.4">
      <c r="A410" s="2">
        <v>45896</v>
      </c>
      <c r="B410" t="s">
        <v>33</v>
      </c>
      <c r="C410" t="s">
        <v>28</v>
      </c>
      <c r="D410" s="3" t="str">
        <f t="shared" si="47"/>
        <v>PASS</v>
      </c>
      <c r="E410" s="3" t="str">
        <f t="shared" si="48"/>
        <v>PASS</v>
      </c>
      <c r="F410" s="3" t="str">
        <f t="shared" si="49"/>
        <v>PASS</v>
      </c>
      <c r="G410" s="3" t="str">
        <f t="shared" si="50"/>
        <v>FAIL</v>
      </c>
      <c r="H410" s="3">
        <v>15375414.939999999</v>
      </c>
      <c r="I410" s="4">
        <v>0</v>
      </c>
      <c r="J410" s="3">
        <v>13703217.48</v>
      </c>
      <c r="K410" s="3">
        <v>994.54</v>
      </c>
      <c r="L410" s="3">
        <v>0</v>
      </c>
      <c r="M410" t="s">
        <v>29</v>
      </c>
      <c r="N410" t="s">
        <v>42</v>
      </c>
      <c r="O410" s="4">
        <v>0.25575908615003612</v>
      </c>
      <c r="P410" s="4">
        <v>0.74424091384996394</v>
      </c>
      <c r="Q410" t="s">
        <v>426</v>
      </c>
      <c r="R410" s="4">
        <v>2.4906727935223712E-6</v>
      </c>
      <c r="S410" s="3">
        <v>3981284.97</v>
      </c>
      <c r="T410" s="4">
        <v>0.25893837568197692</v>
      </c>
    </row>
    <row r="411" spans="1:20" x14ac:dyDescent="0.4">
      <c r="A411" s="2">
        <v>45896</v>
      </c>
      <c r="B411" t="s">
        <v>34</v>
      </c>
      <c r="C411" t="s">
        <v>28</v>
      </c>
      <c r="D411" s="3" t="str">
        <f t="shared" si="47"/>
        <v>PASS</v>
      </c>
      <c r="E411" s="3" t="str">
        <f t="shared" si="48"/>
        <v>PASS</v>
      </c>
      <c r="F411" s="3" t="str">
        <f t="shared" si="49"/>
        <v>PASS</v>
      </c>
      <c r="G411" s="3" t="str">
        <f t="shared" si="50"/>
        <v>FAIL</v>
      </c>
      <c r="H411" s="3">
        <v>167665840.94999999</v>
      </c>
      <c r="I411" s="4">
        <v>0</v>
      </c>
      <c r="J411" s="3">
        <v>143319547.41999999</v>
      </c>
      <c r="K411" s="3">
        <v>10395.36</v>
      </c>
      <c r="L411" s="3">
        <v>0</v>
      </c>
      <c r="M411" t="s">
        <v>29</v>
      </c>
      <c r="N411" t="s">
        <v>46</v>
      </c>
      <c r="O411" s="4">
        <v>0.2902582255447092</v>
      </c>
      <c r="P411" s="4">
        <v>0.70974177445529074</v>
      </c>
      <c r="Q411" t="s">
        <v>427</v>
      </c>
      <c r="R411" s="4">
        <v>2.599613027201308E-5</v>
      </c>
      <c r="S411" s="3">
        <v>46857327.439999998</v>
      </c>
      <c r="T411" s="4">
        <v>0.27946853798307919</v>
      </c>
    </row>
    <row r="412" spans="1:20" x14ac:dyDescent="0.4">
      <c r="A412" s="2">
        <v>45896</v>
      </c>
      <c r="B412" t="s">
        <v>35</v>
      </c>
      <c r="C412" t="s">
        <v>28</v>
      </c>
      <c r="D412" s="3" t="str">
        <f t="shared" si="47"/>
        <v>PASS</v>
      </c>
      <c r="E412" s="3" t="str">
        <f t="shared" si="48"/>
        <v>PASS</v>
      </c>
      <c r="F412" s="3" t="str">
        <f t="shared" si="49"/>
        <v>PASS</v>
      </c>
      <c r="G412" s="3" t="str">
        <f t="shared" si="50"/>
        <v>FAIL</v>
      </c>
      <c r="H412" s="3">
        <v>136207031.33000001</v>
      </c>
      <c r="I412" s="4">
        <v>0</v>
      </c>
      <c r="J412" s="3">
        <v>120733872.48999999</v>
      </c>
      <c r="K412" s="3">
        <v>8754.59</v>
      </c>
      <c r="L412" s="3">
        <v>0</v>
      </c>
      <c r="M412" t="s">
        <v>29</v>
      </c>
      <c r="N412" t="s">
        <v>42</v>
      </c>
      <c r="O412" s="4">
        <v>0.26203167849702103</v>
      </c>
      <c r="P412" s="4">
        <v>0.73796832150297909</v>
      </c>
      <c r="Q412" t="s">
        <v>428</v>
      </c>
      <c r="R412" s="4">
        <v>2.2499362379220529E-5</v>
      </c>
      <c r="S412" s="3">
        <v>32739340.190000001</v>
      </c>
      <c r="T412" s="4">
        <v>0.24036453823503209</v>
      </c>
    </row>
    <row r="413" spans="1:20" x14ac:dyDescent="0.4">
      <c r="A413" s="2">
        <v>45896</v>
      </c>
      <c r="B413" t="s">
        <v>36</v>
      </c>
      <c r="C413" t="s">
        <v>28</v>
      </c>
      <c r="D413" s="3" t="str">
        <f t="shared" si="47"/>
        <v>PASS</v>
      </c>
      <c r="E413" s="3" t="str">
        <f t="shared" si="48"/>
        <v>PASS</v>
      </c>
      <c r="F413" s="3" t="str">
        <f t="shared" si="49"/>
        <v>PASS</v>
      </c>
      <c r="G413" s="3" t="str">
        <f t="shared" si="50"/>
        <v>FAIL</v>
      </c>
      <c r="H413" s="3">
        <v>101754120.22</v>
      </c>
      <c r="I413" s="4">
        <v>0</v>
      </c>
      <c r="J413" s="3">
        <v>92752771.980000004</v>
      </c>
      <c r="K413" s="3">
        <v>6729.08</v>
      </c>
      <c r="L413" s="3">
        <v>0</v>
      </c>
      <c r="M413" t="s">
        <v>29</v>
      </c>
      <c r="N413" t="s">
        <v>42</v>
      </c>
      <c r="O413" s="4">
        <v>0.25423277155624691</v>
      </c>
      <c r="P413" s="4">
        <v>0.74576722844375309</v>
      </c>
      <c r="Q413" t="s">
        <v>429</v>
      </c>
      <c r="R413" s="4">
        <v>1.6770387737516411E-5</v>
      </c>
      <c r="S413" s="3">
        <v>17110621.870000001</v>
      </c>
      <c r="T413" s="4">
        <v>0.16815655064390081</v>
      </c>
    </row>
    <row r="414" spans="1:20" x14ac:dyDescent="0.4">
      <c r="A414" s="2">
        <v>45896</v>
      </c>
      <c r="B414" t="s">
        <v>37</v>
      </c>
      <c r="C414" t="s">
        <v>28</v>
      </c>
      <c r="D414" s="3" t="str">
        <f t="shared" si="47"/>
        <v>PASS</v>
      </c>
      <c r="E414" s="3" t="str">
        <f t="shared" si="48"/>
        <v>PASS</v>
      </c>
      <c r="F414" s="3" t="str">
        <f t="shared" si="49"/>
        <v>PASS</v>
      </c>
      <c r="G414" s="3" t="str">
        <f t="shared" si="50"/>
        <v>FAIL</v>
      </c>
      <c r="H414" s="3">
        <v>40384454.619999997</v>
      </c>
      <c r="I414" s="4">
        <v>0</v>
      </c>
      <c r="J414" s="3">
        <v>35119067.420000002</v>
      </c>
      <c r="K414" s="3">
        <v>2548.13</v>
      </c>
      <c r="L414" s="3">
        <v>0</v>
      </c>
      <c r="M414" t="s">
        <v>29</v>
      </c>
      <c r="N414" t="s">
        <v>42</v>
      </c>
      <c r="O414" s="4">
        <v>0.25408088157028857</v>
      </c>
      <c r="P414" s="4">
        <v>0.74591911842971137</v>
      </c>
      <c r="Q414" t="s">
        <v>430</v>
      </c>
      <c r="R414" s="4">
        <v>6.3398943835114899E-6</v>
      </c>
      <c r="S414" s="3">
        <v>10501567.15</v>
      </c>
      <c r="T414" s="4">
        <v>0.26003984079555209</v>
      </c>
    </row>
    <row r="415" spans="1:20" x14ac:dyDescent="0.4">
      <c r="A415" s="2">
        <v>45896</v>
      </c>
      <c r="B415" t="s">
        <v>38</v>
      </c>
      <c r="C415" t="s">
        <v>28</v>
      </c>
      <c r="D415" s="3" t="str">
        <f t="shared" si="47"/>
        <v>PASS</v>
      </c>
      <c r="E415" s="3" t="str">
        <f t="shared" si="48"/>
        <v>PASS</v>
      </c>
      <c r="F415" s="3" t="str">
        <f t="shared" si="49"/>
        <v>PASS</v>
      </c>
      <c r="G415" s="3" t="str">
        <f t="shared" si="50"/>
        <v>FAIL</v>
      </c>
      <c r="H415" s="3">
        <v>43450161.240000002</v>
      </c>
      <c r="I415" s="4">
        <v>0</v>
      </c>
      <c r="J415" s="3">
        <v>37042268.189999998</v>
      </c>
      <c r="K415" s="3">
        <v>2686.9</v>
      </c>
      <c r="L415" s="3">
        <v>0</v>
      </c>
      <c r="M415" t="s">
        <v>29</v>
      </c>
      <c r="N415" t="s">
        <v>42</v>
      </c>
      <c r="O415" s="4">
        <v>0.26178468878473943</v>
      </c>
      <c r="P415" s="4">
        <v>0.73821531121526063</v>
      </c>
      <c r="Q415" t="s">
        <v>431</v>
      </c>
      <c r="R415" s="4">
        <v>6.8888677179328017E-6</v>
      </c>
      <c r="S415" s="3">
        <v>14265863.220000001</v>
      </c>
      <c r="T415" s="4">
        <v>0.32832704903444448</v>
      </c>
    </row>
    <row r="416" spans="1:20" x14ac:dyDescent="0.4">
      <c r="A416" s="2">
        <v>45896</v>
      </c>
      <c r="B416" t="s">
        <v>39</v>
      </c>
      <c r="C416" t="s">
        <v>28</v>
      </c>
      <c r="D416" s="3" t="str">
        <f t="shared" si="47"/>
        <v>PASS</v>
      </c>
      <c r="E416" s="3" t="str">
        <f t="shared" si="48"/>
        <v>PASS</v>
      </c>
      <c r="F416" s="3" t="str">
        <f t="shared" si="49"/>
        <v>PASS</v>
      </c>
      <c r="G416" s="3" t="str">
        <f t="shared" si="50"/>
        <v>FAIL</v>
      </c>
      <c r="H416" s="3">
        <v>78865778.239999995</v>
      </c>
      <c r="I416" s="4">
        <v>0</v>
      </c>
      <c r="J416" s="3">
        <v>70917698.459999993</v>
      </c>
      <c r="K416" s="3">
        <v>5141.82</v>
      </c>
      <c r="L416" s="3">
        <v>0</v>
      </c>
      <c r="M416" t="s">
        <v>29</v>
      </c>
      <c r="N416" t="s">
        <v>42</v>
      </c>
      <c r="O416" s="4">
        <v>0.25720600112661918</v>
      </c>
      <c r="P416" s="4">
        <v>0.74279399887338082</v>
      </c>
      <c r="Q416" t="s">
        <v>432</v>
      </c>
      <c r="R416" s="4">
        <v>1.295961564176692E-5</v>
      </c>
      <c r="S416" s="3">
        <v>16788735.399999999</v>
      </c>
      <c r="T416" s="4">
        <v>0.2128773185868964</v>
      </c>
    </row>
    <row r="417" spans="1:20" x14ac:dyDescent="0.4">
      <c r="A417" s="2">
        <v>45897</v>
      </c>
      <c r="B417" t="s">
        <v>27</v>
      </c>
      <c r="C417" t="s">
        <v>28</v>
      </c>
      <c r="D417" s="3" t="str">
        <f t="shared" si="47"/>
        <v>PASS</v>
      </c>
      <c r="E417" s="3" t="str">
        <f t="shared" si="48"/>
        <v>PASS</v>
      </c>
      <c r="F417" s="3" t="str">
        <f t="shared" si="49"/>
        <v>PASS</v>
      </c>
      <c r="G417" s="3" t="str">
        <f t="shared" si="50"/>
        <v>FAIL</v>
      </c>
      <c r="H417" s="3">
        <v>55159685.100000001</v>
      </c>
      <c r="I417" s="4">
        <v>0</v>
      </c>
      <c r="J417" s="3">
        <v>50595914.359999999</v>
      </c>
      <c r="K417" s="3">
        <v>3677.7</v>
      </c>
      <c r="L417" s="3">
        <v>0</v>
      </c>
      <c r="M417" t="s">
        <v>29</v>
      </c>
      <c r="N417" t="s">
        <v>433</v>
      </c>
      <c r="O417" s="4">
        <v>0.25248077066276392</v>
      </c>
      <c r="P417" s="4">
        <v>0.74751922933723614</v>
      </c>
      <c r="Q417" t="s">
        <v>434</v>
      </c>
      <c r="R417" s="4">
        <v>7.6324089970712775E-5</v>
      </c>
      <c r="S417" s="3">
        <v>9076090.2000000011</v>
      </c>
      <c r="T417" s="4">
        <v>0.16454209598089239</v>
      </c>
    </row>
    <row r="418" spans="1:20" x14ac:dyDescent="0.4">
      <c r="A418" s="2">
        <v>45897</v>
      </c>
      <c r="B418" t="s">
        <v>30</v>
      </c>
      <c r="C418" t="s">
        <v>28</v>
      </c>
      <c r="D418" s="3" t="str">
        <f t="shared" si="47"/>
        <v>PASS</v>
      </c>
      <c r="E418" s="3" t="str">
        <f t="shared" si="48"/>
        <v>PASS</v>
      </c>
      <c r="F418" s="3" t="str">
        <f t="shared" si="49"/>
        <v>PASS</v>
      </c>
      <c r="G418" s="3" t="str">
        <f t="shared" si="50"/>
        <v>FAIL</v>
      </c>
      <c r="H418" s="3">
        <v>34846737.299999997</v>
      </c>
      <c r="I418" s="4">
        <v>0</v>
      </c>
      <c r="J418" s="3">
        <v>32632789.350000001</v>
      </c>
      <c r="K418" s="3">
        <v>2361.9699999999998</v>
      </c>
      <c r="L418" s="3">
        <v>0</v>
      </c>
      <c r="M418" t="s">
        <v>29</v>
      </c>
      <c r="N418" t="s">
        <v>42</v>
      </c>
      <c r="O418" s="4">
        <v>0.25797467693334042</v>
      </c>
      <c r="P418" s="4">
        <v>0.74202532306665958</v>
      </c>
      <c r="Q418" t="s">
        <v>435</v>
      </c>
      <c r="R418" s="4">
        <v>5.9639437731684902E-6</v>
      </c>
      <c r="S418" s="3">
        <v>4290224.53</v>
      </c>
      <c r="T418" s="4">
        <v>0.12311696481265701</v>
      </c>
    </row>
    <row r="419" spans="1:20" x14ac:dyDescent="0.4">
      <c r="A419" s="2">
        <v>45897</v>
      </c>
      <c r="B419" t="s">
        <v>31</v>
      </c>
      <c r="C419" t="s">
        <v>28</v>
      </c>
      <c r="D419" s="3" t="str">
        <f t="shared" si="47"/>
        <v>PASS</v>
      </c>
      <c r="E419" s="3" t="str">
        <f t="shared" si="48"/>
        <v>PASS</v>
      </c>
      <c r="F419" s="3" t="str">
        <f t="shared" si="49"/>
        <v>PASS</v>
      </c>
      <c r="G419" s="3" t="str">
        <f t="shared" si="50"/>
        <v>FAIL</v>
      </c>
      <c r="H419" s="3">
        <v>23588400.949999999</v>
      </c>
      <c r="I419" s="4">
        <v>0</v>
      </c>
      <c r="J419" s="3">
        <v>21639760.989999998</v>
      </c>
      <c r="K419" s="3">
        <v>1567.6</v>
      </c>
      <c r="L419" s="3">
        <v>0</v>
      </c>
      <c r="M419" t="s">
        <v>29</v>
      </c>
      <c r="N419" t="s">
        <v>42</v>
      </c>
      <c r="O419" s="4">
        <v>0.25640261611780402</v>
      </c>
      <c r="P419" s="4">
        <v>0.74359738388219598</v>
      </c>
      <c r="Q419" t="s">
        <v>436</v>
      </c>
      <c r="R419" s="4">
        <v>3.9303927444949938E-6</v>
      </c>
      <c r="S419" s="3">
        <v>3709099.79</v>
      </c>
      <c r="T419" s="4">
        <v>0.15724252770936559</v>
      </c>
    </row>
    <row r="420" spans="1:20" x14ac:dyDescent="0.4">
      <c r="A420" s="2">
        <v>45897</v>
      </c>
      <c r="B420" t="s">
        <v>32</v>
      </c>
      <c r="C420" t="s">
        <v>28</v>
      </c>
      <c r="D420" s="3" t="str">
        <f t="shared" si="47"/>
        <v>PASS</v>
      </c>
      <c r="E420" s="3" t="str">
        <f t="shared" si="48"/>
        <v>PASS</v>
      </c>
      <c r="F420" s="3" t="str">
        <f t="shared" si="49"/>
        <v>PASS</v>
      </c>
      <c r="G420" s="3" t="str">
        <f t="shared" si="50"/>
        <v>FAIL</v>
      </c>
      <c r="H420" s="3">
        <v>24798905.93</v>
      </c>
      <c r="I420" s="4">
        <v>0</v>
      </c>
      <c r="J420" s="3">
        <v>20806015.48</v>
      </c>
      <c r="K420" s="3">
        <v>1507.31</v>
      </c>
      <c r="L420" s="3">
        <v>0</v>
      </c>
      <c r="M420" t="s">
        <v>29</v>
      </c>
      <c r="N420" t="s">
        <v>46</v>
      </c>
      <c r="O420" s="4">
        <v>0.29088011473497177</v>
      </c>
      <c r="P420" s="4">
        <v>0.70911988526502823</v>
      </c>
      <c r="Q420" t="s">
        <v>437</v>
      </c>
      <c r="R420" s="4">
        <v>3.7573700204166808E-6</v>
      </c>
      <c r="S420" s="3">
        <v>7776367.580000001</v>
      </c>
      <c r="T420" s="4">
        <v>0.31357704254979613</v>
      </c>
    </row>
    <row r="421" spans="1:20" x14ac:dyDescent="0.4">
      <c r="A421" s="2">
        <v>45897</v>
      </c>
      <c r="B421" t="s">
        <v>33</v>
      </c>
      <c r="C421" t="s">
        <v>28</v>
      </c>
      <c r="D421" s="3" t="str">
        <f t="shared" si="47"/>
        <v>PASS</v>
      </c>
      <c r="E421" s="3" t="str">
        <f t="shared" si="48"/>
        <v>PASS</v>
      </c>
      <c r="F421" s="3" t="str">
        <f t="shared" si="49"/>
        <v>PASS</v>
      </c>
      <c r="G421" s="3" t="str">
        <f t="shared" si="50"/>
        <v>FAIL</v>
      </c>
      <c r="H421" s="3">
        <v>15413216.5</v>
      </c>
      <c r="I421" s="4">
        <v>0</v>
      </c>
      <c r="J421" s="3">
        <v>13740024.15</v>
      </c>
      <c r="K421" s="3">
        <v>995.6</v>
      </c>
      <c r="L421" s="3">
        <v>0</v>
      </c>
      <c r="M421" t="s">
        <v>29</v>
      </c>
      <c r="N421" t="s">
        <v>42</v>
      </c>
      <c r="O421" s="4">
        <v>0.25601374870945909</v>
      </c>
      <c r="P421" s="4">
        <v>0.74398625129054086</v>
      </c>
      <c r="Q421" t="s">
        <v>438</v>
      </c>
      <c r="R421" s="4">
        <v>2.4906727935223712E-6</v>
      </c>
      <c r="S421" s="3">
        <v>4000446.8900000011</v>
      </c>
      <c r="T421" s="4">
        <v>0.25954653202983302</v>
      </c>
    </row>
    <row r="422" spans="1:20" x14ac:dyDescent="0.4">
      <c r="A422" s="2">
        <v>45897</v>
      </c>
      <c r="B422" t="s">
        <v>34</v>
      </c>
      <c r="C422" t="s">
        <v>28</v>
      </c>
      <c r="D422" s="3" t="str">
        <f t="shared" si="47"/>
        <v>PASS</v>
      </c>
      <c r="E422" s="3" t="str">
        <f t="shared" si="48"/>
        <v>PASS</v>
      </c>
      <c r="F422" s="3" t="str">
        <f t="shared" si="49"/>
        <v>PASS</v>
      </c>
      <c r="G422" s="3" t="str">
        <f t="shared" si="50"/>
        <v>FAIL</v>
      </c>
      <c r="H422" s="3">
        <v>168014888.40000001</v>
      </c>
      <c r="I422" s="4">
        <v>0</v>
      </c>
      <c r="J422" s="3">
        <v>143658189.47999999</v>
      </c>
      <c r="K422" s="3">
        <v>10405.94</v>
      </c>
      <c r="L422" s="3">
        <v>0</v>
      </c>
      <c r="M422" t="s">
        <v>29</v>
      </c>
      <c r="N422" t="s">
        <v>46</v>
      </c>
      <c r="O422" s="4">
        <v>0.29119834895193342</v>
      </c>
      <c r="P422" s="4">
        <v>0.70880165104806658</v>
      </c>
      <c r="Q422" t="s">
        <v>439</v>
      </c>
      <c r="R422" s="4">
        <v>2.599613027201308E-5</v>
      </c>
      <c r="S422" s="3">
        <v>47044933.380000003</v>
      </c>
      <c r="T422" s="4">
        <v>0.28000455095383081</v>
      </c>
    </row>
    <row r="423" spans="1:20" x14ac:dyDescent="0.4">
      <c r="A423" s="2">
        <v>45897</v>
      </c>
      <c r="B423" t="s">
        <v>35</v>
      </c>
      <c r="C423" t="s">
        <v>28</v>
      </c>
      <c r="D423" s="3" t="str">
        <f t="shared" si="47"/>
        <v>PASS</v>
      </c>
      <c r="E423" s="3" t="str">
        <f t="shared" si="48"/>
        <v>PASS</v>
      </c>
      <c r="F423" s="3" t="str">
        <f t="shared" si="49"/>
        <v>PASS</v>
      </c>
      <c r="G423" s="3" t="str">
        <f t="shared" si="50"/>
        <v>FAIL</v>
      </c>
      <c r="H423" s="3">
        <v>136569142.99000001</v>
      </c>
      <c r="I423" s="4">
        <v>0</v>
      </c>
      <c r="J423" s="3">
        <v>121087218.54000001</v>
      </c>
      <c r="K423" s="3">
        <v>8766.16</v>
      </c>
      <c r="L423" s="3">
        <v>0</v>
      </c>
      <c r="M423" t="s">
        <v>29</v>
      </c>
      <c r="N423" t="s">
        <v>42</v>
      </c>
      <c r="O423" s="4">
        <v>0.26226281107868937</v>
      </c>
      <c r="P423" s="4">
        <v>0.73773718892131057</v>
      </c>
      <c r="Q423" t="s">
        <v>440</v>
      </c>
      <c r="R423" s="4">
        <v>2.2499362379220529E-5</v>
      </c>
      <c r="S423" s="3">
        <v>32942429.370000001</v>
      </c>
      <c r="T423" s="4">
        <v>0.24121429371796041</v>
      </c>
    </row>
    <row r="424" spans="1:20" x14ac:dyDescent="0.4">
      <c r="A424" s="2">
        <v>45897</v>
      </c>
      <c r="B424" t="s">
        <v>36</v>
      </c>
      <c r="C424" t="s">
        <v>28</v>
      </c>
      <c r="D424" s="3" t="str">
        <f t="shared" si="47"/>
        <v>PASS</v>
      </c>
      <c r="E424" s="3" t="str">
        <f t="shared" si="48"/>
        <v>PASS</v>
      </c>
      <c r="F424" s="3" t="str">
        <f t="shared" si="49"/>
        <v>PASS</v>
      </c>
      <c r="G424" s="3" t="str">
        <f t="shared" si="50"/>
        <v>FAIL</v>
      </c>
      <c r="H424" s="3">
        <v>101988455.98999999</v>
      </c>
      <c r="I424" s="4">
        <v>0</v>
      </c>
      <c r="J424" s="3">
        <v>92980373.640000001</v>
      </c>
      <c r="K424" s="3">
        <v>6734.79</v>
      </c>
      <c r="L424" s="3">
        <v>0</v>
      </c>
      <c r="M424" t="s">
        <v>29</v>
      </c>
      <c r="N424" t="s">
        <v>42</v>
      </c>
      <c r="O424" s="4">
        <v>0.25457674080389942</v>
      </c>
      <c r="P424" s="4">
        <v>0.74542325919610053</v>
      </c>
      <c r="Q424" t="s">
        <v>441</v>
      </c>
      <c r="R424" s="4">
        <v>1.6770387737516411E-5</v>
      </c>
      <c r="S424" s="3">
        <v>17115939.18</v>
      </c>
      <c r="T424" s="4">
        <v>0.16782231884830401</v>
      </c>
    </row>
    <row r="425" spans="1:20" x14ac:dyDescent="0.4">
      <c r="A425" s="2">
        <v>45897</v>
      </c>
      <c r="B425" t="s">
        <v>37</v>
      </c>
      <c r="C425" t="s">
        <v>28</v>
      </c>
      <c r="D425" s="3" t="str">
        <f t="shared" si="47"/>
        <v>PASS</v>
      </c>
      <c r="E425" s="3" t="str">
        <f t="shared" si="48"/>
        <v>PASS</v>
      </c>
      <c r="F425" s="3" t="str">
        <f t="shared" si="49"/>
        <v>PASS</v>
      </c>
      <c r="G425" s="3" t="str">
        <f t="shared" si="50"/>
        <v>FAIL</v>
      </c>
      <c r="H425" s="3">
        <v>40477776.460000001</v>
      </c>
      <c r="I425" s="4">
        <v>0</v>
      </c>
      <c r="J425" s="3">
        <v>35209839.520000003</v>
      </c>
      <c r="K425" s="3">
        <v>2550.42</v>
      </c>
      <c r="L425" s="3">
        <v>0</v>
      </c>
      <c r="M425" t="s">
        <v>29</v>
      </c>
      <c r="N425" t="s">
        <v>42</v>
      </c>
      <c r="O425" s="4">
        <v>0.25435612777822741</v>
      </c>
      <c r="P425" s="4">
        <v>0.74564387222177264</v>
      </c>
      <c r="Q425" t="s">
        <v>442</v>
      </c>
      <c r="R425" s="4">
        <v>6.3398943835114899E-6</v>
      </c>
      <c r="S425" s="3">
        <v>10534947.92</v>
      </c>
      <c r="T425" s="4">
        <v>0.26026498590925812</v>
      </c>
    </row>
    <row r="426" spans="1:20" x14ac:dyDescent="0.4">
      <c r="A426" s="2">
        <v>45897</v>
      </c>
      <c r="B426" t="s">
        <v>38</v>
      </c>
      <c r="C426" t="s">
        <v>28</v>
      </c>
      <c r="D426" s="3" t="str">
        <f t="shared" si="47"/>
        <v>PASS</v>
      </c>
      <c r="E426" s="3" t="str">
        <f t="shared" si="48"/>
        <v>PASS</v>
      </c>
      <c r="F426" s="3" t="str">
        <f t="shared" si="49"/>
        <v>PASS</v>
      </c>
      <c r="G426" s="3" t="str">
        <f t="shared" si="50"/>
        <v>FAIL</v>
      </c>
      <c r="H426" s="3">
        <v>43564386.159999996</v>
      </c>
      <c r="I426" s="4">
        <v>0</v>
      </c>
      <c r="J426" s="3">
        <v>37153803.740000002</v>
      </c>
      <c r="K426" s="3">
        <v>2689.92</v>
      </c>
      <c r="L426" s="3">
        <v>0</v>
      </c>
      <c r="M426" t="s">
        <v>29</v>
      </c>
      <c r="N426" t="s">
        <v>42</v>
      </c>
      <c r="O426" s="4">
        <v>0.26195593049122351</v>
      </c>
      <c r="P426" s="4">
        <v>0.73804406950877643</v>
      </c>
      <c r="Q426" t="s">
        <v>443</v>
      </c>
      <c r="R426" s="4">
        <v>6.8888677179328017E-6</v>
      </c>
      <c r="S426" s="3">
        <v>14359968.52</v>
      </c>
      <c r="T426" s="4">
        <v>0.3296263252111436</v>
      </c>
    </row>
    <row r="427" spans="1:20" x14ac:dyDescent="0.4">
      <c r="A427" s="2">
        <v>45897</v>
      </c>
      <c r="B427" t="s">
        <v>39</v>
      </c>
      <c r="C427" t="s">
        <v>28</v>
      </c>
      <c r="D427" s="3" t="str">
        <f t="shared" si="47"/>
        <v>PASS</v>
      </c>
      <c r="E427" s="3" t="str">
        <f t="shared" si="48"/>
        <v>PASS</v>
      </c>
      <c r="F427" s="3" t="str">
        <f t="shared" si="49"/>
        <v>PASS</v>
      </c>
      <c r="G427" s="3" t="str">
        <f t="shared" si="50"/>
        <v>FAIL</v>
      </c>
      <c r="H427" s="3">
        <v>79070548.790000007</v>
      </c>
      <c r="I427" s="4">
        <v>0</v>
      </c>
      <c r="J427" s="3">
        <v>71117320.189999998</v>
      </c>
      <c r="K427" s="3">
        <v>5148.82</v>
      </c>
      <c r="L427" s="3">
        <v>0</v>
      </c>
      <c r="M427" t="s">
        <v>29</v>
      </c>
      <c r="N427" t="s">
        <v>42</v>
      </c>
      <c r="O427" s="4">
        <v>0.25742150661878033</v>
      </c>
      <c r="P427" s="4">
        <v>0.74257849338121973</v>
      </c>
      <c r="Q427" t="s">
        <v>444</v>
      </c>
      <c r="R427" s="4">
        <v>1.295961564176692E-5</v>
      </c>
      <c r="S427" s="3">
        <v>16874900.140000001</v>
      </c>
      <c r="T427" s="4">
        <v>0.21341574578946329</v>
      </c>
    </row>
    <row r="428" spans="1:20" x14ac:dyDescent="0.4">
      <c r="A428" s="2">
        <v>45898</v>
      </c>
      <c r="B428" t="s">
        <v>27</v>
      </c>
      <c r="C428" t="s">
        <v>28</v>
      </c>
      <c r="D428" s="3" t="str">
        <f t="shared" si="47"/>
        <v>PASS</v>
      </c>
      <c r="E428" s="3" t="str">
        <f t="shared" si="48"/>
        <v>PASS</v>
      </c>
      <c r="F428" s="3" t="str">
        <f t="shared" si="49"/>
        <v>PASS</v>
      </c>
      <c r="G428" s="3" t="str">
        <f t="shared" si="50"/>
        <v>FAIL</v>
      </c>
      <c r="H428" s="3">
        <v>55353441.18</v>
      </c>
      <c r="I428" s="4">
        <v>0</v>
      </c>
      <c r="J428" s="3">
        <v>50134248.740000002</v>
      </c>
      <c r="K428" s="3">
        <v>10891.15</v>
      </c>
      <c r="L428" s="3">
        <v>0</v>
      </c>
      <c r="M428" t="s">
        <v>29</v>
      </c>
      <c r="N428" t="s">
        <v>445</v>
      </c>
      <c r="O428" s="4">
        <v>0.27142975973514111</v>
      </c>
      <c r="P428" s="4">
        <v>0.72857024026485884</v>
      </c>
      <c r="Q428" t="s">
        <v>446</v>
      </c>
      <c r="R428" s="4">
        <v>7.5320057400131052E-5</v>
      </c>
      <c r="S428" s="3">
        <v>9289817</v>
      </c>
      <c r="T428" s="4">
        <v>0.16782727147515711</v>
      </c>
    </row>
    <row r="429" spans="1:20" x14ac:dyDescent="0.4">
      <c r="A429" s="2">
        <v>45898</v>
      </c>
      <c r="B429" t="s">
        <v>30</v>
      </c>
      <c r="C429" t="s">
        <v>28</v>
      </c>
      <c r="D429" s="3" t="str">
        <f t="shared" si="47"/>
        <v>PASS</v>
      </c>
      <c r="E429" s="3" t="str">
        <f t="shared" si="48"/>
        <v>PASS</v>
      </c>
      <c r="F429" s="3" t="str">
        <f t="shared" si="49"/>
        <v>PASS</v>
      </c>
      <c r="G429" s="3" t="str">
        <f t="shared" si="50"/>
        <v>FAIL</v>
      </c>
      <c r="H429" s="3">
        <v>34723989.43</v>
      </c>
      <c r="I429" s="4">
        <v>0</v>
      </c>
      <c r="J429" s="3">
        <v>32090744.359999999</v>
      </c>
      <c r="K429" s="3">
        <v>4462.07</v>
      </c>
      <c r="L429" s="3">
        <v>0</v>
      </c>
      <c r="M429" t="s">
        <v>29</v>
      </c>
      <c r="N429" t="s">
        <v>42</v>
      </c>
      <c r="O429" s="4">
        <v>0.25571282479282448</v>
      </c>
      <c r="P429" s="4">
        <v>0.74428717520717558</v>
      </c>
      <c r="Q429" t="s">
        <v>447</v>
      </c>
      <c r="R429" s="4">
        <v>5.8785004526359914E-6</v>
      </c>
      <c r="S429" s="3">
        <v>4318289.7300000004</v>
      </c>
      <c r="T429" s="4">
        <v>0.1243604148280609</v>
      </c>
    </row>
    <row r="430" spans="1:20" x14ac:dyDescent="0.4">
      <c r="A430" s="2">
        <v>45898</v>
      </c>
      <c r="B430" t="s">
        <v>31</v>
      </c>
      <c r="C430" t="s">
        <v>28</v>
      </c>
      <c r="D430" s="3" t="str">
        <f t="shared" si="47"/>
        <v>PASS</v>
      </c>
      <c r="E430" s="3" t="str">
        <f t="shared" si="48"/>
        <v>PASS</v>
      </c>
      <c r="F430" s="3" t="str">
        <f t="shared" si="49"/>
        <v>PASS</v>
      </c>
      <c r="G430" s="3" t="str">
        <f t="shared" si="50"/>
        <v>FAIL</v>
      </c>
      <c r="H430" s="3">
        <v>23519976.100000001</v>
      </c>
      <c r="I430" s="4">
        <v>0</v>
      </c>
      <c r="J430" s="3">
        <v>21292760.489999998</v>
      </c>
      <c r="K430" s="3">
        <v>2920.34</v>
      </c>
      <c r="L430" s="3">
        <v>0</v>
      </c>
      <c r="M430" t="s">
        <v>29</v>
      </c>
      <c r="N430" t="s">
        <v>42</v>
      </c>
      <c r="O430" s="4">
        <v>0.25400032760148711</v>
      </c>
      <c r="P430" s="4">
        <v>0.74599967239851295</v>
      </c>
      <c r="Q430" t="s">
        <v>448</v>
      </c>
      <c r="R430" s="4">
        <v>3.8748545861488688E-6</v>
      </c>
      <c r="S430" s="3">
        <v>3732459.23</v>
      </c>
      <c r="T430" s="4">
        <v>0.15869315572986489</v>
      </c>
    </row>
    <row r="431" spans="1:20" x14ac:dyDescent="0.4">
      <c r="A431" s="2">
        <v>45898</v>
      </c>
      <c r="B431" t="s">
        <v>32</v>
      </c>
      <c r="C431" t="s">
        <v>28</v>
      </c>
      <c r="D431" s="3" t="str">
        <f t="shared" si="47"/>
        <v>PASS</v>
      </c>
      <c r="E431" s="3" t="str">
        <f t="shared" si="48"/>
        <v>PASS</v>
      </c>
      <c r="F431" s="3" t="str">
        <f t="shared" si="49"/>
        <v>PASS</v>
      </c>
      <c r="G431" s="3" t="str">
        <f t="shared" si="50"/>
        <v>FAIL</v>
      </c>
      <c r="H431" s="3">
        <v>24737094.07</v>
      </c>
      <c r="I431" s="4">
        <v>0</v>
      </c>
      <c r="J431" s="3">
        <v>20527692.760000002</v>
      </c>
      <c r="K431" s="3">
        <v>4494.21</v>
      </c>
      <c r="L431" s="3">
        <v>0</v>
      </c>
      <c r="M431" t="s">
        <v>29</v>
      </c>
      <c r="N431" t="s">
        <v>46</v>
      </c>
      <c r="O431" s="4">
        <v>0.28749621494237532</v>
      </c>
      <c r="P431" s="4">
        <v>0.71250378505762479</v>
      </c>
      <c r="Q431" t="s">
        <v>449</v>
      </c>
      <c r="R431" s="4">
        <v>3.712512277137119E-6</v>
      </c>
      <c r="S431" s="3">
        <v>7797207.8899999997</v>
      </c>
      <c r="T431" s="4">
        <v>0.31520306580618501</v>
      </c>
    </row>
    <row r="432" spans="1:20" x14ac:dyDescent="0.4">
      <c r="A432" s="2">
        <v>45898</v>
      </c>
      <c r="B432" t="s">
        <v>33</v>
      </c>
      <c r="C432" t="s">
        <v>28</v>
      </c>
      <c r="D432" s="3" t="str">
        <f t="shared" si="47"/>
        <v>PASS</v>
      </c>
      <c r="E432" s="3" t="str">
        <f t="shared" si="48"/>
        <v>PASS</v>
      </c>
      <c r="F432" s="3" t="str">
        <f t="shared" si="49"/>
        <v>PASS</v>
      </c>
      <c r="G432" s="3" t="str">
        <f t="shared" si="50"/>
        <v>FAIL</v>
      </c>
      <c r="H432" s="3">
        <v>15364369.5</v>
      </c>
      <c r="I432" s="4">
        <v>0</v>
      </c>
      <c r="J432" s="3">
        <v>13548225.98</v>
      </c>
      <c r="K432" s="3">
        <v>2920.32</v>
      </c>
      <c r="L432" s="3">
        <v>0</v>
      </c>
      <c r="M432" t="s">
        <v>29</v>
      </c>
      <c r="N432" t="s">
        <v>42</v>
      </c>
      <c r="O432" s="4">
        <v>0.2536547873554143</v>
      </c>
      <c r="P432" s="4">
        <v>0.74634521264458575</v>
      </c>
      <c r="Q432" t="s">
        <v>450</v>
      </c>
      <c r="R432" s="4">
        <v>2.4629037143493091E-6</v>
      </c>
      <c r="S432" s="3">
        <v>3993362.94</v>
      </c>
      <c r="T432" s="4">
        <v>0.25991062893924799</v>
      </c>
    </row>
    <row r="433" spans="1:20" x14ac:dyDescent="0.4">
      <c r="A433" s="2">
        <v>45898</v>
      </c>
      <c r="B433" t="s">
        <v>34</v>
      </c>
      <c r="C433" t="s">
        <v>28</v>
      </c>
      <c r="D433" s="3" t="str">
        <f t="shared" si="47"/>
        <v>PASS</v>
      </c>
      <c r="E433" s="3" t="str">
        <f t="shared" si="48"/>
        <v>PASS</v>
      </c>
      <c r="F433" s="3" t="str">
        <f t="shared" si="49"/>
        <v>PASS</v>
      </c>
      <c r="G433" s="3" t="str">
        <f t="shared" si="50"/>
        <v>FAIL</v>
      </c>
      <c r="H433" s="3">
        <v>167600320.13</v>
      </c>
      <c r="I433" s="4">
        <v>0</v>
      </c>
      <c r="J433" s="3">
        <v>141386245.11000001</v>
      </c>
      <c r="K433" s="3">
        <v>29957.87</v>
      </c>
      <c r="L433" s="3">
        <v>0</v>
      </c>
      <c r="M433" t="s">
        <v>29</v>
      </c>
      <c r="N433" t="s">
        <v>46</v>
      </c>
      <c r="O433" s="4">
        <v>0.28794649994648258</v>
      </c>
      <c r="P433" s="4">
        <v>0.71205350005351731</v>
      </c>
      <c r="Q433" t="s">
        <v>451</v>
      </c>
      <c r="R433" s="4">
        <v>2.5624451827696711E-5</v>
      </c>
      <c r="S433" s="3">
        <v>47006500.560000002</v>
      </c>
      <c r="T433" s="4">
        <v>0.28046784471258279</v>
      </c>
    </row>
    <row r="434" spans="1:20" x14ac:dyDescent="0.4">
      <c r="A434" s="2">
        <v>45898</v>
      </c>
      <c r="B434" t="s">
        <v>35</v>
      </c>
      <c r="C434" t="s">
        <v>28</v>
      </c>
      <c r="D434" s="3" t="str">
        <f t="shared" si="47"/>
        <v>PASS</v>
      </c>
      <c r="E434" s="3" t="str">
        <f t="shared" si="48"/>
        <v>PASS</v>
      </c>
      <c r="F434" s="3" t="str">
        <f t="shared" si="49"/>
        <v>PASS</v>
      </c>
      <c r="G434" s="3" t="str">
        <f t="shared" si="50"/>
        <v>FAIL</v>
      </c>
      <c r="H434" s="3">
        <v>136103739.50999999</v>
      </c>
      <c r="I434" s="4">
        <v>0</v>
      </c>
      <c r="J434" s="3">
        <v>119056308.95</v>
      </c>
      <c r="K434" s="3">
        <v>25298.39</v>
      </c>
      <c r="L434" s="3">
        <v>0</v>
      </c>
      <c r="M434" t="s">
        <v>29</v>
      </c>
      <c r="N434" t="s">
        <v>42</v>
      </c>
      <c r="O434" s="4">
        <v>0.26007313163894291</v>
      </c>
      <c r="P434" s="4">
        <v>0.73992686836105714</v>
      </c>
      <c r="Q434" t="s">
        <v>452</v>
      </c>
      <c r="R434" s="4">
        <v>2.218535817626359E-5</v>
      </c>
      <c r="S434" s="3">
        <v>32835541.309999999</v>
      </c>
      <c r="T434" s="4">
        <v>0.2412537776567665</v>
      </c>
    </row>
    <row r="435" spans="1:20" x14ac:dyDescent="0.4">
      <c r="A435" s="2">
        <v>45898</v>
      </c>
      <c r="B435" t="s">
        <v>36</v>
      </c>
      <c r="C435" t="s">
        <v>28</v>
      </c>
      <c r="D435" s="3" t="str">
        <f t="shared" si="47"/>
        <v>PASS</v>
      </c>
      <c r="E435" s="3" t="str">
        <f t="shared" si="48"/>
        <v>PASS</v>
      </c>
      <c r="F435" s="3" t="str">
        <f t="shared" si="49"/>
        <v>PASS</v>
      </c>
      <c r="G435" s="3" t="str">
        <f t="shared" si="50"/>
        <v>FAIL</v>
      </c>
      <c r="H435" s="3">
        <v>101719724.40000001</v>
      </c>
      <c r="I435" s="4">
        <v>0</v>
      </c>
      <c r="J435" s="3">
        <v>91509640.629999995</v>
      </c>
      <c r="K435" s="3">
        <v>19134.98</v>
      </c>
      <c r="L435" s="3">
        <v>0</v>
      </c>
      <c r="M435" t="s">
        <v>29</v>
      </c>
      <c r="N435" t="s">
        <v>42</v>
      </c>
      <c r="O435" s="4">
        <v>0.25213395278525419</v>
      </c>
      <c r="P435" s="4">
        <v>0.74786604721474581</v>
      </c>
      <c r="Q435" t="s">
        <v>453</v>
      </c>
      <c r="R435" s="4">
        <v>1.6531146440025411E-5</v>
      </c>
      <c r="S435" s="3">
        <v>17294732.370000001</v>
      </c>
      <c r="T435" s="4">
        <v>0.1700233899768607</v>
      </c>
    </row>
    <row r="436" spans="1:20" x14ac:dyDescent="0.4">
      <c r="A436" s="2">
        <v>45898</v>
      </c>
      <c r="B436" t="s">
        <v>37</v>
      </c>
      <c r="C436" t="s">
        <v>28</v>
      </c>
      <c r="D436" s="3" t="str">
        <f t="shared" si="47"/>
        <v>PASS</v>
      </c>
      <c r="E436" s="3" t="str">
        <f t="shared" si="48"/>
        <v>PASS</v>
      </c>
      <c r="F436" s="3" t="str">
        <f t="shared" si="49"/>
        <v>PASS</v>
      </c>
      <c r="G436" s="3" t="str">
        <f t="shared" si="50"/>
        <v>FAIL</v>
      </c>
      <c r="H436" s="3">
        <v>40365222.93</v>
      </c>
      <c r="I436" s="4">
        <v>0</v>
      </c>
      <c r="J436" s="3">
        <v>34731716.200000003</v>
      </c>
      <c r="K436" s="3">
        <v>7485.45</v>
      </c>
      <c r="L436" s="3">
        <v>0</v>
      </c>
      <c r="M436" t="s">
        <v>29</v>
      </c>
      <c r="N436" t="s">
        <v>46</v>
      </c>
      <c r="O436" s="4">
        <v>0.28676477265468381</v>
      </c>
      <c r="P436" s="4">
        <v>0.71323522734531619</v>
      </c>
      <c r="Q436" t="s">
        <v>454</v>
      </c>
      <c r="R436" s="4">
        <v>6.2672675610588651E-6</v>
      </c>
      <c r="S436" s="3">
        <v>10552123.970000001</v>
      </c>
      <c r="T436" s="4">
        <v>0.2614162193108443</v>
      </c>
    </row>
    <row r="437" spans="1:20" x14ac:dyDescent="0.4">
      <c r="A437" s="2">
        <v>45898</v>
      </c>
      <c r="B437" t="s">
        <v>38</v>
      </c>
      <c r="C437" t="s">
        <v>28</v>
      </c>
      <c r="D437" s="3" t="str">
        <f t="shared" si="47"/>
        <v>PASS</v>
      </c>
      <c r="E437" s="3" t="str">
        <f t="shared" si="48"/>
        <v>PASS</v>
      </c>
      <c r="F437" s="3" t="str">
        <f t="shared" si="49"/>
        <v>PASS</v>
      </c>
      <c r="G437" s="3" t="str">
        <f t="shared" si="50"/>
        <v>FAIL</v>
      </c>
      <c r="H437" s="3">
        <v>43423946.32</v>
      </c>
      <c r="I437" s="4">
        <v>0</v>
      </c>
      <c r="J437" s="3">
        <v>36627424.280000001</v>
      </c>
      <c r="K437" s="3">
        <v>8027.1</v>
      </c>
      <c r="L437" s="3">
        <v>0</v>
      </c>
      <c r="M437" t="s">
        <v>29</v>
      </c>
      <c r="N437" t="s">
        <v>46</v>
      </c>
      <c r="O437" s="4">
        <v>0.29569255258590083</v>
      </c>
      <c r="P437" s="4">
        <v>0.70430744741409923</v>
      </c>
      <c r="Q437" t="s">
        <v>455</v>
      </c>
      <c r="R437" s="4">
        <v>6.814104812466864E-6</v>
      </c>
      <c r="S437" s="3">
        <v>14299427.619999999</v>
      </c>
      <c r="T437" s="4">
        <v>0.32929820598580728</v>
      </c>
    </row>
    <row r="438" spans="1:20" x14ac:dyDescent="0.4">
      <c r="A438" s="2">
        <v>45898</v>
      </c>
      <c r="B438" t="s">
        <v>39</v>
      </c>
      <c r="C438" t="s">
        <v>28</v>
      </c>
      <c r="D438" s="3" t="str">
        <f t="shared" si="47"/>
        <v>PASS</v>
      </c>
      <c r="E438" s="3" t="str">
        <f t="shared" si="48"/>
        <v>PASS</v>
      </c>
      <c r="F438" s="3" t="str">
        <f t="shared" si="49"/>
        <v>PASS</v>
      </c>
      <c r="G438" s="3" t="str">
        <f t="shared" si="50"/>
        <v>FAIL</v>
      </c>
      <c r="H438" s="3">
        <v>78785429.159999996</v>
      </c>
      <c r="I438" s="4">
        <v>0</v>
      </c>
      <c r="J438" s="3">
        <v>70092890.200000003</v>
      </c>
      <c r="K438" s="3">
        <v>15194.83</v>
      </c>
      <c r="L438" s="3">
        <v>0</v>
      </c>
      <c r="M438" t="s">
        <v>29</v>
      </c>
      <c r="N438" t="s">
        <v>42</v>
      </c>
      <c r="O438" s="4">
        <v>0.25517020626437231</v>
      </c>
      <c r="P438" s="4">
        <v>0.74482979373562763</v>
      </c>
      <c r="Q438" t="s">
        <v>456</v>
      </c>
      <c r="R438" s="4">
        <v>1.281222591384835E-5</v>
      </c>
      <c r="S438" s="3">
        <v>16841498.859999999</v>
      </c>
      <c r="T438" s="4">
        <v>0.21376413176347289</v>
      </c>
    </row>
    <row r="439" spans="1:20" x14ac:dyDescent="0.4">
      <c r="A439" s="2">
        <v>45902</v>
      </c>
      <c r="B439" t="s">
        <v>27</v>
      </c>
      <c r="C439" t="s">
        <v>28</v>
      </c>
      <c r="D439" s="3" t="str">
        <f t="shared" si="47"/>
        <v>PASS</v>
      </c>
      <c r="E439" s="3" t="str">
        <f t="shared" si="48"/>
        <v>PASS</v>
      </c>
      <c r="F439" s="3" t="str">
        <f t="shared" si="49"/>
        <v>PASS</v>
      </c>
      <c r="G439" s="3" t="str">
        <f t="shared" si="50"/>
        <v>FAIL</v>
      </c>
      <c r="H439" s="3">
        <v>55285164.399999999</v>
      </c>
      <c r="I439" s="4">
        <v>0</v>
      </c>
      <c r="J439" s="3">
        <v>50045089.600000001</v>
      </c>
      <c r="K439" s="3">
        <v>7281.12</v>
      </c>
      <c r="L439" s="3">
        <v>0</v>
      </c>
      <c r="M439" t="s">
        <v>29</v>
      </c>
      <c r="N439" t="s">
        <v>457</v>
      </c>
      <c r="O439" s="4">
        <v>0.27033496828827741</v>
      </c>
      <c r="P439" s="4">
        <v>0.72966503171172259</v>
      </c>
      <c r="Q439" t="s">
        <v>458</v>
      </c>
      <c r="R439" s="4">
        <v>7.5320057400131052E-5</v>
      </c>
      <c r="S439" s="3">
        <v>9145254.0500000026</v>
      </c>
      <c r="T439" s="4">
        <v>0.1654196772181436</v>
      </c>
    </row>
    <row r="440" spans="1:20" x14ac:dyDescent="0.4">
      <c r="A440" s="2">
        <v>45902</v>
      </c>
      <c r="B440" t="s">
        <v>30</v>
      </c>
      <c r="C440" t="s">
        <v>28</v>
      </c>
      <c r="D440" s="3" t="str">
        <f t="shared" si="47"/>
        <v>PASS</v>
      </c>
      <c r="E440" s="3" t="str">
        <f t="shared" si="48"/>
        <v>PASS</v>
      </c>
      <c r="F440" s="3" t="str">
        <f t="shared" si="49"/>
        <v>PASS</v>
      </c>
      <c r="G440" s="3" t="str">
        <f t="shared" si="50"/>
        <v>FAIL</v>
      </c>
      <c r="H440" s="3">
        <v>34181669.020000003</v>
      </c>
      <c r="I440" s="4">
        <v>0</v>
      </c>
      <c r="J440" s="3">
        <v>31955140.219999999</v>
      </c>
      <c r="K440" s="3">
        <v>4659.76</v>
      </c>
      <c r="L440" s="3">
        <v>0</v>
      </c>
      <c r="M440" t="s">
        <v>29</v>
      </c>
      <c r="N440" t="s">
        <v>337</v>
      </c>
      <c r="O440" s="4">
        <v>0.2290252375553494</v>
      </c>
      <c r="P440" s="4">
        <v>0.77097476244465057</v>
      </c>
      <c r="Q440" t="s">
        <v>459</v>
      </c>
      <c r="R440" s="4">
        <v>5.8785004526359914E-6</v>
      </c>
      <c r="S440" s="3">
        <v>4241741.5</v>
      </c>
      <c r="T440" s="4">
        <v>0.1240940428484671</v>
      </c>
    </row>
    <row r="441" spans="1:20" x14ac:dyDescent="0.4">
      <c r="A441" s="2">
        <v>45902</v>
      </c>
      <c r="B441" t="s">
        <v>31</v>
      </c>
      <c r="C441" t="s">
        <v>28</v>
      </c>
      <c r="D441" s="3" t="str">
        <f t="shared" si="47"/>
        <v>PASS</v>
      </c>
      <c r="E441" s="3" t="str">
        <f t="shared" si="48"/>
        <v>PASS</v>
      </c>
      <c r="F441" s="3" t="str">
        <f t="shared" si="49"/>
        <v>PASS</v>
      </c>
      <c r="G441" s="3" t="str">
        <f t="shared" si="50"/>
        <v>FAIL</v>
      </c>
      <c r="H441" s="3">
        <v>23173047.809999999</v>
      </c>
      <c r="I441" s="4">
        <v>0</v>
      </c>
      <c r="J441" s="3">
        <v>21216588.050000001</v>
      </c>
      <c r="K441" s="3">
        <v>3093.24</v>
      </c>
      <c r="L441" s="3">
        <v>0</v>
      </c>
      <c r="M441" t="s">
        <v>29</v>
      </c>
      <c r="N441" t="s">
        <v>340</v>
      </c>
      <c r="O441" s="4">
        <v>0.27073586886181727</v>
      </c>
      <c r="P441" s="4">
        <v>0.72926413113818267</v>
      </c>
      <c r="Q441" t="s">
        <v>460</v>
      </c>
      <c r="R441" s="4">
        <v>3.8748545861488688E-6</v>
      </c>
      <c r="S441" s="3">
        <v>3687729.629999999</v>
      </c>
      <c r="T441" s="4">
        <v>0.1591387399808761</v>
      </c>
    </row>
    <row r="442" spans="1:20" x14ac:dyDescent="0.4">
      <c r="A442" s="2">
        <v>45902</v>
      </c>
      <c r="B442" t="s">
        <v>32</v>
      </c>
      <c r="C442" t="s">
        <v>28</v>
      </c>
      <c r="D442" s="3" t="str">
        <f t="shared" si="47"/>
        <v>PASS</v>
      </c>
      <c r="E442" s="3" t="str">
        <f t="shared" si="48"/>
        <v>PASS</v>
      </c>
      <c r="F442" s="3" t="str">
        <f t="shared" si="49"/>
        <v>PASS</v>
      </c>
      <c r="G442" s="3" t="str">
        <f t="shared" si="50"/>
        <v>FAIL</v>
      </c>
      <c r="H442" s="3">
        <v>24458059.949999999</v>
      </c>
      <c r="I442" s="4">
        <v>0</v>
      </c>
      <c r="J442" s="3">
        <v>20456005.050000001</v>
      </c>
      <c r="K442" s="3">
        <v>2981.84</v>
      </c>
      <c r="L442" s="3">
        <v>0</v>
      </c>
      <c r="M442" t="s">
        <v>29</v>
      </c>
      <c r="N442" t="s">
        <v>340</v>
      </c>
      <c r="O442" s="4">
        <v>0.26507057300516262</v>
      </c>
      <c r="P442" s="4">
        <v>0.73492942699483743</v>
      </c>
      <c r="Q442" t="s">
        <v>461</v>
      </c>
      <c r="R442" s="4">
        <v>3.712512277137119E-6</v>
      </c>
      <c r="S442" s="3">
        <v>7745282.4399999985</v>
      </c>
      <c r="T442" s="4">
        <v>0.31667607552822269</v>
      </c>
    </row>
    <row r="443" spans="1:20" x14ac:dyDescent="0.4">
      <c r="A443" s="2">
        <v>45902</v>
      </c>
      <c r="B443" t="s">
        <v>33</v>
      </c>
      <c r="C443" t="s">
        <v>28</v>
      </c>
      <c r="D443" s="3" t="str">
        <f t="shared" si="47"/>
        <v>PASS</v>
      </c>
      <c r="E443" s="3" t="str">
        <f t="shared" si="48"/>
        <v>PASS</v>
      </c>
      <c r="F443" s="3" t="str">
        <f t="shared" si="49"/>
        <v>PASS</v>
      </c>
      <c r="G443" s="3" t="str">
        <f t="shared" si="50"/>
        <v>FAIL</v>
      </c>
      <c r="H443" s="3">
        <v>15176984.4</v>
      </c>
      <c r="I443" s="4">
        <v>0</v>
      </c>
      <c r="J443" s="3">
        <v>13498352.24</v>
      </c>
      <c r="K443" s="3">
        <v>1968.7</v>
      </c>
      <c r="L443" s="3">
        <v>0</v>
      </c>
      <c r="M443" t="s">
        <v>29</v>
      </c>
      <c r="N443" t="s">
        <v>340</v>
      </c>
      <c r="O443" s="4">
        <v>0.26638000520869498</v>
      </c>
      <c r="P443" s="4">
        <v>0.73361999479130491</v>
      </c>
      <c r="Q443" t="s">
        <v>462</v>
      </c>
      <c r="R443" s="4">
        <v>2.4629037143493091E-6</v>
      </c>
      <c r="S443" s="3">
        <v>3958302.98</v>
      </c>
      <c r="T443" s="4">
        <v>0.26080958349011679</v>
      </c>
    </row>
    <row r="444" spans="1:20" x14ac:dyDescent="0.4">
      <c r="A444" s="2">
        <v>45902</v>
      </c>
      <c r="B444" t="s">
        <v>34</v>
      </c>
      <c r="C444" t="s">
        <v>28</v>
      </c>
      <c r="D444" s="3" t="str">
        <f t="shared" si="47"/>
        <v>PASS</v>
      </c>
      <c r="E444" s="3" t="str">
        <f t="shared" si="48"/>
        <v>PASS</v>
      </c>
      <c r="F444" s="3" t="str">
        <f t="shared" si="49"/>
        <v>PASS</v>
      </c>
      <c r="G444" s="3" t="str">
        <f t="shared" si="50"/>
        <v>FAIL</v>
      </c>
      <c r="H444" s="3">
        <v>165374595.72</v>
      </c>
      <c r="I444" s="4">
        <v>0</v>
      </c>
      <c r="J444" s="3">
        <v>140956653.38999999</v>
      </c>
      <c r="K444" s="3">
        <v>20531.16</v>
      </c>
      <c r="L444" s="3">
        <v>0</v>
      </c>
      <c r="M444" t="s">
        <v>29</v>
      </c>
      <c r="N444" t="s">
        <v>340</v>
      </c>
      <c r="O444" s="4">
        <v>0.26914374658877538</v>
      </c>
      <c r="P444" s="4">
        <v>0.73085625341122462</v>
      </c>
      <c r="Q444" t="s">
        <v>463</v>
      </c>
      <c r="R444" s="4">
        <v>2.5624451827696711E-5</v>
      </c>
      <c r="S444" s="3">
        <v>46586316</v>
      </c>
      <c r="T444" s="4">
        <v>0.28170176802050362</v>
      </c>
    </row>
    <row r="445" spans="1:20" x14ac:dyDescent="0.4">
      <c r="A445" s="2">
        <v>45902</v>
      </c>
      <c r="B445" t="s">
        <v>35</v>
      </c>
      <c r="C445" t="s">
        <v>28</v>
      </c>
      <c r="D445" s="3" t="str">
        <f t="shared" ref="D445:D508" si="51">IF(J445/H445&gt;=0.75,"PASS","FAIL")</f>
        <v>PASS</v>
      </c>
      <c r="E445" s="3" t="str">
        <f t="shared" ref="E445:E508" si="52">IF(L445=0,"PASS","FAIL")</f>
        <v>PASS</v>
      </c>
      <c r="F445" s="3" t="str">
        <f t="shared" ref="F445:F508" si="53">IF(R445="","",IF(R445&lt;=0.1,"PASS","FAIL"))</f>
        <v>PASS</v>
      </c>
      <c r="G445" s="3" t="str">
        <f t="shared" ref="G445:G508" si="54">IF(S445=0,"PASS",IF(S445&lt;=0.05*J445,"PASS","FAIL"))</f>
        <v>FAIL</v>
      </c>
      <c r="H445" s="3">
        <v>134115805.76000001</v>
      </c>
      <c r="I445" s="4">
        <v>0</v>
      </c>
      <c r="J445" s="3">
        <v>118577857.12</v>
      </c>
      <c r="K445" s="3">
        <v>17288.72</v>
      </c>
      <c r="L445" s="3">
        <v>0</v>
      </c>
      <c r="M445" t="s">
        <v>29</v>
      </c>
      <c r="N445" t="s">
        <v>340</v>
      </c>
      <c r="O445" s="4">
        <v>0.27698422266782818</v>
      </c>
      <c r="P445" s="4">
        <v>0.72301577733217171</v>
      </c>
      <c r="Q445" t="s">
        <v>464</v>
      </c>
      <c r="R445" s="4">
        <v>2.218535817626359E-5</v>
      </c>
      <c r="S445" s="3">
        <v>32393361.73</v>
      </c>
      <c r="T445" s="4">
        <v>0.24153276749474151</v>
      </c>
    </row>
    <row r="446" spans="1:20" x14ac:dyDescent="0.4">
      <c r="A446" s="2">
        <v>45902</v>
      </c>
      <c r="B446" t="s">
        <v>36</v>
      </c>
      <c r="C446" t="s">
        <v>28</v>
      </c>
      <c r="D446" s="3" t="str">
        <f t="shared" si="51"/>
        <v>PASS</v>
      </c>
      <c r="E446" s="3" t="str">
        <f t="shared" si="52"/>
        <v>PASS</v>
      </c>
      <c r="F446" s="3" t="str">
        <f t="shared" si="53"/>
        <v>PASS</v>
      </c>
      <c r="G446" s="3" t="str">
        <f t="shared" si="54"/>
        <v>FAIL</v>
      </c>
      <c r="H446" s="3">
        <v>100276144.08</v>
      </c>
      <c r="I446" s="4">
        <v>0</v>
      </c>
      <c r="J446" s="3">
        <v>91223997.200000003</v>
      </c>
      <c r="K446" s="3">
        <v>13289.06</v>
      </c>
      <c r="L446" s="3">
        <v>0</v>
      </c>
      <c r="M446" t="s">
        <v>29</v>
      </c>
      <c r="N446" t="s">
        <v>340</v>
      </c>
      <c r="O446" s="4">
        <v>0.26799852528277501</v>
      </c>
      <c r="P446" s="4">
        <v>0.73200147471722499</v>
      </c>
      <c r="Q446" t="s">
        <v>465</v>
      </c>
      <c r="R446" s="4">
        <v>1.6531146440025411E-5</v>
      </c>
      <c r="S446" s="3">
        <v>17158655.940000001</v>
      </c>
      <c r="T446" s="4">
        <v>0.1711140381137001</v>
      </c>
    </row>
    <row r="447" spans="1:20" x14ac:dyDescent="0.4">
      <c r="A447" s="2">
        <v>45902</v>
      </c>
      <c r="B447" t="s">
        <v>37</v>
      </c>
      <c r="C447" t="s">
        <v>28</v>
      </c>
      <c r="D447" s="3" t="str">
        <f t="shared" si="51"/>
        <v>PASS</v>
      </c>
      <c r="E447" s="3" t="str">
        <f t="shared" si="52"/>
        <v>PASS</v>
      </c>
      <c r="F447" s="3" t="str">
        <f t="shared" si="53"/>
        <v>PASS</v>
      </c>
      <c r="G447" s="3" t="str">
        <f t="shared" si="54"/>
        <v>FAIL</v>
      </c>
      <c r="H447" s="3">
        <v>39894241.350000001</v>
      </c>
      <c r="I447" s="4">
        <v>0</v>
      </c>
      <c r="J447" s="3">
        <v>34611060.100000001</v>
      </c>
      <c r="K447" s="3">
        <v>5044.6000000000004</v>
      </c>
      <c r="L447" s="3">
        <v>0</v>
      </c>
      <c r="M447" t="s">
        <v>29</v>
      </c>
      <c r="N447" t="s">
        <v>340</v>
      </c>
      <c r="O447" s="4">
        <v>0.26421028346369552</v>
      </c>
      <c r="P447" s="4">
        <v>0.73578971653630454</v>
      </c>
      <c r="Q447" t="s">
        <v>466</v>
      </c>
      <c r="R447" s="4">
        <v>6.2672675610588651E-6</v>
      </c>
      <c r="S447" s="3">
        <v>10475715.789999999</v>
      </c>
      <c r="T447" s="4">
        <v>0.26258716635552709</v>
      </c>
    </row>
    <row r="448" spans="1:20" x14ac:dyDescent="0.4">
      <c r="A448" s="2">
        <v>45902</v>
      </c>
      <c r="B448" t="s">
        <v>38</v>
      </c>
      <c r="C448" t="s">
        <v>28</v>
      </c>
      <c r="D448" s="3" t="str">
        <f t="shared" si="51"/>
        <v>PASS</v>
      </c>
      <c r="E448" s="3" t="str">
        <f t="shared" si="52"/>
        <v>PASS</v>
      </c>
      <c r="F448" s="3" t="str">
        <f t="shared" si="53"/>
        <v>PASS</v>
      </c>
      <c r="G448" s="3" t="str">
        <f t="shared" si="54"/>
        <v>FAIL</v>
      </c>
      <c r="H448" s="3">
        <v>42899424.770000003</v>
      </c>
      <c r="I448" s="4">
        <v>0</v>
      </c>
      <c r="J448" s="3">
        <v>36471463.350000001</v>
      </c>
      <c r="K448" s="3">
        <v>5319.6</v>
      </c>
      <c r="L448" s="3">
        <v>0</v>
      </c>
      <c r="M448" t="s">
        <v>29</v>
      </c>
      <c r="N448" t="s">
        <v>340</v>
      </c>
      <c r="O448" s="4">
        <v>0.27281530341995452</v>
      </c>
      <c r="P448" s="4">
        <v>0.72718469658004548</v>
      </c>
      <c r="Q448" t="s">
        <v>467</v>
      </c>
      <c r="R448" s="4">
        <v>6.814104812466864E-6</v>
      </c>
      <c r="S448" s="3">
        <v>14133950.32</v>
      </c>
      <c r="T448" s="4">
        <v>0.32946712912299958</v>
      </c>
    </row>
    <row r="449" spans="1:20" x14ac:dyDescent="0.4">
      <c r="A449" s="2">
        <v>45902</v>
      </c>
      <c r="B449" t="s">
        <v>39</v>
      </c>
      <c r="C449" t="s">
        <v>28</v>
      </c>
      <c r="D449" s="3" t="str">
        <f t="shared" si="51"/>
        <v>PASS</v>
      </c>
      <c r="E449" s="3" t="str">
        <f t="shared" si="52"/>
        <v>PASS</v>
      </c>
      <c r="F449" s="3" t="str">
        <f t="shared" si="53"/>
        <v>PASS</v>
      </c>
      <c r="G449" s="3" t="str">
        <f t="shared" si="54"/>
        <v>FAIL</v>
      </c>
      <c r="H449" s="3">
        <v>77788720.569999993</v>
      </c>
      <c r="I449" s="4">
        <v>0</v>
      </c>
      <c r="J449" s="3">
        <v>69803483.430000007</v>
      </c>
      <c r="K449" s="3">
        <v>10177.879999999999</v>
      </c>
      <c r="L449" s="3">
        <v>0</v>
      </c>
      <c r="M449" t="s">
        <v>29</v>
      </c>
      <c r="N449" t="s">
        <v>340</v>
      </c>
      <c r="O449" s="4">
        <v>0.26821460763881538</v>
      </c>
      <c r="P449" s="4">
        <v>0.73178539236118456</v>
      </c>
      <c r="Q449" t="s">
        <v>468</v>
      </c>
      <c r="R449" s="4">
        <v>1.281222591384835E-5</v>
      </c>
      <c r="S449" s="3">
        <v>16663286.98</v>
      </c>
      <c r="T449" s="4">
        <v>0.2142121230160246</v>
      </c>
    </row>
    <row r="450" spans="1:20" x14ac:dyDescent="0.4">
      <c r="A450" s="2">
        <v>45903</v>
      </c>
      <c r="B450" t="s">
        <v>27</v>
      </c>
      <c r="C450" t="s">
        <v>28</v>
      </c>
      <c r="D450" s="3" t="str">
        <f t="shared" si="51"/>
        <v>PASS</v>
      </c>
      <c r="E450" s="3" t="str">
        <f t="shared" si="52"/>
        <v>PASS</v>
      </c>
      <c r="F450" s="3" t="str">
        <f t="shared" si="53"/>
        <v>PASS</v>
      </c>
      <c r="G450" s="3" t="str">
        <f t="shared" si="54"/>
        <v>FAIL</v>
      </c>
      <c r="H450" s="3">
        <v>55252204.039999999</v>
      </c>
      <c r="I450" s="4">
        <v>0</v>
      </c>
      <c r="J450" s="3">
        <v>50008495.829999998</v>
      </c>
      <c r="K450" s="3">
        <v>3634.09</v>
      </c>
      <c r="L450" s="3">
        <v>0</v>
      </c>
      <c r="M450" t="s">
        <v>29</v>
      </c>
      <c r="N450" t="s">
        <v>469</v>
      </c>
      <c r="O450" s="4">
        <v>0.27205716877087688</v>
      </c>
      <c r="P450" s="4">
        <v>0.72794283122912318</v>
      </c>
      <c r="Q450" t="s">
        <v>470</v>
      </c>
      <c r="R450" s="4">
        <v>7.5320057400131052E-5</v>
      </c>
      <c r="S450" s="3">
        <v>9112790.0399999991</v>
      </c>
      <c r="T450" s="4">
        <v>0.16493079684934861</v>
      </c>
    </row>
    <row r="451" spans="1:20" x14ac:dyDescent="0.4">
      <c r="A451" s="2">
        <v>45903</v>
      </c>
      <c r="B451" t="s">
        <v>30</v>
      </c>
      <c r="C451" t="s">
        <v>28</v>
      </c>
      <c r="D451" s="3" t="str">
        <f t="shared" si="51"/>
        <v>PASS</v>
      </c>
      <c r="E451" s="3" t="str">
        <f t="shared" si="52"/>
        <v>PASS</v>
      </c>
      <c r="F451" s="3" t="str">
        <f t="shared" si="53"/>
        <v>PASS</v>
      </c>
      <c r="G451" s="3" t="str">
        <f t="shared" si="54"/>
        <v>FAIL</v>
      </c>
      <c r="H451" s="3">
        <v>34251284</v>
      </c>
      <c r="I451" s="4">
        <v>0</v>
      </c>
      <c r="J451" s="3">
        <v>32022435.149999999</v>
      </c>
      <c r="K451" s="3">
        <v>2320.0300000000002</v>
      </c>
      <c r="L451" s="3">
        <v>0</v>
      </c>
      <c r="M451" t="s">
        <v>29</v>
      </c>
      <c r="N451" t="s">
        <v>42</v>
      </c>
      <c r="O451" s="4">
        <v>0.2551899357972468</v>
      </c>
      <c r="P451" s="4">
        <v>0.7448100642027532</v>
      </c>
      <c r="Q451" t="s">
        <v>471</v>
      </c>
      <c r="R451" s="4">
        <v>5.8785004526359914E-6</v>
      </c>
      <c r="S451" s="3">
        <v>4225909.28</v>
      </c>
      <c r="T451" s="4">
        <v>0.123379587171097</v>
      </c>
    </row>
    <row r="452" spans="1:20" x14ac:dyDescent="0.4">
      <c r="A452" s="2">
        <v>45903</v>
      </c>
      <c r="B452" t="s">
        <v>31</v>
      </c>
      <c r="C452" t="s">
        <v>28</v>
      </c>
      <c r="D452" s="3" t="str">
        <f t="shared" si="51"/>
        <v>PASS</v>
      </c>
      <c r="E452" s="3" t="str">
        <f t="shared" si="52"/>
        <v>PASS</v>
      </c>
      <c r="F452" s="3" t="str">
        <f t="shared" si="53"/>
        <v>PASS</v>
      </c>
      <c r="G452" s="3" t="str">
        <f t="shared" si="54"/>
        <v>FAIL</v>
      </c>
      <c r="H452" s="3">
        <v>23208868.18</v>
      </c>
      <c r="I452" s="4">
        <v>0</v>
      </c>
      <c r="J452" s="3">
        <v>21250868.039999999</v>
      </c>
      <c r="K452" s="3">
        <v>1541.09</v>
      </c>
      <c r="L452" s="3">
        <v>0</v>
      </c>
      <c r="M452" t="s">
        <v>29</v>
      </c>
      <c r="N452" t="s">
        <v>42</v>
      </c>
      <c r="O452" s="4">
        <v>0.25344042840331898</v>
      </c>
      <c r="P452" s="4">
        <v>0.74655957159668107</v>
      </c>
      <c r="Q452" t="s">
        <v>472</v>
      </c>
      <c r="R452" s="4">
        <v>3.8748545861488688E-6</v>
      </c>
      <c r="S452" s="3">
        <v>3671432.69</v>
      </c>
      <c r="T452" s="4">
        <v>0.15819094070101269</v>
      </c>
    </row>
    <row r="453" spans="1:20" x14ac:dyDescent="0.4">
      <c r="A453" s="2">
        <v>45903</v>
      </c>
      <c r="B453" t="s">
        <v>32</v>
      </c>
      <c r="C453" t="s">
        <v>28</v>
      </c>
      <c r="D453" s="3" t="str">
        <f t="shared" si="51"/>
        <v>PASS</v>
      </c>
      <c r="E453" s="3" t="str">
        <f t="shared" si="52"/>
        <v>PASS</v>
      </c>
      <c r="F453" s="3" t="str">
        <f t="shared" si="53"/>
        <v>PASS</v>
      </c>
      <c r="G453" s="3" t="str">
        <f t="shared" si="54"/>
        <v>FAIL</v>
      </c>
      <c r="H453" s="3">
        <v>24498363.82</v>
      </c>
      <c r="I453" s="4">
        <v>0</v>
      </c>
      <c r="J453" s="3">
        <v>20494823.760000002</v>
      </c>
      <c r="K453" s="3">
        <v>1485.71</v>
      </c>
      <c r="L453" s="3">
        <v>0</v>
      </c>
      <c r="M453" t="s">
        <v>29</v>
      </c>
      <c r="N453" t="s">
        <v>46</v>
      </c>
      <c r="O453" s="4">
        <v>0.28714068141857491</v>
      </c>
      <c r="P453" s="4">
        <v>0.71285931858142515</v>
      </c>
      <c r="Q453" t="s">
        <v>473</v>
      </c>
      <c r="R453" s="4">
        <v>3.712512277137119E-6</v>
      </c>
      <c r="S453" s="3">
        <v>7741379.5300000003</v>
      </c>
      <c r="T453" s="4">
        <v>0.31599577779476379</v>
      </c>
    </row>
    <row r="454" spans="1:20" x14ac:dyDescent="0.4">
      <c r="A454" s="2">
        <v>45903</v>
      </c>
      <c r="B454" t="s">
        <v>33</v>
      </c>
      <c r="C454" t="s">
        <v>28</v>
      </c>
      <c r="D454" s="3" t="str">
        <f t="shared" si="51"/>
        <v>PASS</v>
      </c>
      <c r="E454" s="3" t="str">
        <f t="shared" si="52"/>
        <v>PASS</v>
      </c>
      <c r="F454" s="3" t="str">
        <f t="shared" si="53"/>
        <v>PASS</v>
      </c>
      <c r="G454" s="3" t="str">
        <f t="shared" si="54"/>
        <v>FAIL</v>
      </c>
      <c r="H454" s="3">
        <v>15208118.17</v>
      </c>
      <c r="I454" s="4">
        <v>0</v>
      </c>
      <c r="J454" s="3">
        <v>13528505.99</v>
      </c>
      <c r="K454" s="3">
        <v>980.73</v>
      </c>
      <c r="L454" s="3">
        <v>0</v>
      </c>
      <c r="M454" t="s">
        <v>29</v>
      </c>
      <c r="N454" t="s">
        <v>42</v>
      </c>
      <c r="O454" s="4">
        <v>0.25306358385254341</v>
      </c>
      <c r="P454" s="4">
        <v>0.74693641614745665</v>
      </c>
      <c r="Q454" t="s">
        <v>474</v>
      </c>
      <c r="R454" s="4">
        <v>2.4629037143493091E-6</v>
      </c>
      <c r="S454" s="3">
        <v>3964395.47</v>
      </c>
      <c r="T454" s="4">
        <v>0.26067626682571993</v>
      </c>
    </row>
    <row r="455" spans="1:20" x14ac:dyDescent="0.4">
      <c r="A455" s="2">
        <v>45903</v>
      </c>
      <c r="B455" t="s">
        <v>34</v>
      </c>
      <c r="C455" t="s">
        <v>28</v>
      </c>
      <c r="D455" s="3" t="str">
        <f t="shared" si="51"/>
        <v>PASS</v>
      </c>
      <c r="E455" s="3" t="str">
        <f t="shared" si="52"/>
        <v>PASS</v>
      </c>
      <c r="F455" s="3" t="str">
        <f t="shared" si="53"/>
        <v>PASS</v>
      </c>
      <c r="G455" s="3" t="str">
        <f t="shared" si="54"/>
        <v>FAIL</v>
      </c>
      <c r="H455" s="3">
        <v>165594256.33000001</v>
      </c>
      <c r="I455" s="4">
        <v>0</v>
      </c>
      <c r="J455" s="3">
        <v>141166080.16</v>
      </c>
      <c r="K455" s="3">
        <v>10234.39</v>
      </c>
      <c r="L455" s="3">
        <v>0</v>
      </c>
      <c r="M455" t="s">
        <v>29</v>
      </c>
      <c r="N455" t="s">
        <v>46</v>
      </c>
      <c r="O455" s="4">
        <v>0.28746433877037392</v>
      </c>
      <c r="P455" s="4">
        <v>0.71253566122962608</v>
      </c>
      <c r="Q455" t="s">
        <v>475</v>
      </c>
      <c r="R455" s="4">
        <v>2.5624451827696711E-5</v>
      </c>
      <c r="S455" s="3">
        <v>46608855.719999999</v>
      </c>
      <c r="T455" s="4">
        <v>0.28146420505743153</v>
      </c>
    </row>
    <row r="456" spans="1:20" x14ac:dyDescent="0.4">
      <c r="A456" s="2">
        <v>45903</v>
      </c>
      <c r="B456" t="s">
        <v>35</v>
      </c>
      <c r="C456" t="s">
        <v>28</v>
      </c>
      <c r="D456" s="3" t="str">
        <f t="shared" si="51"/>
        <v>PASS</v>
      </c>
      <c r="E456" s="3" t="str">
        <f t="shared" si="52"/>
        <v>PASS</v>
      </c>
      <c r="F456" s="3" t="str">
        <f t="shared" si="53"/>
        <v>PASS</v>
      </c>
      <c r="G456" s="3" t="str">
        <f t="shared" si="54"/>
        <v>FAIL</v>
      </c>
      <c r="H456" s="3">
        <v>134381525.05000001</v>
      </c>
      <c r="I456" s="4">
        <v>0</v>
      </c>
      <c r="J456" s="3">
        <v>118834967.33</v>
      </c>
      <c r="K456" s="3">
        <v>8609.6299999999992</v>
      </c>
      <c r="L456" s="3">
        <v>0</v>
      </c>
      <c r="M456" t="s">
        <v>29</v>
      </c>
      <c r="N456" t="s">
        <v>42</v>
      </c>
      <c r="O456" s="4">
        <v>0.25944901052887759</v>
      </c>
      <c r="P456" s="4">
        <v>0.74055098947112241</v>
      </c>
      <c r="Q456" t="s">
        <v>476</v>
      </c>
      <c r="R456" s="4">
        <v>2.218535817626359E-5</v>
      </c>
      <c r="S456" s="3">
        <v>32454977.829999998</v>
      </c>
      <c r="T456" s="4">
        <v>0.24151368886403329</v>
      </c>
    </row>
    <row r="457" spans="1:20" x14ac:dyDescent="0.4">
      <c r="A457" s="2">
        <v>45903</v>
      </c>
      <c r="B457" t="s">
        <v>36</v>
      </c>
      <c r="C457" t="s">
        <v>28</v>
      </c>
      <c r="D457" s="3" t="str">
        <f t="shared" si="51"/>
        <v>PASS</v>
      </c>
      <c r="E457" s="3" t="str">
        <f t="shared" si="52"/>
        <v>PASS</v>
      </c>
      <c r="F457" s="3" t="str">
        <f t="shared" si="53"/>
        <v>PASS</v>
      </c>
      <c r="G457" s="3" t="str">
        <f t="shared" si="54"/>
        <v>FAIL</v>
      </c>
      <c r="H457" s="3">
        <v>100412704.94</v>
      </c>
      <c r="I457" s="4">
        <v>0</v>
      </c>
      <c r="J457" s="3">
        <v>91353934.950000003</v>
      </c>
      <c r="K457" s="3">
        <v>6623.79</v>
      </c>
      <c r="L457" s="3">
        <v>0</v>
      </c>
      <c r="M457" t="s">
        <v>29</v>
      </c>
      <c r="N457" t="s">
        <v>42</v>
      </c>
      <c r="O457" s="4">
        <v>0.25150556527833512</v>
      </c>
      <c r="P457" s="4">
        <v>0.74849443472166488</v>
      </c>
      <c r="Q457" t="s">
        <v>477</v>
      </c>
      <c r="R457" s="4">
        <v>1.6531146440025411E-5</v>
      </c>
      <c r="S457" s="3">
        <v>17036979.850000001</v>
      </c>
      <c r="T457" s="4">
        <v>0.1696695638284037</v>
      </c>
    </row>
    <row r="458" spans="1:20" x14ac:dyDescent="0.4">
      <c r="A458" s="2">
        <v>45903</v>
      </c>
      <c r="B458" t="s">
        <v>37</v>
      </c>
      <c r="C458" t="s">
        <v>28</v>
      </c>
      <c r="D458" s="3" t="str">
        <f t="shared" si="51"/>
        <v>PASS</v>
      </c>
      <c r="E458" s="3" t="str">
        <f t="shared" si="52"/>
        <v>PASS</v>
      </c>
      <c r="F458" s="3" t="str">
        <f t="shared" si="53"/>
        <v>PASS</v>
      </c>
      <c r="G458" s="3" t="str">
        <f t="shared" si="54"/>
        <v>FAIL</v>
      </c>
      <c r="H458" s="3">
        <v>39964799.130000003</v>
      </c>
      <c r="I458" s="4">
        <v>0</v>
      </c>
      <c r="J458" s="3">
        <v>34679105.020000003</v>
      </c>
      <c r="K458" s="3">
        <v>2513.54</v>
      </c>
      <c r="L458" s="3">
        <v>0</v>
      </c>
      <c r="M458" t="s">
        <v>29</v>
      </c>
      <c r="N458" t="s">
        <v>46</v>
      </c>
      <c r="O458" s="4">
        <v>0.28645359314408281</v>
      </c>
      <c r="P458" s="4">
        <v>0.71354640685591719</v>
      </c>
      <c r="Q458" t="s">
        <v>478</v>
      </c>
      <c r="R458" s="4">
        <v>6.2672675610588651E-6</v>
      </c>
      <c r="S458" s="3">
        <v>10471377.91</v>
      </c>
      <c r="T458" s="4">
        <v>0.26201502667229842</v>
      </c>
    </row>
    <row r="459" spans="1:20" x14ac:dyDescent="0.4">
      <c r="A459" s="2">
        <v>45903</v>
      </c>
      <c r="B459" t="s">
        <v>38</v>
      </c>
      <c r="C459" t="s">
        <v>28</v>
      </c>
      <c r="D459" s="3" t="str">
        <f t="shared" si="51"/>
        <v>PASS</v>
      </c>
      <c r="E459" s="3" t="str">
        <f t="shared" si="52"/>
        <v>PASS</v>
      </c>
      <c r="F459" s="3" t="str">
        <f t="shared" si="53"/>
        <v>PASS</v>
      </c>
      <c r="G459" s="3" t="str">
        <f t="shared" si="54"/>
        <v>FAIL</v>
      </c>
      <c r="H459" s="3">
        <v>42991751.710000001</v>
      </c>
      <c r="I459" s="4">
        <v>0</v>
      </c>
      <c r="J459" s="3">
        <v>36561142.359999999</v>
      </c>
      <c r="K459" s="3">
        <v>2648.48</v>
      </c>
      <c r="L459" s="3">
        <v>0</v>
      </c>
      <c r="M459" t="s">
        <v>29</v>
      </c>
      <c r="N459" t="s">
        <v>42</v>
      </c>
      <c r="O459" s="4">
        <v>0.25920777027930919</v>
      </c>
      <c r="P459" s="4">
        <v>0.74079222972069081</v>
      </c>
      <c r="Q459" t="s">
        <v>479</v>
      </c>
      <c r="R459" s="4">
        <v>6.814104812466864E-6</v>
      </c>
      <c r="S459" s="3">
        <v>14187421.08</v>
      </c>
      <c r="T459" s="4">
        <v>0.33000332658461928</v>
      </c>
    </row>
    <row r="460" spans="1:20" x14ac:dyDescent="0.4">
      <c r="A460" s="2">
        <v>45903</v>
      </c>
      <c r="B460" t="s">
        <v>39</v>
      </c>
      <c r="C460" t="s">
        <v>28</v>
      </c>
      <c r="D460" s="3" t="str">
        <f t="shared" si="51"/>
        <v>PASS</v>
      </c>
      <c r="E460" s="3" t="str">
        <f t="shared" si="52"/>
        <v>PASS</v>
      </c>
      <c r="F460" s="3" t="str">
        <f t="shared" si="53"/>
        <v>PASS</v>
      </c>
      <c r="G460" s="3" t="str">
        <f t="shared" si="54"/>
        <v>FAIL</v>
      </c>
      <c r="H460" s="3">
        <v>77960727.480000004</v>
      </c>
      <c r="I460" s="4">
        <v>0</v>
      </c>
      <c r="J460" s="3">
        <v>69970422.420000002</v>
      </c>
      <c r="K460" s="3">
        <v>5067.92</v>
      </c>
      <c r="L460" s="3">
        <v>0</v>
      </c>
      <c r="M460" t="s">
        <v>29</v>
      </c>
      <c r="N460" t="s">
        <v>42</v>
      </c>
      <c r="O460" s="4">
        <v>0.25464346996577703</v>
      </c>
      <c r="P460" s="4">
        <v>0.74535653003422297</v>
      </c>
      <c r="Q460" t="s">
        <v>480</v>
      </c>
      <c r="R460" s="4">
        <v>1.281222591384835E-5</v>
      </c>
      <c r="S460" s="3">
        <v>16679197.16</v>
      </c>
      <c r="T460" s="4">
        <v>0.21394358030174709</v>
      </c>
    </row>
    <row r="461" spans="1:20" x14ac:dyDescent="0.4">
      <c r="A461" s="2">
        <v>45904</v>
      </c>
      <c r="B461" t="s">
        <v>27</v>
      </c>
      <c r="C461" t="s">
        <v>28</v>
      </c>
      <c r="D461" s="3" t="str">
        <f t="shared" si="51"/>
        <v>PASS</v>
      </c>
      <c r="E461" s="3" t="str">
        <f t="shared" si="52"/>
        <v>PASS</v>
      </c>
      <c r="F461" s="3" t="str">
        <f t="shared" si="53"/>
        <v>PASS</v>
      </c>
      <c r="G461" s="3" t="str">
        <f t="shared" si="54"/>
        <v>FAIL</v>
      </c>
      <c r="H461" s="3">
        <v>54974433.68</v>
      </c>
      <c r="I461" s="4">
        <v>0</v>
      </c>
      <c r="J461" s="3">
        <v>50371627.310000002</v>
      </c>
      <c r="K461" s="3">
        <v>3631.43</v>
      </c>
      <c r="L461" s="3">
        <v>0</v>
      </c>
      <c r="M461" t="s">
        <v>29</v>
      </c>
      <c r="N461" t="s">
        <v>481</v>
      </c>
      <c r="O461" s="4">
        <v>0.254380668528773</v>
      </c>
      <c r="P461" s="4">
        <v>0.74561933147122694</v>
      </c>
      <c r="Q461" t="s">
        <v>482</v>
      </c>
      <c r="R461" s="4">
        <v>7.5731064885164513E-5</v>
      </c>
      <c r="S461" s="3">
        <v>8995602.6899999995</v>
      </c>
      <c r="T461" s="4">
        <v>0.16363247582253221</v>
      </c>
    </row>
    <row r="462" spans="1:20" x14ac:dyDescent="0.4">
      <c r="A462" s="2">
        <v>45904</v>
      </c>
      <c r="B462" t="s">
        <v>30</v>
      </c>
      <c r="C462" t="s">
        <v>28</v>
      </c>
      <c r="D462" s="3" t="str">
        <f t="shared" si="51"/>
        <v>PASS</v>
      </c>
      <c r="E462" s="3" t="str">
        <f t="shared" si="52"/>
        <v>PASS</v>
      </c>
      <c r="F462" s="3" t="str">
        <f t="shared" si="53"/>
        <v>PASS</v>
      </c>
      <c r="G462" s="3" t="str">
        <f t="shared" si="54"/>
        <v>FAIL</v>
      </c>
      <c r="H462" s="3">
        <v>34416379.479999997</v>
      </c>
      <c r="I462" s="4">
        <v>0</v>
      </c>
      <c r="J462" s="3">
        <v>32185205.710000001</v>
      </c>
      <c r="K462" s="3">
        <v>2324.92</v>
      </c>
      <c r="L462" s="3">
        <v>0</v>
      </c>
      <c r="M462" t="s">
        <v>29</v>
      </c>
      <c r="N462" t="s">
        <v>42</v>
      </c>
      <c r="O462" s="4">
        <v>0.25731126544973082</v>
      </c>
      <c r="P462" s="4">
        <v>0.74268873455026929</v>
      </c>
      <c r="Q462" t="s">
        <v>483</v>
      </c>
      <c r="R462" s="4">
        <v>5.8977251997558032E-6</v>
      </c>
      <c r="S462" s="3">
        <v>4226682.8799999999</v>
      </c>
      <c r="T462" s="4">
        <v>0.12281021257498061</v>
      </c>
    </row>
    <row r="463" spans="1:20" x14ac:dyDescent="0.4">
      <c r="A463" s="2">
        <v>45904</v>
      </c>
      <c r="B463" t="s">
        <v>31</v>
      </c>
      <c r="C463" t="s">
        <v>28</v>
      </c>
      <c r="D463" s="3" t="str">
        <f t="shared" si="51"/>
        <v>PASS</v>
      </c>
      <c r="E463" s="3" t="str">
        <f t="shared" si="52"/>
        <v>PASS</v>
      </c>
      <c r="F463" s="3" t="str">
        <f t="shared" si="53"/>
        <v>PASS</v>
      </c>
      <c r="G463" s="3" t="str">
        <f t="shared" si="54"/>
        <v>FAIL</v>
      </c>
      <c r="H463" s="3">
        <v>23302338.539999999</v>
      </c>
      <c r="I463" s="4">
        <v>0</v>
      </c>
      <c r="J463" s="3">
        <v>21342795.530000001</v>
      </c>
      <c r="K463" s="3">
        <v>1543.58</v>
      </c>
      <c r="L463" s="3">
        <v>0</v>
      </c>
      <c r="M463" t="s">
        <v>29</v>
      </c>
      <c r="N463" t="s">
        <v>42</v>
      </c>
      <c r="O463" s="4">
        <v>0.25573413296903758</v>
      </c>
      <c r="P463" s="4">
        <v>0.74426586703096242</v>
      </c>
      <c r="Q463" t="s">
        <v>484</v>
      </c>
      <c r="R463" s="4">
        <v>3.8876710842287444E-6</v>
      </c>
      <c r="S463" s="3">
        <v>3668860.89</v>
      </c>
      <c r="T463" s="4">
        <v>0.1574460384609965</v>
      </c>
    </row>
    <row r="464" spans="1:20" x14ac:dyDescent="0.4">
      <c r="A464" s="2">
        <v>45904</v>
      </c>
      <c r="B464" t="s">
        <v>32</v>
      </c>
      <c r="C464" t="s">
        <v>28</v>
      </c>
      <c r="D464" s="3" t="str">
        <f t="shared" si="51"/>
        <v>PASS</v>
      </c>
      <c r="E464" s="3" t="str">
        <f t="shared" si="52"/>
        <v>PASS</v>
      </c>
      <c r="F464" s="3" t="str">
        <f t="shared" si="53"/>
        <v>PASS</v>
      </c>
      <c r="G464" s="3" t="str">
        <f t="shared" si="54"/>
        <v>FAIL</v>
      </c>
      <c r="H464" s="3">
        <v>24587493.370000001</v>
      </c>
      <c r="I464" s="4">
        <v>0</v>
      </c>
      <c r="J464" s="3">
        <v>20582465.329999998</v>
      </c>
      <c r="K464" s="3">
        <v>1488.53</v>
      </c>
      <c r="L464" s="3">
        <v>0</v>
      </c>
      <c r="M464" t="s">
        <v>29</v>
      </c>
      <c r="N464" t="s">
        <v>46</v>
      </c>
      <c r="O464" s="4">
        <v>0.29007895285010549</v>
      </c>
      <c r="P464" s="4">
        <v>0.70992104714989446</v>
      </c>
      <c r="Q464" t="s">
        <v>485</v>
      </c>
      <c r="R464" s="4">
        <v>3.7274648582303071E-6</v>
      </c>
      <c r="S464" s="3">
        <v>7755015.54</v>
      </c>
      <c r="T464" s="4">
        <v>0.31540488586210041</v>
      </c>
    </row>
    <row r="465" spans="1:20" x14ac:dyDescent="0.4">
      <c r="A465" s="2">
        <v>45904</v>
      </c>
      <c r="B465" t="s">
        <v>33</v>
      </c>
      <c r="C465" t="s">
        <v>28</v>
      </c>
      <c r="D465" s="3" t="str">
        <f t="shared" si="51"/>
        <v>PASS</v>
      </c>
      <c r="E465" s="3" t="str">
        <f t="shared" si="52"/>
        <v>PASS</v>
      </c>
      <c r="F465" s="3" t="str">
        <f t="shared" si="53"/>
        <v>PASS</v>
      </c>
      <c r="G465" s="3" t="str">
        <f t="shared" si="54"/>
        <v>FAIL</v>
      </c>
      <c r="H465" s="3">
        <v>15269245.98</v>
      </c>
      <c r="I465" s="4">
        <v>0</v>
      </c>
      <c r="J465" s="3">
        <v>13588651.59</v>
      </c>
      <c r="K465" s="3">
        <v>982.92</v>
      </c>
      <c r="L465" s="3">
        <v>0</v>
      </c>
      <c r="M465" t="s">
        <v>29</v>
      </c>
      <c r="N465" t="s">
        <v>42</v>
      </c>
      <c r="O465" s="4">
        <v>0.25522798616400472</v>
      </c>
      <c r="P465" s="4">
        <v>0.74477201383599534</v>
      </c>
      <c r="Q465" t="s">
        <v>486</v>
      </c>
      <c r="R465" s="4">
        <v>2.467175880375934E-6</v>
      </c>
      <c r="S465" s="3">
        <v>3979282.5</v>
      </c>
      <c r="T465" s="4">
        <v>0.26060766230448801</v>
      </c>
    </row>
    <row r="466" spans="1:20" x14ac:dyDescent="0.4">
      <c r="A466" s="2">
        <v>45904</v>
      </c>
      <c r="B466" t="s">
        <v>34</v>
      </c>
      <c r="C466" t="s">
        <v>28</v>
      </c>
      <c r="D466" s="3" t="str">
        <f t="shared" si="51"/>
        <v>PASS</v>
      </c>
      <c r="E466" s="3" t="str">
        <f t="shared" si="52"/>
        <v>PASS</v>
      </c>
      <c r="F466" s="3" t="str">
        <f t="shared" si="53"/>
        <v>PASS</v>
      </c>
      <c r="G466" s="3" t="str">
        <f t="shared" si="54"/>
        <v>FAIL</v>
      </c>
      <c r="H466" s="3">
        <v>166134692.38</v>
      </c>
      <c r="I466" s="4">
        <v>0</v>
      </c>
      <c r="J466" s="3">
        <v>141696267.16999999</v>
      </c>
      <c r="K466" s="3">
        <v>10249.59</v>
      </c>
      <c r="L466" s="3">
        <v>0</v>
      </c>
      <c r="M466" t="s">
        <v>29</v>
      </c>
      <c r="N466" t="s">
        <v>46</v>
      </c>
      <c r="O466" s="4">
        <v>0.29022630257903359</v>
      </c>
      <c r="P466" s="4">
        <v>0.70977369742096641</v>
      </c>
      <c r="Q466" t="s">
        <v>487</v>
      </c>
      <c r="R466" s="4">
        <v>2.569921473316265E-5</v>
      </c>
      <c r="S466" s="3">
        <v>46739632.740000002</v>
      </c>
      <c r="T466" s="4">
        <v>0.28133577683517419</v>
      </c>
    </row>
    <row r="467" spans="1:20" x14ac:dyDescent="0.4">
      <c r="A467" s="2">
        <v>45904</v>
      </c>
      <c r="B467" t="s">
        <v>35</v>
      </c>
      <c r="C467" t="s">
        <v>28</v>
      </c>
      <c r="D467" s="3" t="str">
        <f t="shared" si="51"/>
        <v>PASS</v>
      </c>
      <c r="E467" s="3" t="str">
        <f t="shared" si="52"/>
        <v>PASS</v>
      </c>
      <c r="F467" s="3" t="str">
        <f t="shared" si="53"/>
        <v>PASS</v>
      </c>
      <c r="G467" s="3" t="str">
        <f t="shared" si="54"/>
        <v>FAIL</v>
      </c>
      <c r="H467" s="3">
        <v>134977597.75999999</v>
      </c>
      <c r="I467" s="4">
        <v>0</v>
      </c>
      <c r="J467" s="3">
        <v>119422412.3</v>
      </c>
      <c r="K467" s="3">
        <v>8628.2900000000009</v>
      </c>
      <c r="L467" s="3">
        <v>0</v>
      </c>
      <c r="M467" t="s">
        <v>29</v>
      </c>
      <c r="N467" t="s">
        <v>42</v>
      </c>
      <c r="O467" s="4">
        <v>0.26161368915841271</v>
      </c>
      <c r="P467" s="4">
        <v>0.73838631084158735</v>
      </c>
      <c r="Q467" t="s">
        <v>488</v>
      </c>
      <c r="R467" s="4">
        <v>2.2251576749676281E-5</v>
      </c>
      <c r="S467" s="3">
        <v>32658397.620000001</v>
      </c>
      <c r="T467" s="4">
        <v>0.2419542069349094</v>
      </c>
    </row>
    <row r="468" spans="1:20" x14ac:dyDescent="0.4">
      <c r="A468" s="2">
        <v>45904</v>
      </c>
      <c r="B468" t="s">
        <v>36</v>
      </c>
      <c r="C468" t="s">
        <v>28</v>
      </c>
      <c r="D468" s="3" t="str">
        <f t="shared" si="51"/>
        <v>PASS</v>
      </c>
      <c r="E468" s="3" t="str">
        <f t="shared" si="52"/>
        <v>PASS</v>
      </c>
      <c r="F468" s="3" t="str">
        <f t="shared" si="53"/>
        <v>PASS</v>
      </c>
      <c r="G468" s="3" t="str">
        <f t="shared" si="54"/>
        <v>FAIL</v>
      </c>
      <c r="H468" s="3">
        <v>100791948.18000001</v>
      </c>
      <c r="I468" s="4">
        <v>0</v>
      </c>
      <c r="J468" s="3">
        <v>91726545.640000001</v>
      </c>
      <c r="K468" s="3">
        <v>6633.23</v>
      </c>
      <c r="L468" s="3">
        <v>0</v>
      </c>
      <c r="M468" t="s">
        <v>29</v>
      </c>
      <c r="N468" t="s">
        <v>42</v>
      </c>
      <c r="O468" s="4">
        <v>0.25381734216149637</v>
      </c>
      <c r="P468" s="4">
        <v>0.74618265783850357</v>
      </c>
      <c r="Q468" t="s">
        <v>489</v>
      </c>
      <c r="R468" s="4">
        <v>1.6580276349331599E-5</v>
      </c>
      <c r="S468" s="3">
        <v>16983346.780000001</v>
      </c>
      <c r="T468" s="4">
        <v>0.16849904269803551</v>
      </c>
    </row>
    <row r="469" spans="1:20" x14ac:dyDescent="0.4">
      <c r="A469" s="2">
        <v>45904</v>
      </c>
      <c r="B469" t="s">
        <v>37</v>
      </c>
      <c r="C469" t="s">
        <v>28</v>
      </c>
      <c r="D469" s="3" t="str">
        <f t="shared" si="51"/>
        <v>PASS</v>
      </c>
      <c r="E469" s="3" t="str">
        <f t="shared" si="52"/>
        <v>PASS</v>
      </c>
      <c r="F469" s="3" t="str">
        <f t="shared" si="53"/>
        <v>PASS</v>
      </c>
      <c r="G469" s="3" t="str">
        <f t="shared" si="54"/>
        <v>FAIL</v>
      </c>
      <c r="H469" s="3">
        <v>40114099.82</v>
      </c>
      <c r="I469" s="4">
        <v>0</v>
      </c>
      <c r="J469" s="3">
        <v>34825887.909999996</v>
      </c>
      <c r="K469" s="3">
        <v>2518.48</v>
      </c>
      <c r="L469" s="3">
        <v>0</v>
      </c>
      <c r="M469" t="s">
        <v>29</v>
      </c>
      <c r="N469" t="s">
        <v>42</v>
      </c>
      <c r="O469" s="4">
        <v>0.2535417696404112</v>
      </c>
      <c r="P469" s="4">
        <v>0.7464582303595888</v>
      </c>
      <c r="Q469" t="s">
        <v>490</v>
      </c>
      <c r="R469" s="4">
        <v>6.2822201421520528E-6</v>
      </c>
      <c r="S469" s="3">
        <v>10487567.029999999</v>
      </c>
      <c r="T469" s="4">
        <v>0.26144340960060958</v>
      </c>
    </row>
    <row r="470" spans="1:20" x14ac:dyDescent="0.4">
      <c r="A470" s="2">
        <v>45904</v>
      </c>
      <c r="B470" t="s">
        <v>38</v>
      </c>
      <c r="C470" t="s">
        <v>28</v>
      </c>
      <c r="D470" s="3" t="str">
        <f t="shared" si="51"/>
        <v>PASS</v>
      </c>
      <c r="E470" s="3" t="str">
        <f t="shared" si="52"/>
        <v>PASS</v>
      </c>
      <c r="F470" s="3" t="str">
        <f t="shared" si="53"/>
        <v>PASS</v>
      </c>
      <c r="G470" s="3" t="str">
        <f t="shared" si="54"/>
        <v>FAIL</v>
      </c>
      <c r="H470" s="3">
        <v>43181647.619999997</v>
      </c>
      <c r="I470" s="4">
        <v>0</v>
      </c>
      <c r="J470" s="3">
        <v>36748383.829999998</v>
      </c>
      <c r="K470" s="3">
        <v>2654.99</v>
      </c>
      <c r="L470" s="3">
        <v>0</v>
      </c>
      <c r="M470" t="s">
        <v>29</v>
      </c>
      <c r="N470" t="s">
        <v>42</v>
      </c>
      <c r="O470" s="4">
        <v>0.26123286303989818</v>
      </c>
      <c r="P470" s="4">
        <v>0.73876713696010177</v>
      </c>
      <c r="Q470" t="s">
        <v>491</v>
      </c>
      <c r="R470" s="4">
        <v>6.8311934765733638E-6</v>
      </c>
      <c r="S470" s="3">
        <v>14290435.92</v>
      </c>
      <c r="T470" s="4">
        <v>0.33093771793416338</v>
      </c>
    </row>
    <row r="471" spans="1:20" x14ac:dyDescent="0.4">
      <c r="A471" s="2">
        <v>45904</v>
      </c>
      <c r="B471" t="s">
        <v>39</v>
      </c>
      <c r="C471" t="s">
        <v>28</v>
      </c>
      <c r="D471" s="3" t="str">
        <f t="shared" si="51"/>
        <v>PASS</v>
      </c>
      <c r="E471" s="3" t="str">
        <f t="shared" si="52"/>
        <v>PASS</v>
      </c>
      <c r="F471" s="3" t="str">
        <f t="shared" si="53"/>
        <v>PASS</v>
      </c>
      <c r="G471" s="3" t="str">
        <f t="shared" si="54"/>
        <v>FAIL</v>
      </c>
      <c r="H471" s="3">
        <v>78306081.640000001</v>
      </c>
      <c r="I471" s="4">
        <v>0</v>
      </c>
      <c r="J471" s="3">
        <v>70310696.540000007</v>
      </c>
      <c r="K471" s="3">
        <v>5080.04</v>
      </c>
      <c r="L471" s="3">
        <v>0</v>
      </c>
      <c r="M471" t="s">
        <v>29</v>
      </c>
      <c r="N471" t="s">
        <v>42</v>
      </c>
      <c r="O471" s="4">
        <v>0.25679275470878438</v>
      </c>
      <c r="P471" s="4">
        <v>0.74320724529121551</v>
      </c>
      <c r="Q471" t="s">
        <v>492</v>
      </c>
      <c r="R471" s="4">
        <v>1.284640324206135E-5</v>
      </c>
      <c r="S471" s="3">
        <v>16736839.76</v>
      </c>
      <c r="T471" s="4">
        <v>0.21373614168239211</v>
      </c>
    </row>
    <row r="472" spans="1:20" x14ac:dyDescent="0.4">
      <c r="A472" s="2">
        <v>45905</v>
      </c>
      <c r="B472" t="s">
        <v>27</v>
      </c>
      <c r="C472" t="s">
        <v>28</v>
      </c>
      <c r="D472" s="3" t="str">
        <f t="shared" si="51"/>
        <v>PASS</v>
      </c>
      <c r="E472" s="3" t="str">
        <f t="shared" si="52"/>
        <v>PASS</v>
      </c>
      <c r="F472" s="3" t="str">
        <f t="shared" si="53"/>
        <v>PASS</v>
      </c>
      <c r="G472" s="3" t="str">
        <f t="shared" si="54"/>
        <v>FAIL</v>
      </c>
      <c r="H472" s="3">
        <v>54959694.020000003</v>
      </c>
      <c r="I472" s="4">
        <v>0</v>
      </c>
      <c r="J472" s="3">
        <v>50345916.289999999</v>
      </c>
      <c r="K472" s="3">
        <v>10973.4</v>
      </c>
      <c r="L472" s="3">
        <v>0</v>
      </c>
      <c r="M472" t="s">
        <v>29</v>
      </c>
      <c r="N472" t="s">
        <v>493</v>
      </c>
      <c r="O472" s="4">
        <v>0.2527774508401941</v>
      </c>
      <c r="P472" s="4">
        <v>0.7472225491598059</v>
      </c>
      <c r="Q472" t="s">
        <v>494</v>
      </c>
      <c r="R472" s="4">
        <v>7.5731064885164513E-5</v>
      </c>
      <c r="S472" s="3">
        <v>9155136.4199999981</v>
      </c>
      <c r="T472" s="4">
        <v>0.16657910098022771</v>
      </c>
    </row>
    <row r="473" spans="1:20" x14ac:dyDescent="0.4">
      <c r="A473" s="2">
        <v>45905</v>
      </c>
      <c r="B473" t="s">
        <v>30</v>
      </c>
      <c r="C473" t="s">
        <v>28</v>
      </c>
      <c r="D473" s="3" t="str">
        <f t="shared" si="51"/>
        <v>PASS</v>
      </c>
      <c r="E473" s="3" t="str">
        <f t="shared" si="52"/>
        <v>PASS</v>
      </c>
      <c r="F473" s="3" t="str">
        <f t="shared" si="53"/>
        <v>PASS</v>
      </c>
      <c r="G473" s="3" t="str">
        <f t="shared" si="54"/>
        <v>FAIL</v>
      </c>
      <c r="H473" s="3">
        <v>34307534.68</v>
      </c>
      <c r="I473" s="4">
        <v>0</v>
      </c>
      <c r="J473" s="3">
        <v>32069350.719999999</v>
      </c>
      <c r="K473" s="3">
        <v>7010.19</v>
      </c>
      <c r="L473" s="3">
        <v>0</v>
      </c>
      <c r="M473" t="s">
        <v>29</v>
      </c>
      <c r="N473" t="s">
        <v>42</v>
      </c>
      <c r="O473" s="4">
        <v>0.25414171964875998</v>
      </c>
      <c r="P473" s="4">
        <v>0.74585828035123991</v>
      </c>
      <c r="Q473" t="s">
        <v>495</v>
      </c>
      <c r="R473" s="4">
        <v>5.8977251997558032E-6</v>
      </c>
      <c r="S473" s="3">
        <v>4202768.87</v>
      </c>
      <c r="T473" s="4">
        <v>0.1225027944794312</v>
      </c>
    </row>
    <row r="474" spans="1:20" x14ac:dyDescent="0.4">
      <c r="A474" s="2">
        <v>45905</v>
      </c>
      <c r="B474" t="s">
        <v>31</v>
      </c>
      <c r="C474" t="s">
        <v>28</v>
      </c>
      <c r="D474" s="3" t="str">
        <f t="shared" si="51"/>
        <v>PASS</v>
      </c>
      <c r="E474" s="3" t="str">
        <f t="shared" si="52"/>
        <v>PASS</v>
      </c>
      <c r="F474" s="3" t="str">
        <f t="shared" si="53"/>
        <v>PASS</v>
      </c>
      <c r="G474" s="3" t="str">
        <f t="shared" si="54"/>
        <v>FAIL</v>
      </c>
      <c r="H474" s="3">
        <v>23241617.07</v>
      </c>
      <c r="I474" s="4">
        <v>0</v>
      </c>
      <c r="J474" s="3">
        <v>21277425.41</v>
      </c>
      <c r="K474" s="3">
        <v>4650.78</v>
      </c>
      <c r="L474" s="3">
        <v>0</v>
      </c>
      <c r="M474" t="s">
        <v>29</v>
      </c>
      <c r="N474" t="s">
        <v>42</v>
      </c>
      <c r="O474" s="4">
        <v>0.25245377842920141</v>
      </c>
      <c r="P474" s="4">
        <v>0.74754622157079864</v>
      </c>
      <c r="Q474" t="s">
        <v>496</v>
      </c>
      <c r="R474" s="4">
        <v>3.8876710842287444E-6</v>
      </c>
      <c r="S474" s="3">
        <v>3661647.28</v>
      </c>
      <c r="T474" s="4">
        <v>0.15754701013151151</v>
      </c>
    </row>
    <row r="475" spans="1:20" x14ac:dyDescent="0.4">
      <c r="A475" s="2">
        <v>45905</v>
      </c>
      <c r="B475" t="s">
        <v>32</v>
      </c>
      <c r="C475" t="s">
        <v>28</v>
      </c>
      <c r="D475" s="3" t="str">
        <f t="shared" si="51"/>
        <v>PASS</v>
      </c>
      <c r="E475" s="3" t="str">
        <f t="shared" si="52"/>
        <v>PASS</v>
      </c>
      <c r="F475" s="3" t="str">
        <f t="shared" si="53"/>
        <v>PASS</v>
      </c>
      <c r="G475" s="3" t="str">
        <f t="shared" si="54"/>
        <v>FAIL</v>
      </c>
      <c r="H475" s="3">
        <v>24541645.77</v>
      </c>
      <c r="I475" s="4">
        <v>0</v>
      </c>
      <c r="J475" s="3">
        <v>20532134.710000001</v>
      </c>
      <c r="K475" s="3">
        <v>4484.67</v>
      </c>
      <c r="L475" s="3">
        <v>0</v>
      </c>
      <c r="M475" t="s">
        <v>29</v>
      </c>
      <c r="N475" t="s">
        <v>46</v>
      </c>
      <c r="O475" s="4">
        <v>0.28930578743509522</v>
      </c>
      <c r="P475" s="4">
        <v>0.71069421256490473</v>
      </c>
      <c r="Q475" t="s">
        <v>497</v>
      </c>
      <c r="R475" s="4">
        <v>3.7274648582303071E-6</v>
      </c>
      <c r="S475" s="3">
        <v>7767330.6000000006</v>
      </c>
      <c r="T475" s="4">
        <v>0.31649591363163088</v>
      </c>
    </row>
    <row r="476" spans="1:20" x14ac:dyDescent="0.4">
      <c r="A476" s="2">
        <v>45905</v>
      </c>
      <c r="B476" t="s">
        <v>33</v>
      </c>
      <c r="C476" t="s">
        <v>28</v>
      </c>
      <c r="D476" s="3" t="str">
        <f t="shared" si="51"/>
        <v>PASS</v>
      </c>
      <c r="E476" s="3" t="str">
        <f t="shared" si="52"/>
        <v>PASS</v>
      </c>
      <c r="F476" s="3" t="str">
        <f t="shared" si="53"/>
        <v>PASS</v>
      </c>
      <c r="G476" s="3" t="str">
        <f t="shared" si="54"/>
        <v>FAIL</v>
      </c>
      <c r="H476" s="3">
        <v>15236994.73</v>
      </c>
      <c r="I476" s="4">
        <v>0</v>
      </c>
      <c r="J476" s="3">
        <v>13553440.630000001</v>
      </c>
      <c r="K476" s="3">
        <v>2961.84</v>
      </c>
      <c r="L476" s="3">
        <v>0</v>
      </c>
      <c r="M476" t="s">
        <v>29</v>
      </c>
      <c r="N476" t="s">
        <v>42</v>
      </c>
      <c r="O476" s="4">
        <v>0.25176184285244468</v>
      </c>
      <c r="P476" s="4">
        <v>0.74823815714755526</v>
      </c>
      <c r="Q476" t="s">
        <v>498</v>
      </c>
      <c r="R476" s="4">
        <v>2.467175880375934E-6</v>
      </c>
      <c r="S476" s="3">
        <v>3977451.87</v>
      </c>
      <c r="T476" s="4">
        <v>0.26103913143507401</v>
      </c>
    </row>
    <row r="477" spans="1:20" x14ac:dyDescent="0.4">
      <c r="A477" s="2">
        <v>45905</v>
      </c>
      <c r="B477" t="s">
        <v>34</v>
      </c>
      <c r="C477" t="s">
        <v>28</v>
      </c>
      <c r="D477" s="3" t="str">
        <f t="shared" si="51"/>
        <v>PASS</v>
      </c>
      <c r="E477" s="3" t="str">
        <f t="shared" si="52"/>
        <v>PASS</v>
      </c>
      <c r="F477" s="3" t="str">
        <f t="shared" si="53"/>
        <v>PASS</v>
      </c>
      <c r="G477" s="3" t="str">
        <f t="shared" si="54"/>
        <v>FAIL</v>
      </c>
      <c r="H477" s="3">
        <v>165804046.66999999</v>
      </c>
      <c r="I477" s="4">
        <v>0</v>
      </c>
      <c r="J477" s="3">
        <v>141334758.84</v>
      </c>
      <c r="K477" s="3">
        <v>30864.27</v>
      </c>
      <c r="L477" s="3">
        <v>0</v>
      </c>
      <c r="M477" t="s">
        <v>29</v>
      </c>
      <c r="N477" t="s">
        <v>46</v>
      </c>
      <c r="O477" s="4">
        <v>0.28943613627493991</v>
      </c>
      <c r="P477" s="4">
        <v>0.7105638637250602</v>
      </c>
      <c r="Q477" t="s">
        <v>499</v>
      </c>
      <c r="R477" s="4">
        <v>2.569921473316265E-5</v>
      </c>
      <c r="S477" s="3">
        <v>46705908.100000001</v>
      </c>
      <c r="T477" s="4">
        <v>0.281693414835398</v>
      </c>
    </row>
    <row r="478" spans="1:20" x14ac:dyDescent="0.4">
      <c r="A478" s="2">
        <v>45905</v>
      </c>
      <c r="B478" t="s">
        <v>35</v>
      </c>
      <c r="C478" t="s">
        <v>28</v>
      </c>
      <c r="D478" s="3" t="str">
        <f t="shared" si="51"/>
        <v>PASS</v>
      </c>
      <c r="E478" s="3" t="str">
        <f t="shared" si="52"/>
        <v>PASS</v>
      </c>
      <c r="F478" s="3" t="str">
        <f t="shared" si="53"/>
        <v>PASS</v>
      </c>
      <c r="G478" s="3" t="str">
        <f t="shared" si="54"/>
        <v>FAIL</v>
      </c>
      <c r="H478" s="3">
        <v>134606911.09</v>
      </c>
      <c r="I478" s="4">
        <v>0</v>
      </c>
      <c r="J478" s="3">
        <v>119025714.45999999</v>
      </c>
      <c r="K478" s="3">
        <v>26012.82</v>
      </c>
      <c r="L478" s="3">
        <v>0</v>
      </c>
      <c r="M478" t="s">
        <v>29</v>
      </c>
      <c r="N478" t="s">
        <v>42</v>
      </c>
      <c r="O478" s="4">
        <v>0.25833589463840978</v>
      </c>
      <c r="P478" s="4">
        <v>0.74166410536159022</v>
      </c>
      <c r="Q478" t="s">
        <v>500</v>
      </c>
      <c r="R478" s="4">
        <v>2.2251576749676281E-5</v>
      </c>
      <c r="S478" s="3">
        <v>32549938.969999999</v>
      </c>
      <c r="T478" s="4">
        <v>0.24181476795226861</v>
      </c>
    </row>
    <row r="479" spans="1:20" x14ac:dyDescent="0.4">
      <c r="A479" s="2">
        <v>45905</v>
      </c>
      <c r="B479" t="s">
        <v>36</v>
      </c>
      <c r="C479" t="s">
        <v>28</v>
      </c>
      <c r="D479" s="3" t="str">
        <f t="shared" si="51"/>
        <v>PASS</v>
      </c>
      <c r="E479" s="3" t="str">
        <f t="shared" si="52"/>
        <v>PASS</v>
      </c>
      <c r="F479" s="3" t="str">
        <f t="shared" si="53"/>
        <v>PASS</v>
      </c>
      <c r="G479" s="3" t="str">
        <f t="shared" si="54"/>
        <v>FAIL</v>
      </c>
      <c r="H479" s="3">
        <v>100551804.95999999</v>
      </c>
      <c r="I479" s="4">
        <v>0</v>
      </c>
      <c r="J479" s="3">
        <v>91466423.620000005</v>
      </c>
      <c r="K479" s="3">
        <v>19980.84</v>
      </c>
      <c r="L479" s="3">
        <v>0</v>
      </c>
      <c r="M479" t="s">
        <v>29</v>
      </c>
      <c r="N479" t="s">
        <v>42</v>
      </c>
      <c r="O479" s="4">
        <v>0.250506643565649</v>
      </c>
      <c r="P479" s="4">
        <v>0.749493356434351</v>
      </c>
      <c r="Q479" t="s">
        <v>501</v>
      </c>
      <c r="R479" s="4">
        <v>1.6580276349331599E-5</v>
      </c>
      <c r="S479" s="3">
        <v>16984343.809999999</v>
      </c>
      <c r="T479" s="4">
        <v>0.16891137674511619</v>
      </c>
    </row>
    <row r="480" spans="1:20" x14ac:dyDescent="0.4">
      <c r="A480" s="2">
        <v>45905</v>
      </c>
      <c r="B480" t="s">
        <v>37</v>
      </c>
      <c r="C480" t="s">
        <v>28</v>
      </c>
      <c r="D480" s="3" t="str">
        <f t="shared" si="51"/>
        <v>PASS</v>
      </c>
      <c r="E480" s="3" t="str">
        <f t="shared" si="52"/>
        <v>PASS</v>
      </c>
      <c r="F480" s="3" t="str">
        <f t="shared" si="53"/>
        <v>PASS</v>
      </c>
      <c r="G480" s="3" t="str">
        <f t="shared" si="54"/>
        <v>FAIL</v>
      </c>
      <c r="H480" s="3">
        <v>40032541.740000002</v>
      </c>
      <c r="I480" s="4">
        <v>0</v>
      </c>
      <c r="J480" s="3">
        <v>34736744.479999997</v>
      </c>
      <c r="K480" s="3">
        <v>7587.39</v>
      </c>
      <c r="L480" s="3">
        <v>0</v>
      </c>
      <c r="M480" t="s">
        <v>29</v>
      </c>
      <c r="N480" t="s">
        <v>42</v>
      </c>
      <c r="O480" s="4">
        <v>0.25007422486011849</v>
      </c>
      <c r="P480" s="4">
        <v>0.74992577513988146</v>
      </c>
      <c r="Q480" t="s">
        <v>502</v>
      </c>
      <c r="R480" s="4">
        <v>6.2822201421520528E-6</v>
      </c>
      <c r="S480" s="3">
        <v>10505470.939999999</v>
      </c>
      <c r="T480" s="4">
        <v>0.2624232807457007</v>
      </c>
    </row>
    <row r="481" spans="1:20" x14ac:dyDescent="0.4">
      <c r="A481" s="2">
        <v>45905</v>
      </c>
      <c r="B481" t="s">
        <v>38</v>
      </c>
      <c r="C481" t="s">
        <v>28</v>
      </c>
      <c r="D481" s="3" t="str">
        <f t="shared" si="51"/>
        <v>PASS</v>
      </c>
      <c r="E481" s="3" t="str">
        <f t="shared" si="52"/>
        <v>PASS</v>
      </c>
      <c r="F481" s="3" t="str">
        <f t="shared" si="53"/>
        <v>PASS</v>
      </c>
      <c r="G481" s="3" t="str">
        <f t="shared" si="54"/>
        <v>FAIL</v>
      </c>
      <c r="H481" s="3">
        <v>43080100.75</v>
      </c>
      <c r="I481" s="4">
        <v>0</v>
      </c>
      <c r="J481" s="3">
        <v>36638832.869999997</v>
      </c>
      <c r="K481" s="3">
        <v>8005.74</v>
      </c>
      <c r="L481" s="3">
        <v>0</v>
      </c>
      <c r="M481" t="s">
        <v>29</v>
      </c>
      <c r="N481" t="s">
        <v>42</v>
      </c>
      <c r="O481" s="4">
        <v>0.25778249851767182</v>
      </c>
      <c r="P481" s="4">
        <v>0.74221750148232823</v>
      </c>
      <c r="Q481" t="s">
        <v>503</v>
      </c>
      <c r="R481" s="4">
        <v>6.8311934765733638E-6</v>
      </c>
      <c r="S481" s="3">
        <v>14265305.68</v>
      </c>
      <c r="T481" s="4">
        <v>0.33113445492580468</v>
      </c>
    </row>
    <row r="482" spans="1:20" x14ac:dyDescent="0.4">
      <c r="A482" s="2">
        <v>45905</v>
      </c>
      <c r="B482" t="s">
        <v>39</v>
      </c>
      <c r="C482" t="s">
        <v>28</v>
      </c>
      <c r="D482" s="3" t="str">
        <f t="shared" si="51"/>
        <v>PASS</v>
      </c>
      <c r="E482" s="3" t="str">
        <f t="shared" si="52"/>
        <v>PASS</v>
      </c>
      <c r="F482" s="3" t="str">
        <f t="shared" si="53"/>
        <v>PASS</v>
      </c>
      <c r="G482" s="3" t="str">
        <f t="shared" si="54"/>
        <v>FAIL</v>
      </c>
      <c r="H482" s="3">
        <v>78117396.109999999</v>
      </c>
      <c r="I482" s="4">
        <v>0</v>
      </c>
      <c r="J482" s="3">
        <v>70106696.760000005</v>
      </c>
      <c r="K482" s="3">
        <v>15314.25</v>
      </c>
      <c r="L482" s="3">
        <v>0</v>
      </c>
      <c r="M482" t="s">
        <v>29</v>
      </c>
      <c r="N482" t="s">
        <v>42</v>
      </c>
      <c r="O482" s="4">
        <v>0.25337502950410012</v>
      </c>
      <c r="P482" s="4">
        <v>0.74662497049589993</v>
      </c>
      <c r="Q482" t="s">
        <v>504</v>
      </c>
      <c r="R482" s="4">
        <v>1.284640324206135E-5</v>
      </c>
      <c r="S482" s="3">
        <v>16718888.380000001</v>
      </c>
      <c r="T482" s="4">
        <v>0.21402260203933979</v>
      </c>
    </row>
    <row r="483" spans="1:20" x14ac:dyDescent="0.4">
      <c r="A483" s="2">
        <v>45908</v>
      </c>
      <c r="B483" t="s">
        <v>27</v>
      </c>
      <c r="C483" t="s">
        <v>28</v>
      </c>
      <c r="D483" s="3" t="str">
        <f t="shared" si="51"/>
        <v>PASS</v>
      </c>
      <c r="E483" s="3" t="str">
        <f t="shared" si="52"/>
        <v>PASS</v>
      </c>
      <c r="F483" s="3" t="str">
        <f t="shared" si="53"/>
        <v>PASS</v>
      </c>
      <c r="G483" s="3" t="str">
        <f t="shared" si="54"/>
        <v>FAIL</v>
      </c>
      <c r="H483" s="3">
        <v>54867418.32</v>
      </c>
      <c r="I483" s="4">
        <v>0</v>
      </c>
      <c r="J483" s="3">
        <v>50283266.640000001</v>
      </c>
      <c r="K483" s="3">
        <v>3655.93</v>
      </c>
      <c r="L483" s="3">
        <v>0</v>
      </c>
      <c r="M483" t="s">
        <v>29</v>
      </c>
      <c r="N483" t="s">
        <v>505</v>
      </c>
      <c r="O483" s="4">
        <v>0.25413598288052669</v>
      </c>
      <c r="P483" s="4">
        <v>0.74586401711947325</v>
      </c>
      <c r="Q483" t="s">
        <v>506</v>
      </c>
      <c r="R483" s="4">
        <v>7.5825009453172159E-5</v>
      </c>
      <c r="S483" s="3">
        <v>9042807.2200000007</v>
      </c>
      <c r="T483" s="4">
        <v>0.16481196850305899</v>
      </c>
    </row>
    <row r="484" spans="1:20" x14ac:dyDescent="0.4">
      <c r="A484" s="2">
        <v>45908</v>
      </c>
      <c r="B484" t="s">
        <v>30</v>
      </c>
      <c r="C484" t="s">
        <v>28</v>
      </c>
      <c r="D484" s="3" t="str">
        <f t="shared" si="51"/>
        <v>PASS</v>
      </c>
      <c r="E484" s="3" t="str">
        <f t="shared" si="52"/>
        <v>PASS</v>
      </c>
      <c r="F484" s="3" t="str">
        <f t="shared" si="53"/>
        <v>PASS</v>
      </c>
      <c r="G484" s="3" t="str">
        <f t="shared" si="54"/>
        <v>FAIL</v>
      </c>
      <c r="H484" s="3">
        <v>34350870.149999999</v>
      </c>
      <c r="I484" s="4">
        <v>0</v>
      </c>
      <c r="J484" s="3">
        <v>32106375.82</v>
      </c>
      <c r="K484" s="3">
        <v>2328.3200000000002</v>
      </c>
      <c r="L484" s="3">
        <v>0</v>
      </c>
      <c r="M484" t="s">
        <v>29</v>
      </c>
      <c r="N484" t="s">
        <v>42</v>
      </c>
      <c r="O484" s="4">
        <v>0.25322634873461708</v>
      </c>
      <c r="P484" s="4">
        <v>0.74677365126538287</v>
      </c>
      <c r="Q484" t="s">
        <v>507</v>
      </c>
      <c r="R484" s="4">
        <v>5.8635478715428028E-6</v>
      </c>
      <c r="S484" s="3">
        <v>4242169.6800000006</v>
      </c>
      <c r="T484" s="4">
        <v>0.12349526115279499</v>
      </c>
    </row>
    <row r="485" spans="1:20" x14ac:dyDescent="0.4">
      <c r="A485" s="2">
        <v>45908</v>
      </c>
      <c r="B485" t="s">
        <v>31</v>
      </c>
      <c r="C485" t="s">
        <v>28</v>
      </c>
      <c r="D485" s="3" t="str">
        <f t="shared" si="51"/>
        <v>PASS</v>
      </c>
      <c r="E485" s="3" t="str">
        <f t="shared" si="52"/>
        <v>PASS</v>
      </c>
      <c r="F485" s="3" t="str">
        <f t="shared" si="53"/>
        <v>PASS</v>
      </c>
      <c r="G485" s="3" t="str">
        <f t="shared" si="54"/>
        <v>FAIL</v>
      </c>
      <c r="H485" s="3">
        <v>23266703.879999999</v>
      </c>
      <c r="I485" s="4">
        <v>0</v>
      </c>
      <c r="J485" s="3">
        <v>21297445.039999999</v>
      </c>
      <c r="K485" s="3">
        <v>1545.51</v>
      </c>
      <c r="L485" s="3">
        <v>0</v>
      </c>
      <c r="M485" t="s">
        <v>29</v>
      </c>
      <c r="N485" t="s">
        <v>42</v>
      </c>
      <c r="O485" s="4">
        <v>0.25164755067728067</v>
      </c>
      <c r="P485" s="4">
        <v>0.74835244932271927</v>
      </c>
      <c r="Q485" t="s">
        <v>508</v>
      </c>
      <c r="R485" s="4">
        <v>3.8663102540956189E-6</v>
      </c>
      <c r="S485" s="3">
        <v>3681623.1</v>
      </c>
      <c r="T485" s="4">
        <v>0.1582356967702982</v>
      </c>
    </row>
    <row r="486" spans="1:20" x14ac:dyDescent="0.4">
      <c r="A486" s="2">
        <v>45908</v>
      </c>
      <c r="B486" t="s">
        <v>32</v>
      </c>
      <c r="C486" t="s">
        <v>28</v>
      </c>
      <c r="D486" s="3" t="str">
        <f t="shared" si="51"/>
        <v>PASS</v>
      </c>
      <c r="E486" s="3" t="str">
        <f t="shared" si="52"/>
        <v>PASS</v>
      </c>
      <c r="F486" s="3" t="str">
        <f t="shared" si="53"/>
        <v>PASS</v>
      </c>
      <c r="G486" s="3" t="str">
        <f t="shared" si="54"/>
        <v>FAIL</v>
      </c>
      <c r="H486" s="3">
        <v>24566256.050000001</v>
      </c>
      <c r="I486" s="4">
        <v>0</v>
      </c>
      <c r="J486" s="3">
        <v>20552943.420000002</v>
      </c>
      <c r="K486" s="3">
        <v>1491.24</v>
      </c>
      <c r="L486" s="3">
        <v>0</v>
      </c>
      <c r="M486" t="s">
        <v>29</v>
      </c>
      <c r="N486" t="s">
        <v>46</v>
      </c>
      <c r="O486" s="4">
        <v>0.2903736690187414</v>
      </c>
      <c r="P486" s="4">
        <v>0.7096263309812586</v>
      </c>
      <c r="Q486" t="s">
        <v>509</v>
      </c>
      <c r="R486" s="4">
        <v>3.706104028097182E-6</v>
      </c>
      <c r="S486" s="3">
        <v>7783739.6099999994</v>
      </c>
      <c r="T486" s="4">
        <v>0.3168467996978318</v>
      </c>
    </row>
    <row r="487" spans="1:20" x14ac:dyDescent="0.4">
      <c r="A487" s="2">
        <v>45908</v>
      </c>
      <c r="B487" t="s">
        <v>33</v>
      </c>
      <c r="C487" t="s">
        <v>28</v>
      </c>
      <c r="D487" s="3" t="str">
        <f t="shared" si="51"/>
        <v>PASS</v>
      </c>
      <c r="E487" s="3" t="str">
        <f t="shared" si="52"/>
        <v>PASS</v>
      </c>
      <c r="F487" s="3" t="str">
        <f t="shared" si="53"/>
        <v>PASS</v>
      </c>
      <c r="G487" s="3" t="str">
        <f t="shared" si="54"/>
        <v>FAIL</v>
      </c>
      <c r="H487" s="3">
        <v>15256672.24</v>
      </c>
      <c r="I487" s="4">
        <v>0</v>
      </c>
      <c r="J487" s="3">
        <v>13569213.460000001</v>
      </c>
      <c r="K487" s="3">
        <v>984.73</v>
      </c>
      <c r="L487" s="3">
        <v>0</v>
      </c>
      <c r="M487" t="s">
        <v>29</v>
      </c>
      <c r="N487" t="s">
        <v>42</v>
      </c>
      <c r="O487" s="4">
        <v>0.25116779760645019</v>
      </c>
      <c r="P487" s="4">
        <v>0.74883220239354986</v>
      </c>
      <c r="Q487" t="s">
        <v>510</v>
      </c>
      <c r="R487" s="4">
        <v>2.4564954653093708E-6</v>
      </c>
      <c r="S487" s="3">
        <v>3988491.25</v>
      </c>
      <c r="T487" s="4">
        <v>0.26142602969099371</v>
      </c>
    </row>
    <row r="488" spans="1:20" x14ac:dyDescent="0.4">
      <c r="A488" s="2">
        <v>45908</v>
      </c>
      <c r="B488" t="s">
        <v>34</v>
      </c>
      <c r="C488" t="s">
        <v>28</v>
      </c>
      <c r="D488" s="3" t="str">
        <f t="shared" si="51"/>
        <v>PASS</v>
      </c>
      <c r="E488" s="3" t="str">
        <f t="shared" si="52"/>
        <v>PASS</v>
      </c>
      <c r="F488" s="3" t="str">
        <f t="shared" si="53"/>
        <v>PASS</v>
      </c>
      <c r="G488" s="3" t="str">
        <f t="shared" si="54"/>
        <v>FAIL</v>
      </c>
      <c r="H488" s="3">
        <v>165961487.19999999</v>
      </c>
      <c r="I488" s="4">
        <v>0</v>
      </c>
      <c r="J488" s="3">
        <v>141460771.19999999</v>
      </c>
      <c r="K488" s="3">
        <v>10261.84</v>
      </c>
      <c r="L488" s="3">
        <v>0</v>
      </c>
      <c r="M488" t="s">
        <v>29</v>
      </c>
      <c r="N488" t="s">
        <v>46</v>
      </c>
      <c r="O488" s="4">
        <v>0.29062036832724408</v>
      </c>
      <c r="P488" s="4">
        <v>0.70937963167275586</v>
      </c>
      <c r="Q488" t="s">
        <v>511</v>
      </c>
      <c r="R488" s="4">
        <v>2.555823325428402E-5</v>
      </c>
      <c r="S488" s="3">
        <v>46847569.440000013</v>
      </c>
      <c r="T488" s="4">
        <v>0.28227976400057242</v>
      </c>
    </row>
    <row r="489" spans="1:20" x14ac:dyDescent="0.4">
      <c r="A489" s="2">
        <v>45908</v>
      </c>
      <c r="B489" t="s">
        <v>35</v>
      </c>
      <c r="C489" t="s">
        <v>28</v>
      </c>
      <c r="D489" s="3" t="str">
        <f t="shared" si="51"/>
        <v>PASS</v>
      </c>
      <c r="E489" s="3" t="str">
        <f t="shared" si="52"/>
        <v>PASS</v>
      </c>
      <c r="F489" s="3" t="str">
        <f t="shared" si="53"/>
        <v>PASS</v>
      </c>
      <c r="G489" s="3" t="str">
        <f t="shared" si="54"/>
        <v>FAIL</v>
      </c>
      <c r="H489" s="3">
        <v>134765805.72999999</v>
      </c>
      <c r="I489" s="4">
        <v>0</v>
      </c>
      <c r="J489" s="3">
        <v>119160168.40000001</v>
      </c>
      <c r="K489" s="3">
        <v>8642.14</v>
      </c>
      <c r="L489" s="3">
        <v>0</v>
      </c>
      <c r="M489" t="s">
        <v>29</v>
      </c>
      <c r="N489" t="s">
        <v>42</v>
      </c>
      <c r="O489" s="4">
        <v>0.25742253021186567</v>
      </c>
      <c r="P489" s="4">
        <v>0.74257746978813433</v>
      </c>
      <c r="Q489" t="s">
        <v>512</v>
      </c>
      <c r="R489" s="4">
        <v>2.212768393490415E-5</v>
      </c>
      <c r="S489" s="3">
        <v>32701553.550000001</v>
      </c>
      <c r="T489" s="4">
        <v>0.2426546806355076</v>
      </c>
    </row>
    <row r="490" spans="1:20" x14ac:dyDescent="0.4">
      <c r="A490" s="2">
        <v>45908</v>
      </c>
      <c r="B490" t="s">
        <v>36</v>
      </c>
      <c r="C490" t="s">
        <v>28</v>
      </c>
      <c r="D490" s="3" t="str">
        <f t="shared" si="51"/>
        <v>PASS</v>
      </c>
      <c r="E490" s="3" t="str">
        <f t="shared" si="52"/>
        <v>PASS</v>
      </c>
      <c r="F490" s="3" t="str">
        <f t="shared" si="53"/>
        <v>PASS</v>
      </c>
      <c r="G490" s="3" t="str">
        <f t="shared" si="54"/>
        <v>FAIL</v>
      </c>
      <c r="H490" s="3">
        <v>100646158.56999999</v>
      </c>
      <c r="I490" s="4">
        <v>0</v>
      </c>
      <c r="J490" s="3">
        <v>91543004.859999999</v>
      </c>
      <c r="K490" s="3">
        <v>6641.39</v>
      </c>
      <c r="L490" s="3">
        <v>0</v>
      </c>
      <c r="M490" t="s">
        <v>29</v>
      </c>
      <c r="N490" t="s">
        <v>42</v>
      </c>
      <c r="O490" s="4">
        <v>0.2497073768220634</v>
      </c>
      <c r="P490" s="4">
        <v>0.75029262317793666</v>
      </c>
      <c r="Q490" t="s">
        <v>513</v>
      </c>
      <c r="R490" s="4">
        <v>1.648842477975916E-5</v>
      </c>
      <c r="S490" s="3">
        <v>17032347.620000001</v>
      </c>
      <c r="T490" s="4">
        <v>0.16922998216721699</v>
      </c>
    </row>
    <row r="491" spans="1:20" x14ac:dyDescent="0.4">
      <c r="A491" s="2">
        <v>45908</v>
      </c>
      <c r="B491" t="s">
        <v>37</v>
      </c>
      <c r="C491" t="s">
        <v>28</v>
      </c>
      <c r="D491" s="3" t="str">
        <f t="shared" si="51"/>
        <v>PASS</v>
      </c>
      <c r="E491" s="3" t="str">
        <f t="shared" si="52"/>
        <v>PASS</v>
      </c>
      <c r="F491" s="3" t="str">
        <f t="shared" si="53"/>
        <v>PASS</v>
      </c>
      <c r="G491" s="3" t="str">
        <f t="shared" si="54"/>
        <v>FAIL</v>
      </c>
      <c r="H491" s="3">
        <v>40081618.530000001</v>
      </c>
      <c r="I491" s="4">
        <v>0</v>
      </c>
      <c r="J491" s="3">
        <v>34777593.710000001</v>
      </c>
      <c r="K491" s="3">
        <v>2522.66</v>
      </c>
      <c r="L491" s="3">
        <v>0</v>
      </c>
      <c r="M491" t="s">
        <v>29</v>
      </c>
      <c r="N491" t="s">
        <v>42</v>
      </c>
      <c r="O491" s="4">
        <v>0.2495362724737519</v>
      </c>
      <c r="P491" s="4">
        <v>0.75046372752624801</v>
      </c>
      <c r="Q491" t="s">
        <v>514</v>
      </c>
      <c r="R491" s="4">
        <v>6.2544510629789902E-6</v>
      </c>
      <c r="S491" s="3">
        <v>10530907.550000001</v>
      </c>
      <c r="T491" s="4">
        <v>0.26273658440509079</v>
      </c>
    </row>
    <row r="492" spans="1:20" x14ac:dyDescent="0.4">
      <c r="A492" s="2">
        <v>45908</v>
      </c>
      <c r="B492" t="s">
        <v>38</v>
      </c>
      <c r="C492" t="s">
        <v>28</v>
      </c>
      <c r="D492" s="3" t="str">
        <f t="shared" si="51"/>
        <v>PASS</v>
      </c>
      <c r="E492" s="3" t="str">
        <f t="shared" si="52"/>
        <v>PASS</v>
      </c>
      <c r="F492" s="3" t="str">
        <f t="shared" si="53"/>
        <v>PASS</v>
      </c>
      <c r="G492" s="3" t="str">
        <f t="shared" si="54"/>
        <v>FAIL</v>
      </c>
      <c r="H492" s="3">
        <v>43129366.549999997</v>
      </c>
      <c r="I492" s="4">
        <v>0</v>
      </c>
      <c r="J492" s="3">
        <v>36681765.939999998</v>
      </c>
      <c r="K492" s="3">
        <v>2660.63</v>
      </c>
      <c r="L492" s="3">
        <v>0</v>
      </c>
      <c r="M492" t="s">
        <v>29</v>
      </c>
      <c r="N492" t="s">
        <v>42</v>
      </c>
      <c r="O492" s="4">
        <v>0.25729146670412462</v>
      </c>
      <c r="P492" s="4">
        <v>0.74270853329587538</v>
      </c>
      <c r="Q492" t="s">
        <v>515</v>
      </c>
      <c r="R492" s="4">
        <v>6.8012883143869892E-6</v>
      </c>
      <c r="S492" s="3">
        <v>14319723.779999999</v>
      </c>
      <c r="T492" s="4">
        <v>0.33201794798908307</v>
      </c>
    </row>
    <row r="493" spans="1:20" x14ac:dyDescent="0.4">
      <c r="A493" s="2">
        <v>45908</v>
      </c>
      <c r="B493" t="s">
        <v>39</v>
      </c>
      <c r="C493" t="s">
        <v>28</v>
      </c>
      <c r="D493" s="3" t="str">
        <f t="shared" si="51"/>
        <v>PASS</v>
      </c>
      <c r="E493" s="3" t="str">
        <f t="shared" si="52"/>
        <v>PASS</v>
      </c>
      <c r="F493" s="3" t="str">
        <f t="shared" si="53"/>
        <v>PASS</v>
      </c>
      <c r="G493" s="3" t="str">
        <f t="shared" si="54"/>
        <v>FAIL</v>
      </c>
      <c r="H493" s="3">
        <v>78207257.170000002</v>
      </c>
      <c r="I493" s="4">
        <v>0</v>
      </c>
      <c r="J493" s="3">
        <v>70184267.120000005</v>
      </c>
      <c r="K493" s="3">
        <v>5089.9399999999996</v>
      </c>
      <c r="L493" s="3">
        <v>0</v>
      </c>
      <c r="M493" t="s">
        <v>29</v>
      </c>
      <c r="N493" t="s">
        <v>42</v>
      </c>
      <c r="O493" s="4">
        <v>0.25278639313374368</v>
      </c>
      <c r="P493" s="4">
        <v>0.74721360686625626</v>
      </c>
      <c r="Q493" t="s">
        <v>516</v>
      </c>
      <c r="R493" s="4">
        <v>1.2786592917688601E-5</v>
      </c>
      <c r="S493" s="3">
        <v>16780612.5</v>
      </c>
      <c r="T493" s="4">
        <v>0.21456592530183979</v>
      </c>
    </row>
    <row r="494" spans="1:20" x14ac:dyDescent="0.4">
      <c r="A494" s="2">
        <v>45909</v>
      </c>
      <c r="B494" t="s">
        <v>27</v>
      </c>
      <c r="C494" t="s">
        <v>28</v>
      </c>
      <c r="D494" s="3" t="str">
        <f t="shared" si="51"/>
        <v>PASS</v>
      </c>
      <c r="E494" s="3" t="str">
        <f t="shared" si="52"/>
        <v>PASS</v>
      </c>
      <c r="F494" s="3" t="str">
        <f t="shared" si="53"/>
        <v>PASS</v>
      </c>
      <c r="G494" s="3" t="str">
        <f t="shared" si="54"/>
        <v>FAIL</v>
      </c>
      <c r="H494" s="3">
        <v>54645769.890000001</v>
      </c>
      <c r="I494" s="4">
        <v>0</v>
      </c>
      <c r="J494" s="3">
        <v>50057967.509999998</v>
      </c>
      <c r="K494" s="3">
        <v>3651.38</v>
      </c>
      <c r="L494" s="3">
        <v>0</v>
      </c>
      <c r="M494" t="s">
        <v>29</v>
      </c>
      <c r="N494" t="s">
        <v>517</v>
      </c>
      <c r="O494" s="4">
        <v>0.25501691868431992</v>
      </c>
      <c r="P494" s="4">
        <v>0.74498308131568014</v>
      </c>
      <c r="Q494" t="s">
        <v>518</v>
      </c>
      <c r="R494" s="4">
        <v>7.5825009453172159E-5</v>
      </c>
      <c r="S494" s="3">
        <v>9060633.6100000013</v>
      </c>
      <c r="T494" s="4">
        <v>0.16580667869148399</v>
      </c>
    </row>
    <row r="495" spans="1:20" x14ac:dyDescent="0.4">
      <c r="A495" s="2">
        <v>45909</v>
      </c>
      <c r="B495" t="s">
        <v>30</v>
      </c>
      <c r="C495" t="s">
        <v>28</v>
      </c>
      <c r="D495" s="3" t="str">
        <f t="shared" si="51"/>
        <v>PASS</v>
      </c>
      <c r="E495" s="3" t="str">
        <f t="shared" si="52"/>
        <v>PASS</v>
      </c>
      <c r="F495" s="3" t="str">
        <f t="shared" si="53"/>
        <v>PASS</v>
      </c>
      <c r="G495" s="3" t="str">
        <f t="shared" si="54"/>
        <v>FAIL</v>
      </c>
      <c r="H495" s="3">
        <v>34450155.329999998</v>
      </c>
      <c r="I495" s="4">
        <v>0</v>
      </c>
      <c r="J495" s="3">
        <v>32203329.989999998</v>
      </c>
      <c r="K495" s="3">
        <v>2331.0100000000002</v>
      </c>
      <c r="L495" s="3">
        <v>0</v>
      </c>
      <c r="M495" t="s">
        <v>29</v>
      </c>
      <c r="N495" t="s">
        <v>42</v>
      </c>
      <c r="O495" s="4">
        <v>0.25289814042612929</v>
      </c>
      <c r="P495" s="4">
        <v>0.74710185957387076</v>
      </c>
      <c r="Q495" t="s">
        <v>519</v>
      </c>
      <c r="R495" s="4">
        <v>5.8635478715428028E-6</v>
      </c>
      <c r="S495" s="3">
        <v>4266362.3899999997</v>
      </c>
      <c r="T495" s="4">
        <v>0.1238416009777684</v>
      </c>
    </row>
    <row r="496" spans="1:20" x14ac:dyDescent="0.4">
      <c r="A496" s="2">
        <v>45909</v>
      </c>
      <c r="B496" t="s">
        <v>31</v>
      </c>
      <c r="C496" t="s">
        <v>28</v>
      </c>
      <c r="D496" s="3" t="str">
        <f t="shared" si="51"/>
        <v>PASS</v>
      </c>
      <c r="E496" s="3" t="str">
        <f t="shared" si="52"/>
        <v>PASS</v>
      </c>
      <c r="F496" s="3" t="str">
        <f t="shared" si="53"/>
        <v>PASS</v>
      </c>
      <c r="G496" s="3" t="str">
        <f t="shared" si="54"/>
        <v>FAIL</v>
      </c>
      <c r="H496" s="3">
        <v>23325897.699999999</v>
      </c>
      <c r="I496" s="4">
        <v>0</v>
      </c>
      <c r="J496" s="3">
        <v>21355092.609999999</v>
      </c>
      <c r="K496" s="3">
        <v>1546.96</v>
      </c>
      <c r="L496" s="3">
        <v>0</v>
      </c>
      <c r="M496" t="s">
        <v>29</v>
      </c>
      <c r="N496" t="s">
        <v>42</v>
      </c>
      <c r="O496" s="4">
        <v>0.25141564815719147</v>
      </c>
      <c r="P496" s="4">
        <v>0.74858435184280858</v>
      </c>
      <c r="Q496" t="s">
        <v>520</v>
      </c>
      <c r="R496" s="4">
        <v>3.8663102540956189E-6</v>
      </c>
      <c r="S496" s="3">
        <v>3694577.77</v>
      </c>
      <c r="T496" s="4">
        <v>0.15838952127445879</v>
      </c>
    </row>
    <row r="497" spans="1:20" x14ac:dyDescent="0.4">
      <c r="A497" s="2">
        <v>45909</v>
      </c>
      <c r="B497" t="s">
        <v>32</v>
      </c>
      <c r="C497" t="s">
        <v>28</v>
      </c>
      <c r="D497" s="3" t="str">
        <f t="shared" si="51"/>
        <v>PASS</v>
      </c>
      <c r="E497" s="3" t="str">
        <f t="shared" si="52"/>
        <v>PASS</v>
      </c>
      <c r="F497" s="3" t="str">
        <f t="shared" si="53"/>
        <v>PASS</v>
      </c>
      <c r="G497" s="3" t="str">
        <f t="shared" si="54"/>
        <v>FAIL</v>
      </c>
      <c r="H497" s="3">
        <v>24610112.890000001</v>
      </c>
      <c r="I497" s="4">
        <v>0</v>
      </c>
      <c r="J497" s="3">
        <v>20595308.059999999</v>
      </c>
      <c r="K497" s="3">
        <v>1492.75</v>
      </c>
      <c r="L497" s="3">
        <v>0</v>
      </c>
      <c r="M497" t="s">
        <v>29</v>
      </c>
      <c r="N497" t="s">
        <v>46</v>
      </c>
      <c r="O497" s="4">
        <v>0.28938153499025637</v>
      </c>
      <c r="P497" s="4">
        <v>0.71061846500974357</v>
      </c>
      <c r="Q497" t="s">
        <v>521</v>
      </c>
      <c r="R497" s="4">
        <v>3.706104028097182E-6</v>
      </c>
      <c r="S497" s="3">
        <v>7790273.5800000001</v>
      </c>
      <c r="T497" s="4">
        <v>0.31654765725050682</v>
      </c>
    </row>
    <row r="498" spans="1:20" x14ac:dyDescent="0.4">
      <c r="A498" s="2">
        <v>45909</v>
      </c>
      <c r="B498" t="s">
        <v>33</v>
      </c>
      <c r="C498" t="s">
        <v>28</v>
      </c>
      <c r="D498" s="3" t="str">
        <f t="shared" si="51"/>
        <v>PASS</v>
      </c>
      <c r="E498" s="3" t="str">
        <f t="shared" si="52"/>
        <v>PASS</v>
      </c>
      <c r="F498" s="3" t="str">
        <f t="shared" si="53"/>
        <v>PASS</v>
      </c>
      <c r="G498" s="3" t="str">
        <f t="shared" si="54"/>
        <v>FAIL</v>
      </c>
      <c r="H498" s="3">
        <v>15291904.27</v>
      </c>
      <c r="I498" s="4">
        <v>0</v>
      </c>
      <c r="J498" s="3">
        <v>13603460.33</v>
      </c>
      <c r="K498" s="3">
        <v>985.87</v>
      </c>
      <c r="L498" s="3">
        <v>0</v>
      </c>
      <c r="M498" t="s">
        <v>29</v>
      </c>
      <c r="N498" t="s">
        <v>42</v>
      </c>
      <c r="O498" s="4">
        <v>0.25099325077386392</v>
      </c>
      <c r="P498" s="4">
        <v>0.74900674922613608</v>
      </c>
      <c r="Q498" t="s">
        <v>522</v>
      </c>
      <c r="R498" s="4">
        <v>2.4564954653093708E-6</v>
      </c>
      <c r="S498" s="3">
        <v>4011037.25</v>
      </c>
      <c r="T498" s="4">
        <v>0.26229808787574888</v>
      </c>
    </row>
    <row r="499" spans="1:20" x14ac:dyDescent="0.4">
      <c r="A499" s="2">
        <v>45909</v>
      </c>
      <c r="B499" t="s">
        <v>34</v>
      </c>
      <c r="C499" t="s">
        <v>28</v>
      </c>
      <c r="D499" s="3" t="str">
        <f t="shared" si="51"/>
        <v>PASS</v>
      </c>
      <c r="E499" s="3" t="str">
        <f t="shared" si="52"/>
        <v>PASS</v>
      </c>
      <c r="F499" s="3" t="str">
        <f t="shared" si="53"/>
        <v>PASS</v>
      </c>
      <c r="G499" s="3" t="str">
        <f t="shared" si="54"/>
        <v>FAIL</v>
      </c>
      <c r="H499" s="3">
        <v>166281307.13</v>
      </c>
      <c r="I499" s="4">
        <v>0</v>
      </c>
      <c r="J499" s="3">
        <v>141770320.69</v>
      </c>
      <c r="K499" s="3">
        <v>10270.99</v>
      </c>
      <c r="L499" s="3">
        <v>0</v>
      </c>
      <c r="M499" t="s">
        <v>29</v>
      </c>
      <c r="N499" t="s">
        <v>46</v>
      </c>
      <c r="O499" s="4">
        <v>0.28960848342706808</v>
      </c>
      <c r="P499" s="4">
        <v>0.71039151657293198</v>
      </c>
      <c r="Q499" t="s">
        <v>523</v>
      </c>
      <c r="R499" s="4">
        <v>2.555823325428402E-5</v>
      </c>
      <c r="S499" s="3">
        <v>47096568.859999999</v>
      </c>
      <c r="T499" s="4">
        <v>0.28323429538101691</v>
      </c>
    </row>
    <row r="500" spans="1:20" x14ac:dyDescent="0.4">
      <c r="A500" s="2">
        <v>45909</v>
      </c>
      <c r="B500" t="s">
        <v>35</v>
      </c>
      <c r="C500" t="s">
        <v>28</v>
      </c>
      <c r="D500" s="3" t="str">
        <f t="shared" si="51"/>
        <v>PASS</v>
      </c>
      <c r="E500" s="3" t="str">
        <f t="shared" si="52"/>
        <v>PASS</v>
      </c>
      <c r="F500" s="3" t="str">
        <f t="shared" si="53"/>
        <v>PASS</v>
      </c>
      <c r="G500" s="3" t="str">
        <f t="shared" si="54"/>
        <v>FAIL</v>
      </c>
      <c r="H500" s="3">
        <v>135116079.05000001</v>
      </c>
      <c r="I500" s="4">
        <v>0</v>
      </c>
      <c r="J500" s="3">
        <v>119501790.37</v>
      </c>
      <c r="K500" s="3">
        <v>8651.9</v>
      </c>
      <c r="L500" s="3">
        <v>0</v>
      </c>
      <c r="M500" t="s">
        <v>29</v>
      </c>
      <c r="N500" t="s">
        <v>42</v>
      </c>
      <c r="O500" s="4">
        <v>0.25712940663785971</v>
      </c>
      <c r="P500" s="4">
        <v>0.74287059336214023</v>
      </c>
      <c r="Q500" t="s">
        <v>524</v>
      </c>
      <c r="R500" s="4">
        <v>2.212768393490415E-5</v>
      </c>
      <c r="S500" s="3">
        <v>32988154.449999999</v>
      </c>
      <c r="T500" s="4">
        <v>0.24414677129427839</v>
      </c>
    </row>
    <row r="501" spans="1:20" x14ac:dyDescent="0.4">
      <c r="A501" s="2">
        <v>45909</v>
      </c>
      <c r="B501" t="s">
        <v>36</v>
      </c>
      <c r="C501" t="s">
        <v>28</v>
      </c>
      <c r="D501" s="3" t="str">
        <f t="shared" si="51"/>
        <v>PASS</v>
      </c>
      <c r="E501" s="3" t="str">
        <f t="shared" si="52"/>
        <v>PASS</v>
      </c>
      <c r="F501" s="3" t="str">
        <f t="shared" si="53"/>
        <v>PASS</v>
      </c>
      <c r="G501" s="3" t="str">
        <f t="shared" si="54"/>
        <v>FAIL</v>
      </c>
      <c r="H501" s="3">
        <v>100879756.08</v>
      </c>
      <c r="I501" s="4">
        <v>0</v>
      </c>
      <c r="J501" s="3">
        <v>91769956.099999994</v>
      </c>
      <c r="K501" s="3">
        <v>6646.95</v>
      </c>
      <c r="L501" s="3">
        <v>0</v>
      </c>
      <c r="M501" t="s">
        <v>29</v>
      </c>
      <c r="N501" t="s">
        <v>42</v>
      </c>
      <c r="O501" s="4">
        <v>0.2495195107759238</v>
      </c>
      <c r="P501" s="4">
        <v>0.75048048922407617</v>
      </c>
      <c r="Q501" t="s">
        <v>525</v>
      </c>
      <c r="R501" s="4">
        <v>1.648842477975916E-5</v>
      </c>
      <c r="S501" s="3">
        <v>17058814.079999998</v>
      </c>
      <c r="T501" s="4">
        <v>0.1691004691414198</v>
      </c>
    </row>
    <row r="502" spans="1:20" x14ac:dyDescent="0.4">
      <c r="A502" s="2">
        <v>45909</v>
      </c>
      <c r="B502" t="s">
        <v>37</v>
      </c>
      <c r="C502" t="s">
        <v>28</v>
      </c>
      <c r="D502" s="3" t="str">
        <f t="shared" si="51"/>
        <v>PASS</v>
      </c>
      <c r="E502" s="3" t="str">
        <f t="shared" si="52"/>
        <v>PASS</v>
      </c>
      <c r="F502" s="3" t="str">
        <f t="shared" si="53"/>
        <v>PASS</v>
      </c>
      <c r="G502" s="3" t="str">
        <f t="shared" si="54"/>
        <v>FAIL</v>
      </c>
      <c r="H502" s="3">
        <v>40161171.240000002</v>
      </c>
      <c r="I502" s="4">
        <v>0</v>
      </c>
      <c r="J502" s="3">
        <v>34854621.469999999</v>
      </c>
      <c r="K502" s="3">
        <v>2525.63</v>
      </c>
      <c r="L502" s="3">
        <v>0</v>
      </c>
      <c r="M502" t="s">
        <v>29</v>
      </c>
      <c r="N502" t="s">
        <v>42</v>
      </c>
      <c r="O502" s="4">
        <v>0.2494537078098413</v>
      </c>
      <c r="P502" s="4">
        <v>0.75054629219015867</v>
      </c>
      <c r="Q502" t="s">
        <v>526</v>
      </c>
      <c r="R502" s="4">
        <v>6.2544510629789902E-6</v>
      </c>
      <c r="S502" s="3">
        <v>10560783.199999999</v>
      </c>
      <c r="T502" s="4">
        <v>0.26296004010663898</v>
      </c>
    </row>
    <row r="503" spans="1:20" x14ac:dyDescent="0.4">
      <c r="A503" s="2">
        <v>45909</v>
      </c>
      <c r="B503" t="s">
        <v>38</v>
      </c>
      <c r="C503" t="s">
        <v>28</v>
      </c>
      <c r="D503" s="3" t="str">
        <f t="shared" si="51"/>
        <v>PASS</v>
      </c>
      <c r="E503" s="3" t="str">
        <f t="shared" si="52"/>
        <v>PASS</v>
      </c>
      <c r="F503" s="3" t="str">
        <f t="shared" si="53"/>
        <v>PASS</v>
      </c>
      <c r="G503" s="3" t="str">
        <f t="shared" si="54"/>
        <v>FAIL</v>
      </c>
      <c r="H503" s="3">
        <v>43231803.119999997</v>
      </c>
      <c r="I503" s="4">
        <v>0</v>
      </c>
      <c r="J503" s="3">
        <v>36781539.310000002</v>
      </c>
      <c r="K503" s="3">
        <v>2663.75</v>
      </c>
      <c r="L503" s="3">
        <v>0</v>
      </c>
      <c r="M503" t="s">
        <v>29</v>
      </c>
      <c r="N503" t="s">
        <v>42</v>
      </c>
      <c r="O503" s="4">
        <v>0.25707108721872568</v>
      </c>
      <c r="P503" s="4">
        <v>0.74292891278127426</v>
      </c>
      <c r="Q503" t="s">
        <v>527</v>
      </c>
      <c r="R503" s="4">
        <v>6.8012883143869892E-6</v>
      </c>
      <c r="S503" s="3">
        <v>14427320.74</v>
      </c>
      <c r="T503" s="4">
        <v>0.33372007871042508</v>
      </c>
    </row>
    <row r="504" spans="1:20" x14ac:dyDescent="0.4">
      <c r="A504" s="2">
        <v>45909</v>
      </c>
      <c r="B504" t="s">
        <v>39</v>
      </c>
      <c r="C504" t="s">
        <v>28</v>
      </c>
      <c r="D504" s="3" t="str">
        <f t="shared" si="51"/>
        <v>PASS</v>
      </c>
      <c r="E504" s="3" t="str">
        <f t="shared" si="52"/>
        <v>PASS</v>
      </c>
      <c r="F504" s="3" t="str">
        <f t="shared" si="53"/>
        <v>PASS</v>
      </c>
      <c r="G504" s="3" t="str">
        <f t="shared" si="54"/>
        <v>FAIL</v>
      </c>
      <c r="H504" s="3">
        <v>78413558.390000001</v>
      </c>
      <c r="I504" s="4">
        <v>0</v>
      </c>
      <c r="J504" s="3">
        <v>70385472.769999996</v>
      </c>
      <c r="K504" s="3">
        <v>5095.57</v>
      </c>
      <c r="L504" s="3">
        <v>0</v>
      </c>
      <c r="M504" t="s">
        <v>29</v>
      </c>
      <c r="N504" t="s">
        <v>42</v>
      </c>
      <c r="O504" s="4">
        <v>0.25253512394642968</v>
      </c>
      <c r="P504" s="4">
        <v>0.74746487605357026</v>
      </c>
      <c r="Q504" t="s">
        <v>528</v>
      </c>
      <c r="R504" s="4">
        <v>1.2786592917688601E-5</v>
      </c>
      <c r="S504" s="3">
        <v>16895115.16</v>
      </c>
      <c r="T504" s="4">
        <v>0.2154616562096309</v>
      </c>
    </row>
    <row r="505" spans="1:20" x14ac:dyDescent="0.4">
      <c r="A505" s="2">
        <v>45910</v>
      </c>
      <c r="B505" t="s">
        <v>27</v>
      </c>
      <c r="C505" t="s">
        <v>28</v>
      </c>
      <c r="D505" s="3" t="str">
        <f t="shared" si="51"/>
        <v>PASS</v>
      </c>
      <c r="E505" s="3" t="str">
        <f t="shared" si="52"/>
        <v>PASS</v>
      </c>
      <c r="F505" s="3" t="str">
        <f t="shared" si="53"/>
        <v>PASS</v>
      </c>
      <c r="G505" s="3" t="str">
        <f t="shared" si="54"/>
        <v>FAIL</v>
      </c>
      <c r="H505" s="3">
        <v>54407054.549999997</v>
      </c>
      <c r="I505" s="4">
        <v>0</v>
      </c>
      <c r="J505" s="3">
        <v>49927833.130000003</v>
      </c>
      <c r="K505" s="3">
        <v>3635.03</v>
      </c>
      <c r="L505" s="3">
        <v>0</v>
      </c>
      <c r="M505" t="s">
        <v>29</v>
      </c>
      <c r="N505" t="s">
        <v>529</v>
      </c>
      <c r="O505" s="4">
        <v>0.25490455147257057</v>
      </c>
      <c r="P505" s="4">
        <v>0.74509544852742948</v>
      </c>
      <c r="Q505" t="s">
        <v>530</v>
      </c>
      <c r="R505" s="4">
        <v>7.5619505710655422E-5</v>
      </c>
      <c r="S505" s="3">
        <v>9029030.5700000022</v>
      </c>
      <c r="T505" s="4">
        <v>0.1659533059578209</v>
      </c>
    </row>
    <row r="506" spans="1:20" x14ac:dyDescent="0.4">
      <c r="A506" s="2">
        <v>45910</v>
      </c>
      <c r="B506" t="s">
        <v>30</v>
      </c>
      <c r="C506" t="s">
        <v>28</v>
      </c>
      <c r="D506" s="3" t="str">
        <f t="shared" si="51"/>
        <v>PASS</v>
      </c>
      <c r="E506" s="3" t="str">
        <f t="shared" si="52"/>
        <v>PASS</v>
      </c>
      <c r="F506" s="3" t="str">
        <f t="shared" si="53"/>
        <v>PASS</v>
      </c>
      <c r="G506" s="3" t="str">
        <f t="shared" si="54"/>
        <v>FAIL</v>
      </c>
      <c r="H506" s="3">
        <v>34555943.159999996</v>
      </c>
      <c r="I506" s="4">
        <v>0</v>
      </c>
      <c r="J506" s="3">
        <v>32306779.77</v>
      </c>
      <c r="K506" s="3">
        <v>2338.0500000000002</v>
      </c>
      <c r="L506" s="3">
        <v>0</v>
      </c>
      <c r="M506" t="s">
        <v>29</v>
      </c>
      <c r="N506" t="s">
        <v>42</v>
      </c>
      <c r="O506" s="4">
        <v>0.25149024037192053</v>
      </c>
      <c r="P506" s="4">
        <v>0.74850975962807942</v>
      </c>
      <c r="Q506" t="s">
        <v>531</v>
      </c>
      <c r="R506" s="4">
        <v>5.8699561205827407E-6</v>
      </c>
      <c r="S506" s="3">
        <v>4208430.3399999989</v>
      </c>
      <c r="T506" s="4">
        <v>0.1217860071280427</v>
      </c>
    </row>
    <row r="507" spans="1:20" x14ac:dyDescent="0.4">
      <c r="A507" s="2">
        <v>45910</v>
      </c>
      <c r="B507" t="s">
        <v>31</v>
      </c>
      <c r="C507" t="s">
        <v>28</v>
      </c>
      <c r="D507" s="3" t="str">
        <f t="shared" si="51"/>
        <v>PASS</v>
      </c>
      <c r="E507" s="3" t="str">
        <f t="shared" si="52"/>
        <v>PASS</v>
      </c>
      <c r="F507" s="3" t="str">
        <f t="shared" si="53"/>
        <v>PASS</v>
      </c>
      <c r="G507" s="3" t="str">
        <f t="shared" si="54"/>
        <v>FAIL</v>
      </c>
      <c r="H507" s="3">
        <v>23344068.539999999</v>
      </c>
      <c r="I507" s="4">
        <v>0</v>
      </c>
      <c r="J507" s="3">
        <v>21418148.550000001</v>
      </c>
      <c r="K507" s="3">
        <v>1551.15</v>
      </c>
      <c r="L507" s="3">
        <v>0</v>
      </c>
      <c r="M507" t="s">
        <v>29</v>
      </c>
      <c r="N507" t="s">
        <v>42</v>
      </c>
      <c r="O507" s="4">
        <v>0.25010343389368273</v>
      </c>
      <c r="P507" s="4">
        <v>0.74989656610631727</v>
      </c>
      <c r="Q507" t="s">
        <v>532</v>
      </c>
      <c r="R507" s="4">
        <v>3.8684463371089309E-6</v>
      </c>
      <c r="S507" s="3">
        <v>3656418.48</v>
      </c>
      <c r="T507" s="4">
        <v>0.1566315860380009</v>
      </c>
    </row>
    <row r="508" spans="1:20" x14ac:dyDescent="0.4">
      <c r="A508" s="2">
        <v>45910</v>
      </c>
      <c r="B508" t="s">
        <v>32</v>
      </c>
      <c r="C508" t="s">
        <v>28</v>
      </c>
      <c r="D508" s="3" t="str">
        <f t="shared" si="51"/>
        <v>PASS</v>
      </c>
      <c r="E508" s="3" t="str">
        <f t="shared" si="52"/>
        <v>PASS</v>
      </c>
      <c r="F508" s="3" t="str">
        <f t="shared" si="53"/>
        <v>PASS</v>
      </c>
      <c r="G508" s="3" t="str">
        <f t="shared" si="54"/>
        <v>FAIL</v>
      </c>
      <c r="H508" s="3">
        <v>24626609.82</v>
      </c>
      <c r="I508" s="4">
        <v>0</v>
      </c>
      <c r="J508" s="3">
        <v>20656634.940000001</v>
      </c>
      <c r="K508" s="3">
        <v>1495.83</v>
      </c>
      <c r="L508" s="3">
        <v>0</v>
      </c>
      <c r="M508" t="s">
        <v>29</v>
      </c>
      <c r="N508" t="s">
        <v>46</v>
      </c>
      <c r="O508" s="4">
        <v>0.29073993743145471</v>
      </c>
      <c r="P508" s="4">
        <v>0.70926006256854535</v>
      </c>
      <c r="Q508" t="s">
        <v>533</v>
      </c>
      <c r="R508" s="4">
        <v>3.706104028097182E-6</v>
      </c>
      <c r="S508" s="3">
        <v>7760257.0899999999</v>
      </c>
      <c r="T508" s="4">
        <v>0.31511674350310548</v>
      </c>
    </row>
    <row r="509" spans="1:20" x14ac:dyDescent="0.4">
      <c r="A509" s="2">
        <v>45910</v>
      </c>
      <c r="B509" t="s">
        <v>33</v>
      </c>
      <c r="C509" t="s">
        <v>28</v>
      </c>
      <c r="D509" s="3" t="str">
        <f t="shared" ref="D509:D572" si="55">IF(J509/H509&gt;=0.75,"PASS","FAIL")</f>
        <v>PASS</v>
      </c>
      <c r="E509" s="3" t="str">
        <f t="shared" ref="E509:E572" si="56">IF(L509=0,"PASS","FAIL")</f>
        <v>PASS</v>
      </c>
      <c r="F509" s="3" t="str">
        <f t="shared" ref="F509:F572" si="57">IF(R509="","",IF(R509&lt;=0.1,"PASS","FAIL"))</f>
        <v>PASS</v>
      </c>
      <c r="G509" s="3" t="str">
        <f t="shared" ref="G509:G572" si="58">IF(S509=0,"PASS",IF(S509&lt;=0.05*J509,"PASS","FAIL"))</f>
        <v>FAIL</v>
      </c>
      <c r="H509" s="3">
        <v>15301579.01</v>
      </c>
      <c r="I509" s="4">
        <v>0</v>
      </c>
      <c r="J509" s="3">
        <v>13642690.23</v>
      </c>
      <c r="K509" s="3">
        <v>988.36</v>
      </c>
      <c r="L509" s="3">
        <v>0</v>
      </c>
      <c r="M509" t="s">
        <v>29</v>
      </c>
      <c r="N509" t="s">
        <v>42</v>
      </c>
      <c r="O509" s="4">
        <v>0.2494989311210066</v>
      </c>
      <c r="P509" s="4">
        <v>0.75050106887899337</v>
      </c>
      <c r="Q509" t="s">
        <v>534</v>
      </c>
      <c r="R509" s="4">
        <v>2.4564954653093708E-6</v>
      </c>
      <c r="S509" s="3">
        <v>3991886.2599999988</v>
      </c>
      <c r="T509" s="4">
        <v>0.26088067495460388</v>
      </c>
    </row>
    <row r="510" spans="1:20" x14ac:dyDescent="0.4">
      <c r="A510" s="2">
        <v>45910</v>
      </c>
      <c r="B510" t="s">
        <v>34</v>
      </c>
      <c r="C510" t="s">
        <v>28</v>
      </c>
      <c r="D510" s="3" t="str">
        <f t="shared" si="55"/>
        <v>PASS</v>
      </c>
      <c r="E510" s="3" t="str">
        <f t="shared" si="56"/>
        <v>PASS</v>
      </c>
      <c r="F510" s="3" t="str">
        <f t="shared" si="57"/>
        <v>PASS</v>
      </c>
      <c r="G510" s="3" t="str">
        <f t="shared" si="58"/>
        <v>FAIL</v>
      </c>
      <c r="H510" s="3">
        <v>166363595.44</v>
      </c>
      <c r="I510" s="4">
        <v>0</v>
      </c>
      <c r="J510" s="3">
        <v>142161354.19</v>
      </c>
      <c r="K510" s="3">
        <v>10293.459999999999</v>
      </c>
      <c r="L510" s="3">
        <v>0</v>
      </c>
      <c r="M510" t="s">
        <v>29</v>
      </c>
      <c r="N510" t="s">
        <v>46</v>
      </c>
      <c r="O510" s="4">
        <v>0.29104636140917173</v>
      </c>
      <c r="P510" s="4">
        <v>0.70895363859082838</v>
      </c>
      <c r="Q510" t="s">
        <v>535</v>
      </c>
      <c r="R510" s="4">
        <v>2.558173016743046E-5</v>
      </c>
      <c r="S510" s="3">
        <v>46915511.660000011</v>
      </c>
      <c r="T510" s="4">
        <v>0.28200587716271353</v>
      </c>
    </row>
    <row r="511" spans="1:20" x14ac:dyDescent="0.4">
      <c r="A511" s="2">
        <v>45910</v>
      </c>
      <c r="B511" t="s">
        <v>35</v>
      </c>
      <c r="C511" t="s">
        <v>28</v>
      </c>
      <c r="D511" s="3" t="str">
        <f t="shared" si="55"/>
        <v>PASS</v>
      </c>
      <c r="E511" s="3" t="str">
        <f t="shared" si="56"/>
        <v>PASS</v>
      </c>
      <c r="F511" s="3" t="str">
        <f t="shared" si="57"/>
        <v>PASS</v>
      </c>
      <c r="G511" s="3" t="str">
        <f t="shared" si="58"/>
        <v>FAIL</v>
      </c>
      <c r="H511" s="3">
        <v>135226364.96000001</v>
      </c>
      <c r="I511" s="4">
        <v>0</v>
      </c>
      <c r="J511" s="3">
        <v>119871757.33</v>
      </c>
      <c r="K511" s="3">
        <v>8676.7099999999991</v>
      </c>
      <c r="L511" s="3">
        <v>0</v>
      </c>
      <c r="M511" t="s">
        <v>29</v>
      </c>
      <c r="N511" t="s">
        <v>42</v>
      </c>
      <c r="O511" s="4">
        <v>0.25571963866027692</v>
      </c>
      <c r="P511" s="4">
        <v>0.74428036133972308</v>
      </c>
      <c r="Q511" t="s">
        <v>536</v>
      </c>
      <c r="R511" s="4">
        <v>2.2149044765037279E-5</v>
      </c>
      <c r="S511" s="3">
        <v>32829751.329999991</v>
      </c>
      <c r="T511" s="4">
        <v>0.24277626141700279</v>
      </c>
    </row>
    <row r="512" spans="1:20" x14ac:dyDescent="0.4">
      <c r="A512" s="2">
        <v>45910</v>
      </c>
      <c r="B512" t="s">
        <v>36</v>
      </c>
      <c r="C512" t="s">
        <v>28</v>
      </c>
      <c r="D512" s="3" t="str">
        <f t="shared" si="55"/>
        <v>PASS</v>
      </c>
      <c r="E512" s="3" t="str">
        <f t="shared" si="56"/>
        <v>PASS</v>
      </c>
      <c r="F512" s="3" t="str">
        <f t="shared" si="57"/>
        <v>PASS</v>
      </c>
      <c r="G512" s="3" t="str">
        <f t="shared" si="58"/>
        <v>FAIL</v>
      </c>
      <c r="H512" s="3">
        <v>100942546.63</v>
      </c>
      <c r="I512" s="4">
        <v>0</v>
      </c>
      <c r="J512" s="3">
        <v>92032316.700000003</v>
      </c>
      <c r="K512" s="3">
        <v>6663.43</v>
      </c>
      <c r="L512" s="3">
        <v>0</v>
      </c>
      <c r="M512" t="s">
        <v>29</v>
      </c>
      <c r="N512" t="s">
        <v>42</v>
      </c>
      <c r="O512" s="4">
        <v>0.24820025061913931</v>
      </c>
      <c r="P512" s="4">
        <v>0.75179974938086069</v>
      </c>
      <c r="Q512" t="s">
        <v>537</v>
      </c>
      <c r="R512" s="4">
        <v>1.650551344386566E-5</v>
      </c>
      <c r="S512" s="3">
        <v>16900949.440000001</v>
      </c>
      <c r="T512" s="4">
        <v>0.16743137561161009</v>
      </c>
    </row>
    <row r="513" spans="1:20" x14ac:dyDescent="0.4">
      <c r="A513" s="2">
        <v>45910</v>
      </c>
      <c r="B513" t="s">
        <v>37</v>
      </c>
      <c r="C513" t="s">
        <v>28</v>
      </c>
      <c r="D513" s="3" t="str">
        <f t="shared" si="55"/>
        <v>PASS</v>
      </c>
      <c r="E513" s="3" t="str">
        <f t="shared" si="56"/>
        <v>PASS</v>
      </c>
      <c r="F513" s="3" t="str">
        <f t="shared" si="57"/>
        <v>PASS</v>
      </c>
      <c r="G513" s="3" t="str">
        <f t="shared" si="58"/>
        <v>FAIL</v>
      </c>
      <c r="H513" s="3">
        <v>40190436.909999996</v>
      </c>
      <c r="I513" s="4">
        <v>0</v>
      </c>
      <c r="J513" s="3">
        <v>34959637.25</v>
      </c>
      <c r="K513" s="3">
        <v>2531.2199999999998</v>
      </c>
      <c r="L513" s="3">
        <v>0</v>
      </c>
      <c r="M513" t="s">
        <v>29</v>
      </c>
      <c r="N513" t="s">
        <v>42</v>
      </c>
      <c r="O513" s="4">
        <v>0.24795341547773059</v>
      </c>
      <c r="P513" s="4">
        <v>0.75204658452226936</v>
      </c>
      <c r="Q513" t="s">
        <v>538</v>
      </c>
      <c r="R513" s="4">
        <v>6.2544510629789902E-6</v>
      </c>
      <c r="S513" s="3">
        <v>10514444.26</v>
      </c>
      <c r="T513" s="4">
        <v>0.26161557495743087</v>
      </c>
    </row>
    <row r="514" spans="1:20" x14ac:dyDescent="0.4">
      <c r="A514" s="2">
        <v>45910</v>
      </c>
      <c r="B514" t="s">
        <v>38</v>
      </c>
      <c r="C514" t="s">
        <v>28</v>
      </c>
      <c r="D514" s="3" t="str">
        <f t="shared" si="55"/>
        <v>PASS</v>
      </c>
      <c r="E514" s="3" t="str">
        <f t="shared" si="56"/>
        <v>PASS</v>
      </c>
      <c r="F514" s="3" t="str">
        <f t="shared" si="57"/>
        <v>PASS</v>
      </c>
      <c r="G514" s="3" t="str">
        <f t="shared" si="58"/>
        <v>FAIL</v>
      </c>
      <c r="H514" s="3">
        <v>43279245.32</v>
      </c>
      <c r="I514" s="4">
        <v>0</v>
      </c>
      <c r="J514" s="3">
        <v>36908912.5</v>
      </c>
      <c r="K514" s="3">
        <v>2670.99</v>
      </c>
      <c r="L514" s="3">
        <v>0</v>
      </c>
      <c r="M514" t="s">
        <v>29</v>
      </c>
      <c r="N514" t="s">
        <v>42</v>
      </c>
      <c r="O514" s="4">
        <v>0.25540842066262448</v>
      </c>
      <c r="P514" s="4">
        <v>0.74459157933737541</v>
      </c>
      <c r="Q514" t="s">
        <v>539</v>
      </c>
      <c r="R514" s="4">
        <v>6.8012883143869892E-6</v>
      </c>
      <c r="S514" s="3">
        <v>14404905.98</v>
      </c>
      <c r="T514" s="4">
        <v>0.33283634854287242</v>
      </c>
    </row>
    <row r="515" spans="1:20" x14ac:dyDescent="0.4">
      <c r="A515" s="2">
        <v>45910</v>
      </c>
      <c r="B515" t="s">
        <v>39</v>
      </c>
      <c r="C515" t="s">
        <v>28</v>
      </c>
      <c r="D515" s="3" t="str">
        <f t="shared" si="55"/>
        <v>PASS</v>
      </c>
      <c r="E515" s="3" t="str">
        <f t="shared" si="56"/>
        <v>PASS</v>
      </c>
      <c r="F515" s="3" t="str">
        <f t="shared" si="57"/>
        <v>PASS</v>
      </c>
      <c r="G515" s="3" t="str">
        <f t="shared" si="58"/>
        <v>FAIL</v>
      </c>
      <c r="H515" s="3">
        <v>78505763.659999996</v>
      </c>
      <c r="I515" s="4">
        <v>0</v>
      </c>
      <c r="J515" s="3">
        <v>70630545.930000007</v>
      </c>
      <c r="K515" s="3">
        <v>5110.18</v>
      </c>
      <c r="L515" s="3">
        <v>0</v>
      </c>
      <c r="M515" t="s">
        <v>29</v>
      </c>
      <c r="N515" t="s">
        <v>42</v>
      </c>
      <c r="O515" s="4">
        <v>0.25089838378940021</v>
      </c>
      <c r="P515" s="4">
        <v>0.74910161621059979</v>
      </c>
      <c r="Q515" t="s">
        <v>540</v>
      </c>
      <c r="R515" s="4">
        <v>1.2786592917688601E-5</v>
      </c>
      <c r="S515" s="3">
        <v>16821529.059999999</v>
      </c>
      <c r="T515" s="4">
        <v>0.21427126208022421</v>
      </c>
    </row>
    <row r="516" spans="1:20" x14ac:dyDescent="0.4">
      <c r="A516" s="2">
        <v>45911</v>
      </c>
      <c r="B516" t="s">
        <v>27</v>
      </c>
      <c r="C516" t="s">
        <v>28</v>
      </c>
      <c r="D516" s="3" t="str">
        <f t="shared" si="55"/>
        <v>PASS</v>
      </c>
      <c r="E516" s="3" t="str">
        <f t="shared" si="56"/>
        <v>PASS</v>
      </c>
      <c r="F516" s="3" t="str">
        <f t="shared" si="57"/>
        <v>PASS</v>
      </c>
      <c r="G516" s="3" t="str">
        <f t="shared" si="58"/>
        <v>FAIL</v>
      </c>
      <c r="H516" s="3">
        <v>54853468.310000002</v>
      </c>
      <c r="I516" s="4">
        <v>0</v>
      </c>
      <c r="J516" s="3">
        <v>50370621.990000002</v>
      </c>
      <c r="K516" s="3">
        <v>3625.58</v>
      </c>
      <c r="L516" s="3">
        <v>0</v>
      </c>
      <c r="M516" t="s">
        <v>29</v>
      </c>
      <c r="N516" t="s">
        <v>541</v>
      </c>
      <c r="O516" s="4">
        <v>0.25564682748123441</v>
      </c>
      <c r="P516" s="4">
        <v>0.74435317251876565</v>
      </c>
      <c r="Q516" t="s">
        <v>542</v>
      </c>
      <c r="R516" s="4">
        <v>7.5619505710655422E-5</v>
      </c>
      <c r="S516" s="3">
        <v>8857505.1000000015</v>
      </c>
      <c r="T516" s="4">
        <v>0.16147575299965569</v>
      </c>
    </row>
    <row r="517" spans="1:20" x14ac:dyDescent="0.4">
      <c r="A517" s="2">
        <v>45911</v>
      </c>
      <c r="B517" t="s">
        <v>30</v>
      </c>
      <c r="C517" t="s">
        <v>28</v>
      </c>
      <c r="D517" s="3" t="str">
        <f t="shared" si="55"/>
        <v>PASS</v>
      </c>
      <c r="E517" s="3" t="str">
        <f t="shared" si="56"/>
        <v>PASS</v>
      </c>
      <c r="F517" s="3" t="str">
        <f t="shared" si="57"/>
        <v>PASS</v>
      </c>
      <c r="G517" s="3" t="str">
        <f t="shared" si="58"/>
        <v>FAIL</v>
      </c>
      <c r="H517" s="3">
        <v>34650539.539999999</v>
      </c>
      <c r="I517" s="4">
        <v>0</v>
      </c>
      <c r="J517" s="3">
        <v>32469017</v>
      </c>
      <c r="K517" s="3">
        <v>2345.56</v>
      </c>
      <c r="L517" s="3">
        <v>0</v>
      </c>
      <c r="M517" t="s">
        <v>29</v>
      </c>
      <c r="N517" t="s">
        <v>42</v>
      </c>
      <c r="O517" s="4">
        <v>0.25117510179011582</v>
      </c>
      <c r="P517" s="4">
        <v>0.74882489820988418</v>
      </c>
      <c r="Q517" t="s">
        <v>543</v>
      </c>
      <c r="R517" s="4">
        <v>5.8699561205827407E-6</v>
      </c>
      <c r="S517" s="3">
        <v>4249731.5</v>
      </c>
      <c r="T517" s="4">
        <v>0.12264546400768681</v>
      </c>
    </row>
    <row r="518" spans="1:20" x14ac:dyDescent="0.4">
      <c r="A518" s="2">
        <v>45911</v>
      </c>
      <c r="B518" t="s">
        <v>31</v>
      </c>
      <c r="C518" t="s">
        <v>28</v>
      </c>
      <c r="D518" s="3" t="str">
        <f t="shared" si="55"/>
        <v>PASS</v>
      </c>
      <c r="E518" s="3" t="str">
        <f t="shared" si="56"/>
        <v>PASS</v>
      </c>
      <c r="F518" s="3" t="str">
        <f t="shared" si="57"/>
        <v>PASS</v>
      </c>
      <c r="G518" s="3" t="str">
        <f t="shared" si="58"/>
        <v>FAIL</v>
      </c>
      <c r="H518" s="3">
        <v>23442746.07</v>
      </c>
      <c r="I518" s="4">
        <v>0</v>
      </c>
      <c r="J518" s="3">
        <v>21515271.059999999</v>
      </c>
      <c r="K518" s="3">
        <v>1555.73</v>
      </c>
      <c r="L518" s="3">
        <v>0</v>
      </c>
      <c r="M518" t="s">
        <v>29</v>
      </c>
      <c r="N518" t="s">
        <v>42</v>
      </c>
      <c r="O518" s="4">
        <v>0.24990812270063961</v>
      </c>
      <c r="P518" s="4">
        <v>0.75009187729936044</v>
      </c>
      <c r="Q518" t="s">
        <v>544</v>
      </c>
      <c r="R518" s="4">
        <v>3.8684463371089309E-6</v>
      </c>
      <c r="S518" s="3">
        <v>3697568.57</v>
      </c>
      <c r="T518" s="4">
        <v>0.15772762111397129</v>
      </c>
    </row>
    <row r="519" spans="1:20" x14ac:dyDescent="0.4">
      <c r="A519" s="2">
        <v>45911</v>
      </c>
      <c r="B519" t="s">
        <v>32</v>
      </c>
      <c r="C519" t="s">
        <v>28</v>
      </c>
      <c r="D519" s="3" t="str">
        <f t="shared" si="55"/>
        <v>PASS</v>
      </c>
      <c r="E519" s="3" t="str">
        <f t="shared" si="56"/>
        <v>PASS</v>
      </c>
      <c r="F519" s="3" t="str">
        <f t="shared" si="57"/>
        <v>PASS</v>
      </c>
      <c r="G519" s="3" t="str">
        <f t="shared" si="58"/>
        <v>FAIL</v>
      </c>
      <c r="H519" s="3">
        <v>24707809.949999999</v>
      </c>
      <c r="I519" s="4">
        <v>0</v>
      </c>
      <c r="J519" s="3">
        <v>20736335.34</v>
      </c>
      <c r="K519" s="3">
        <v>1500.28</v>
      </c>
      <c r="L519" s="3">
        <v>0</v>
      </c>
      <c r="M519" t="s">
        <v>29</v>
      </c>
      <c r="N519" t="s">
        <v>46</v>
      </c>
      <c r="O519" s="4">
        <v>0.28966573174640797</v>
      </c>
      <c r="P519" s="4">
        <v>0.71033426825359203</v>
      </c>
      <c r="Q519" t="s">
        <v>545</v>
      </c>
      <c r="R519" s="4">
        <v>3.706104028097182E-6</v>
      </c>
      <c r="S519" s="3">
        <v>7797775.5899999999</v>
      </c>
      <c r="T519" s="4">
        <v>0.31559962642500411</v>
      </c>
    </row>
    <row r="520" spans="1:20" x14ac:dyDescent="0.4">
      <c r="A520" s="2">
        <v>45911</v>
      </c>
      <c r="B520" t="s">
        <v>33</v>
      </c>
      <c r="C520" t="s">
        <v>28</v>
      </c>
      <c r="D520" s="3" t="str">
        <f t="shared" si="55"/>
        <v>PASS</v>
      </c>
      <c r="E520" s="3" t="str">
        <f t="shared" si="56"/>
        <v>PASS</v>
      </c>
      <c r="F520" s="3" t="str">
        <f t="shared" si="57"/>
        <v>PASS</v>
      </c>
      <c r="G520" s="3" t="str">
        <f t="shared" si="58"/>
        <v>FAIL</v>
      </c>
      <c r="H520" s="3">
        <v>15363529.32</v>
      </c>
      <c r="I520" s="4">
        <v>0</v>
      </c>
      <c r="J520" s="3">
        <v>13703650.039999999</v>
      </c>
      <c r="K520" s="3">
        <v>991.21</v>
      </c>
      <c r="L520" s="3">
        <v>0</v>
      </c>
      <c r="M520" t="s">
        <v>29</v>
      </c>
      <c r="N520" t="s">
        <v>42</v>
      </c>
      <c r="O520" s="4">
        <v>0.24930929934927029</v>
      </c>
      <c r="P520" s="4">
        <v>0.75069070065072974</v>
      </c>
      <c r="Q520" t="s">
        <v>546</v>
      </c>
      <c r="R520" s="4">
        <v>2.4564954653093708E-6</v>
      </c>
      <c r="S520" s="3">
        <v>4026712.29</v>
      </c>
      <c r="T520" s="4">
        <v>0.26209552545703729</v>
      </c>
    </row>
    <row r="521" spans="1:20" x14ac:dyDescent="0.4">
      <c r="A521" s="2">
        <v>45911</v>
      </c>
      <c r="B521" t="s">
        <v>34</v>
      </c>
      <c r="C521" t="s">
        <v>28</v>
      </c>
      <c r="D521" s="3" t="str">
        <f t="shared" si="55"/>
        <v>PASS</v>
      </c>
      <c r="E521" s="3" t="str">
        <f t="shared" si="56"/>
        <v>PASS</v>
      </c>
      <c r="F521" s="3" t="str">
        <f t="shared" si="57"/>
        <v>PASS</v>
      </c>
      <c r="G521" s="3" t="str">
        <f t="shared" si="58"/>
        <v>FAIL</v>
      </c>
      <c r="H521" s="3">
        <v>166925460.13999999</v>
      </c>
      <c r="I521" s="4">
        <v>0</v>
      </c>
      <c r="J521" s="3">
        <v>142712897.59</v>
      </c>
      <c r="K521" s="3">
        <v>10321.85</v>
      </c>
      <c r="L521" s="3">
        <v>0</v>
      </c>
      <c r="M521" t="s">
        <v>29</v>
      </c>
      <c r="N521" t="s">
        <v>46</v>
      </c>
      <c r="O521" s="4">
        <v>0.29004771600195212</v>
      </c>
      <c r="P521" s="4">
        <v>0.70995228399804788</v>
      </c>
      <c r="Q521" t="s">
        <v>547</v>
      </c>
      <c r="R521" s="4">
        <v>2.558173016743046E-5</v>
      </c>
      <c r="S521" s="3">
        <v>47368411.119999997</v>
      </c>
      <c r="T521" s="4">
        <v>0.28376984002483641</v>
      </c>
    </row>
    <row r="522" spans="1:20" x14ac:dyDescent="0.4">
      <c r="A522" s="2">
        <v>45911</v>
      </c>
      <c r="B522" t="s">
        <v>35</v>
      </c>
      <c r="C522" t="s">
        <v>28</v>
      </c>
      <c r="D522" s="3" t="str">
        <f t="shared" si="55"/>
        <v>PASS</v>
      </c>
      <c r="E522" s="3" t="str">
        <f t="shared" si="56"/>
        <v>PASS</v>
      </c>
      <c r="F522" s="3" t="str">
        <f t="shared" si="57"/>
        <v>PASS</v>
      </c>
      <c r="G522" s="3" t="str">
        <f t="shared" si="58"/>
        <v>FAIL</v>
      </c>
      <c r="H522" s="3">
        <v>135833799.66</v>
      </c>
      <c r="I522" s="4">
        <v>0</v>
      </c>
      <c r="J522" s="3">
        <v>120470489.01000001</v>
      </c>
      <c r="K522" s="3">
        <v>8703.57</v>
      </c>
      <c r="L522" s="3">
        <v>0</v>
      </c>
      <c r="M522" t="s">
        <v>29</v>
      </c>
      <c r="N522" t="s">
        <v>42</v>
      </c>
      <c r="O522" s="4">
        <v>0.25540810851565421</v>
      </c>
      <c r="P522" s="4">
        <v>0.7445918914843459</v>
      </c>
      <c r="Q522" t="s">
        <v>548</v>
      </c>
      <c r="R522" s="4">
        <v>2.2149044765037279E-5</v>
      </c>
      <c r="S522" s="3">
        <v>33172114.91</v>
      </c>
      <c r="T522" s="4">
        <v>0.2442110505119621</v>
      </c>
    </row>
    <row r="523" spans="1:20" x14ac:dyDescent="0.4">
      <c r="A523" s="2">
        <v>45911</v>
      </c>
      <c r="B523" t="s">
        <v>36</v>
      </c>
      <c r="C523" t="s">
        <v>28</v>
      </c>
      <c r="D523" s="3" t="str">
        <f t="shared" si="55"/>
        <v>PASS</v>
      </c>
      <c r="E523" s="3" t="str">
        <f t="shared" si="56"/>
        <v>PASS</v>
      </c>
      <c r="F523" s="3" t="str">
        <f t="shared" si="57"/>
        <v>PASS</v>
      </c>
      <c r="G523" s="3" t="str">
        <f t="shared" si="58"/>
        <v>FAIL</v>
      </c>
      <c r="H523" s="3">
        <v>101334668.13</v>
      </c>
      <c r="I523" s="4">
        <v>0</v>
      </c>
      <c r="J523" s="3">
        <v>92417756.400000006</v>
      </c>
      <c r="K523" s="3">
        <v>6682.48</v>
      </c>
      <c r="L523" s="3">
        <v>0</v>
      </c>
      <c r="M523" t="s">
        <v>29</v>
      </c>
      <c r="N523" t="s">
        <v>42</v>
      </c>
      <c r="O523" s="4">
        <v>0.24809636484531669</v>
      </c>
      <c r="P523" s="4">
        <v>0.75190363515468328</v>
      </c>
      <c r="Q523" t="s">
        <v>549</v>
      </c>
      <c r="R523" s="4">
        <v>1.650551344386566E-5</v>
      </c>
      <c r="S523" s="3">
        <v>16971833.489999998</v>
      </c>
      <c r="T523" s="4">
        <v>0.16748299277229789</v>
      </c>
    </row>
    <row r="524" spans="1:20" x14ac:dyDescent="0.4">
      <c r="A524" s="2">
        <v>45911</v>
      </c>
      <c r="B524" t="s">
        <v>37</v>
      </c>
      <c r="C524" t="s">
        <v>28</v>
      </c>
      <c r="D524" s="3" t="str">
        <f t="shared" si="55"/>
        <v>PASS</v>
      </c>
      <c r="E524" s="3" t="str">
        <f t="shared" si="56"/>
        <v>PASS</v>
      </c>
      <c r="F524" s="3" t="str">
        <f t="shared" si="57"/>
        <v>PASS</v>
      </c>
      <c r="G524" s="3" t="str">
        <f t="shared" si="58"/>
        <v>FAIL</v>
      </c>
      <c r="H524" s="3">
        <v>40333590.549999997</v>
      </c>
      <c r="I524" s="4">
        <v>0</v>
      </c>
      <c r="J524" s="3">
        <v>35100252.719999999</v>
      </c>
      <c r="K524" s="3">
        <v>2538.85</v>
      </c>
      <c r="L524" s="3">
        <v>0</v>
      </c>
      <c r="M524" t="s">
        <v>29</v>
      </c>
      <c r="N524" t="s">
        <v>42</v>
      </c>
      <c r="O524" s="4">
        <v>0.24786682561526591</v>
      </c>
      <c r="P524" s="4">
        <v>0.75213317438473415</v>
      </c>
      <c r="Q524" t="s">
        <v>550</v>
      </c>
      <c r="R524" s="4">
        <v>6.2544510629789902E-6</v>
      </c>
      <c r="S524" s="3">
        <v>10578342.59</v>
      </c>
      <c r="T524" s="4">
        <v>0.26227128420135171</v>
      </c>
    </row>
    <row r="525" spans="1:20" x14ac:dyDescent="0.4">
      <c r="A525" s="2">
        <v>45911</v>
      </c>
      <c r="B525" t="s">
        <v>38</v>
      </c>
      <c r="C525" t="s">
        <v>28</v>
      </c>
      <c r="D525" s="3" t="str">
        <f t="shared" si="55"/>
        <v>PASS</v>
      </c>
      <c r="E525" s="3" t="str">
        <f t="shared" si="56"/>
        <v>PASS</v>
      </c>
      <c r="F525" s="3" t="str">
        <f t="shared" si="57"/>
        <v>PASS</v>
      </c>
      <c r="G525" s="3" t="str">
        <f t="shared" si="58"/>
        <v>FAIL</v>
      </c>
      <c r="H525" s="3">
        <v>43455337.729999997</v>
      </c>
      <c r="I525" s="4">
        <v>0</v>
      </c>
      <c r="J525" s="3">
        <v>37082325.219999999</v>
      </c>
      <c r="K525" s="3">
        <v>2680.24</v>
      </c>
      <c r="L525" s="3">
        <v>0</v>
      </c>
      <c r="M525" t="s">
        <v>29</v>
      </c>
      <c r="N525" t="s">
        <v>42</v>
      </c>
      <c r="O525" s="4">
        <v>0.2551492446567783</v>
      </c>
      <c r="P525" s="4">
        <v>0.74485075534322176</v>
      </c>
      <c r="Q525" t="s">
        <v>551</v>
      </c>
      <c r="R525" s="4">
        <v>6.8012883143869892E-6</v>
      </c>
      <c r="S525" s="3">
        <v>14565872.859999999</v>
      </c>
      <c r="T525" s="4">
        <v>0.33519179969332619</v>
      </c>
    </row>
    <row r="526" spans="1:20" x14ac:dyDescent="0.4">
      <c r="A526" s="2">
        <v>45911</v>
      </c>
      <c r="B526" t="s">
        <v>39</v>
      </c>
      <c r="C526" t="s">
        <v>28</v>
      </c>
      <c r="D526" s="3" t="str">
        <f t="shared" si="55"/>
        <v>PASS</v>
      </c>
      <c r="E526" s="3" t="str">
        <f t="shared" si="56"/>
        <v>PASS</v>
      </c>
      <c r="F526" s="3" t="str">
        <f t="shared" si="57"/>
        <v>PASS</v>
      </c>
      <c r="G526" s="3" t="str">
        <f t="shared" si="58"/>
        <v>FAIL</v>
      </c>
      <c r="H526" s="3">
        <v>78847647.140000001</v>
      </c>
      <c r="I526" s="4">
        <v>0</v>
      </c>
      <c r="J526" s="3">
        <v>70967301.439999998</v>
      </c>
      <c r="K526" s="3">
        <v>5127.97</v>
      </c>
      <c r="L526" s="3">
        <v>0</v>
      </c>
      <c r="M526" t="s">
        <v>29</v>
      </c>
      <c r="N526" t="s">
        <v>42</v>
      </c>
      <c r="O526" s="4">
        <v>0.25062464204077822</v>
      </c>
      <c r="P526" s="4">
        <v>0.74937535795922183</v>
      </c>
      <c r="Q526" t="s">
        <v>552</v>
      </c>
      <c r="R526" s="4">
        <v>1.2786592917688601E-5</v>
      </c>
      <c r="S526" s="3">
        <v>16997807.300000001</v>
      </c>
      <c r="T526" s="4">
        <v>0.2155778633421882</v>
      </c>
    </row>
    <row r="527" spans="1:20" x14ac:dyDescent="0.4">
      <c r="A527" s="2">
        <v>45912</v>
      </c>
      <c r="B527" t="s">
        <v>27</v>
      </c>
      <c r="C527" t="s">
        <v>28</v>
      </c>
      <c r="D527" s="3" t="str">
        <f t="shared" si="55"/>
        <v>PASS</v>
      </c>
      <c r="E527" s="3" t="str">
        <f t="shared" si="56"/>
        <v>PASS</v>
      </c>
      <c r="F527" s="3" t="str">
        <f t="shared" si="57"/>
        <v>PASS</v>
      </c>
      <c r="G527" s="3" t="str">
        <f t="shared" si="58"/>
        <v>FAIL</v>
      </c>
      <c r="H527" s="3">
        <v>54596246.43</v>
      </c>
      <c r="I527" s="4">
        <v>0</v>
      </c>
      <c r="J527" s="3">
        <v>50102428.960000001</v>
      </c>
      <c r="K527" s="3">
        <v>10973.19</v>
      </c>
      <c r="L527" s="3">
        <v>0</v>
      </c>
      <c r="M527" t="s">
        <v>29</v>
      </c>
      <c r="N527" t="s">
        <v>553</v>
      </c>
      <c r="O527" s="4">
        <v>0.25723688486818619</v>
      </c>
      <c r="P527" s="4">
        <v>0.7427631151318137</v>
      </c>
      <c r="Q527" t="s">
        <v>554</v>
      </c>
      <c r="R527" s="4">
        <v>7.5619505710655422E-5</v>
      </c>
      <c r="S527" s="3">
        <v>8947423.3399999999</v>
      </c>
      <c r="T527" s="4">
        <v>0.16388348879390169</v>
      </c>
    </row>
    <row r="528" spans="1:20" x14ac:dyDescent="0.4">
      <c r="A528" s="2">
        <v>45912</v>
      </c>
      <c r="B528" t="s">
        <v>30</v>
      </c>
      <c r="C528" t="s">
        <v>28</v>
      </c>
      <c r="D528" s="3" t="str">
        <f t="shared" si="55"/>
        <v>PASS</v>
      </c>
      <c r="E528" s="3" t="str">
        <f t="shared" si="56"/>
        <v>PASS</v>
      </c>
      <c r="F528" s="3" t="str">
        <f t="shared" si="57"/>
        <v>PASS</v>
      </c>
      <c r="G528" s="3" t="str">
        <f t="shared" si="58"/>
        <v>FAIL</v>
      </c>
      <c r="H528" s="3">
        <v>34653589.560000002</v>
      </c>
      <c r="I528" s="4">
        <v>0</v>
      </c>
      <c r="J528" s="3">
        <v>32464995</v>
      </c>
      <c r="K528" s="3">
        <v>7072.02</v>
      </c>
      <c r="L528" s="3">
        <v>0</v>
      </c>
      <c r="M528" t="s">
        <v>29</v>
      </c>
      <c r="N528" t="s">
        <v>42</v>
      </c>
      <c r="O528" s="4">
        <v>0.2530629350166233</v>
      </c>
      <c r="P528" s="4">
        <v>0.74693706498337664</v>
      </c>
      <c r="Q528" t="s">
        <v>555</v>
      </c>
      <c r="R528" s="4">
        <v>5.8699561205827407E-6</v>
      </c>
      <c r="S528" s="3">
        <v>4268211.5</v>
      </c>
      <c r="T528" s="4">
        <v>0.12316794751117841</v>
      </c>
    </row>
    <row r="529" spans="1:20" x14ac:dyDescent="0.4">
      <c r="A529" s="2">
        <v>45912</v>
      </c>
      <c r="B529" t="s">
        <v>31</v>
      </c>
      <c r="C529" t="s">
        <v>28</v>
      </c>
      <c r="D529" s="3" t="str">
        <f t="shared" si="55"/>
        <v>PASS</v>
      </c>
      <c r="E529" s="3" t="str">
        <f t="shared" si="56"/>
        <v>PASS</v>
      </c>
      <c r="F529" s="3" t="str">
        <f t="shared" si="57"/>
        <v>PASS</v>
      </c>
      <c r="G529" s="3" t="str">
        <f t="shared" si="58"/>
        <v>FAIL</v>
      </c>
      <c r="H529" s="3">
        <v>23448381.969999999</v>
      </c>
      <c r="I529" s="4">
        <v>0</v>
      </c>
      <c r="J529" s="3">
        <v>21516220.75</v>
      </c>
      <c r="K529" s="3">
        <v>4688.34</v>
      </c>
      <c r="L529" s="3">
        <v>0</v>
      </c>
      <c r="M529" t="s">
        <v>29</v>
      </c>
      <c r="N529" t="s">
        <v>42</v>
      </c>
      <c r="O529" s="4">
        <v>0.25172891154688493</v>
      </c>
      <c r="P529" s="4">
        <v>0.74827108845311507</v>
      </c>
      <c r="Q529" t="s">
        <v>556</v>
      </c>
      <c r="R529" s="4">
        <v>3.8684463371089309E-6</v>
      </c>
      <c r="S529" s="3">
        <v>3704978.4</v>
      </c>
      <c r="T529" s="4">
        <v>0.15800571675863059</v>
      </c>
    </row>
    <row r="530" spans="1:20" x14ac:dyDescent="0.4">
      <c r="A530" s="2">
        <v>45912</v>
      </c>
      <c r="B530" t="s">
        <v>32</v>
      </c>
      <c r="C530" t="s">
        <v>28</v>
      </c>
      <c r="D530" s="3" t="str">
        <f t="shared" si="55"/>
        <v>PASS</v>
      </c>
      <c r="E530" s="3" t="str">
        <f t="shared" si="56"/>
        <v>PASS</v>
      </c>
      <c r="F530" s="3" t="str">
        <f t="shared" si="57"/>
        <v>PASS</v>
      </c>
      <c r="G530" s="3" t="str">
        <f t="shared" si="58"/>
        <v>FAIL</v>
      </c>
      <c r="H530" s="3">
        <v>24712942.559999999</v>
      </c>
      <c r="I530" s="4">
        <v>0</v>
      </c>
      <c r="J530" s="3">
        <v>20736951.420000002</v>
      </c>
      <c r="K530" s="3">
        <v>4518.18</v>
      </c>
      <c r="L530" s="3">
        <v>0</v>
      </c>
      <c r="M530" t="s">
        <v>29</v>
      </c>
      <c r="N530" t="s">
        <v>46</v>
      </c>
      <c r="O530" s="4">
        <v>0.29155413144137082</v>
      </c>
      <c r="P530" s="4">
        <v>0.70844586855862923</v>
      </c>
      <c r="Q530" t="s">
        <v>557</v>
      </c>
      <c r="R530" s="4">
        <v>3.706104028097182E-6</v>
      </c>
      <c r="S530" s="3">
        <v>7821299.0700000003</v>
      </c>
      <c r="T530" s="4">
        <v>0.31648594864860158</v>
      </c>
    </row>
    <row r="531" spans="1:20" x14ac:dyDescent="0.4">
      <c r="A531" s="2">
        <v>45912</v>
      </c>
      <c r="B531" t="s">
        <v>33</v>
      </c>
      <c r="C531" t="s">
        <v>28</v>
      </c>
      <c r="D531" s="3" t="str">
        <f t="shared" si="55"/>
        <v>PASS</v>
      </c>
      <c r="E531" s="3" t="str">
        <f t="shared" si="56"/>
        <v>PASS</v>
      </c>
      <c r="F531" s="3" t="str">
        <f t="shared" si="57"/>
        <v>PASS</v>
      </c>
      <c r="G531" s="3" t="str">
        <f t="shared" si="58"/>
        <v>FAIL</v>
      </c>
      <c r="H531" s="3">
        <v>15366570.98</v>
      </c>
      <c r="I531" s="4">
        <v>0</v>
      </c>
      <c r="J531" s="3">
        <v>13703706.939999999</v>
      </c>
      <c r="K531" s="3">
        <v>2986.89</v>
      </c>
      <c r="L531" s="3">
        <v>0</v>
      </c>
      <c r="M531" t="s">
        <v>29</v>
      </c>
      <c r="N531" t="s">
        <v>42</v>
      </c>
      <c r="O531" s="4">
        <v>0.25118470827427081</v>
      </c>
      <c r="P531" s="4">
        <v>0.74881529172572914</v>
      </c>
      <c r="Q531" t="s">
        <v>558</v>
      </c>
      <c r="R531" s="4">
        <v>2.4564954653093708E-6</v>
      </c>
      <c r="S531" s="3">
        <v>4042710.05</v>
      </c>
      <c r="T531" s="4">
        <v>0.26308472171583991</v>
      </c>
    </row>
    <row r="532" spans="1:20" x14ac:dyDescent="0.4">
      <c r="A532" s="2">
        <v>45912</v>
      </c>
      <c r="B532" t="s">
        <v>34</v>
      </c>
      <c r="C532" t="s">
        <v>28</v>
      </c>
      <c r="D532" s="3" t="str">
        <f t="shared" si="55"/>
        <v>PASS</v>
      </c>
      <c r="E532" s="3" t="str">
        <f t="shared" si="56"/>
        <v>PASS</v>
      </c>
      <c r="F532" s="3" t="str">
        <f t="shared" si="57"/>
        <v>PASS</v>
      </c>
      <c r="G532" s="3" t="str">
        <f t="shared" si="58"/>
        <v>FAIL</v>
      </c>
      <c r="H532" s="3">
        <v>166972047.44</v>
      </c>
      <c r="I532" s="4">
        <v>0</v>
      </c>
      <c r="J532" s="3">
        <v>142728400.84</v>
      </c>
      <c r="K532" s="3">
        <v>31085.7</v>
      </c>
      <c r="L532" s="3">
        <v>0</v>
      </c>
      <c r="M532" t="s">
        <v>29</v>
      </c>
      <c r="N532" t="s">
        <v>46</v>
      </c>
      <c r="O532" s="4">
        <v>0.29184769838972441</v>
      </c>
      <c r="P532" s="4">
        <v>0.70815230161027565</v>
      </c>
      <c r="Q532" t="s">
        <v>559</v>
      </c>
      <c r="R532" s="4">
        <v>2.558173016743046E-5</v>
      </c>
      <c r="S532" s="3">
        <v>47454116.880000003</v>
      </c>
      <c r="T532" s="4">
        <v>0.28420395873178861</v>
      </c>
    </row>
    <row r="533" spans="1:20" x14ac:dyDescent="0.4">
      <c r="A533" s="2">
        <v>45912</v>
      </c>
      <c r="B533" t="s">
        <v>35</v>
      </c>
      <c r="C533" t="s">
        <v>28</v>
      </c>
      <c r="D533" s="3" t="str">
        <f t="shared" si="55"/>
        <v>PASS</v>
      </c>
      <c r="E533" s="3" t="str">
        <f t="shared" si="56"/>
        <v>PASS</v>
      </c>
      <c r="F533" s="3" t="str">
        <f t="shared" si="57"/>
        <v>PASS</v>
      </c>
      <c r="G533" s="3" t="str">
        <f t="shared" si="58"/>
        <v>FAIL</v>
      </c>
      <c r="H533" s="3">
        <v>135849423.94</v>
      </c>
      <c r="I533" s="4">
        <v>0</v>
      </c>
      <c r="J533" s="3">
        <v>120459873.81999999</v>
      </c>
      <c r="K533" s="3">
        <v>26241.119999999999</v>
      </c>
      <c r="L533" s="3">
        <v>0</v>
      </c>
      <c r="M533" t="s">
        <v>29</v>
      </c>
      <c r="N533" t="s">
        <v>42</v>
      </c>
      <c r="O533" s="4">
        <v>0.2573047874540767</v>
      </c>
      <c r="P533" s="4">
        <v>0.7426952125459233</v>
      </c>
      <c r="Q533" t="s">
        <v>560</v>
      </c>
      <c r="R533" s="4">
        <v>2.2149044765037279E-5</v>
      </c>
      <c r="S533" s="3">
        <v>33335943.34</v>
      </c>
      <c r="T533" s="4">
        <v>0.24538891938712479</v>
      </c>
    </row>
    <row r="534" spans="1:20" x14ac:dyDescent="0.4">
      <c r="A534" s="2">
        <v>45912</v>
      </c>
      <c r="B534" t="s">
        <v>36</v>
      </c>
      <c r="C534" t="s">
        <v>28</v>
      </c>
      <c r="D534" s="3" t="str">
        <f t="shared" si="55"/>
        <v>PASS</v>
      </c>
      <c r="E534" s="3" t="str">
        <f t="shared" si="56"/>
        <v>PASS</v>
      </c>
      <c r="F534" s="3" t="str">
        <f t="shared" si="57"/>
        <v>PASS</v>
      </c>
      <c r="G534" s="3" t="str">
        <f t="shared" si="58"/>
        <v>FAIL</v>
      </c>
      <c r="H534" s="3">
        <v>101359761.3</v>
      </c>
      <c r="I534" s="4">
        <v>0</v>
      </c>
      <c r="J534" s="3">
        <v>92422720.230000004</v>
      </c>
      <c r="K534" s="3">
        <v>20131.38</v>
      </c>
      <c r="L534" s="3">
        <v>0</v>
      </c>
      <c r="M534" t="s">
        <v>29</v>
      </c>
      <c r="N534" t="s">
        <v>42</v>
      </c>
      <c r="O534" s="4">
        <v>0.24990348663750861</v>
      </c>
      <c r="P534" s="4">
        <v>0.75009651336249139</v>
      </c>
      <c r="Q534" t="s">
        <v>561</v>
      </c>
      <c r="R534" s="4">
        <v>1.650551344386566E-5</v>
      </c>
      <c r="S534" s="3">
        <v>17057764.140000001</v>
      </c>
      <c r="T534" s="4">
        <v>0.1682893085108321</v>
      </c>
    </row>
    <row r="535" spans="1:20" x14ac:dyDescent="0.4">
      <c r="A535" s="2">
        <v>45912</v>
      </c>
      <c r="B535" t="s">
        <v>37</v>
      </c>
      <c r="C535" t="s">
        <v>28</v>
      </c>
      <c r="D535" s="3" t="str">
        <f t="shared" si="55"/>
        <v>PASS</v>
      </c>
      <c r="E535" s="3" t="str">
        <f t="shared" si="56"/>
        <v>PASS</v>
      </c>
      <c r="F535" s="3" t="str">
        <f t="shared" si="57"/>
        <v>PASS</v>
      </c>
      <c r="G535" s="3" t="str">
        <f t="shared" si="58"/>
        <v>FAIL</v>
      </c>
      <c r="H535" s="3">
        <v>40344706.140000001</v>
      </c>
      <c r="I535" s="4">
        <v>0</v>
      </c>
      <c r="J535" s="3">
        <v>35103723.200000003</v>
      </c>
      <c r="K535" s="3">
        <v>7647.15</v>
      </c>
      <c r="L535" s="3">
        <v>0</v>
      </c>
      <c r="M535" t="s">
        <v>29</v>
      </c>
      <c r="N535" t="s">
        <v>42</v>
      </c>
      <c r="O535" s="4">
        <v>0.24972672044086761</v>
      </c>
      <c r="P535" s="4">
        <v>0.75027327955913237</v>
      </c>
      <c r="Q535" t="s">
        <v>562</v>
      </c>
      <c r="R535" s="4">
        <v>6.2544510629789902E-6</v>
      </c>
      <c r="S535" s="3">
        <v>10618295.130000001</v>
      </c>
      <c r="T535" s="4">
        <v>0.26318930402302337</v>
      </c>
    </row>
    <row r="536" spans="1:20" x14ac:dyDescent="0.4">
      <c r="A536" s="2">
        <v>45912</v>
      </c>
      <c r="B536" t="s">
        <v>38</v>
      </c>
      <c r="C536" t="s">
        <v>28</v>
      </c>
      <c r="D536" s="3" t="str">
        <f t="shared" si="55"/>
        <v>PASS</v>
      </c>
      <c r="E536" s="3" t="str">
        <f t="shared" si="56"/>
        <v>PASS</v>
      </c>
      <c r="F536" s="3" t="str">
        <f t="shared" si="57"/>
        <v>PASS</v>
      </c>
      <c r="G536" s="3" t="str">
        <f t="shared" si="58"/>
        <v>FAIL</v>
      </c>
      <c r="H536" s="3">
        <v>43466163.170000002</v>
      </c>
      <c r="I536" s="4">
        <v>0</v>
      </c>
      <c r="J536" s="3">
        <v>37085073.82</v>
      </c>
      <c r="K536" s="3">
        <v>8078.49</v>
      </c>
      <c r="L536" s="3">
        <v>0</v>
      </c>
      <c r="M536" t="s">
        <v>29</v>
      </c>
      <c r="N536" t="s">
        <v>42</v>
      </c>
      <c r="O536" s="4">
        <v>0.25707134860436959</v>
      </c>
      <c r="P536" s="4">
        <v>0.74292865139563036</v>
      </c>
      <c r="Q536" t="s">
        <v>563</v>
      </c>
      <c r="R536" s="4">
        <v>6.8012883143869892E-6</v>
      </c>
      <c r="S536" s="3">
        <v>14600704.18</v>
      </c>
      <c r="T536" s="4">
        <v>0.33590966202596162</v>
      </c>
    </row>
    <row r="537" spans="1:20" x14ac:dyDescent="0.4">
      <c r="A537" s="2">
        <v>45912</v>
      </c>
      <c r="B537" t="s">
        <v>39</v>
      </c>
      <c r="C537" t="s">
        <v>28</v>
      </c>
      <c r="D537" s="3" t="str">
        <f t="shared" si="55"/>
        <v>PASS</v>
      </c>
      <c r="E537" s="3" t="str">
        <f t="shared" si="56"/>
        <v>PASS</v>
      </c>
      <c r="F537" s="3" t="str">
        <f t="shared" si="57"/>
        <v>PASS</v>
      </c>
      <c r="G537" s="3" t="str">
        <f t="shared" si="58"/>
        <v>FAIL</v>
      </c>
      <c r="H537" s="3">
        <v>78857266.140000001</v>
      </c>
      <c r="I537" s="4">
        <v>0</v>
      </c>
      <c r="J537" s="3">
        <v>70961463.180000007</v>
      </c>
      <c r="K537" s="3">
        <v>15457.26</v>
      </c>
      <c r="L537" s="3">
        <v>0</v>
      </c>
      <c r="M537" t="s">
        <v>29</v>
      </c>
      <c r="N537" t="s">
        <v>42</v>
      </c>
      <c r="O537" s="4">
        <v>0.25255747692997332</v>
      </c>
      <c r="P537" s="4">
        <v>0.74744252307002668</v>
      </c>
      <c r="Q537" t="s">
        <v>564</v>
      </c>
      <c r="R537" s="4">
        <v>1.2786592917688601E-5</v>
      </c>
      <c r="S537" s="3">
        <v>17032822.079999998</v>
      </c>
      <c r="T537" s="4">
        <v>0.2159955944929744</v>
      </c>
    </row>
    <row r="538" spans="1:20" x14ac:dyDescent="0.4">
      <c r="A538" s="2">
        <v>45915</v>
      </c>
      <c r="B538" t="s">
        <v>27</v>
      </c>
      <c r="C538" t="s">
        <v>28</v>
      </c>
      <c r="D538" s="3" t="str">
        <f t="shared" si="55"/>
        <v>PASS</v>
      </c>
      <c r="E538" s="3" t="str">
        <f t="shared" si="56"/>
        <v>PASS</v>
      </c>
      <c r="F538" s="3" t="str">
        <f t="shared" si="57"/>
        <v>PASS</v>
      </c>
      <c r="G538" s="3" t="str">
        <f t="shared" si="58"/>
        <v>FAIL</v>
      </c>
      <c r="H538" s="3">
        <v>54413596.82</v>
      </c>
      <c r="I538" s="4">
        <v>0</v>
      </c>
      <c r="J538" s="3">
        <v>49920300.450000003</v>
      </c>
      <c r="K538" s="3">
        <v>3638.25</v>
      </c>
      <c r="L538" s="3">
        <v>0</v>
      </c>
      <c r="M538" t="s">
        <v>29</v>
      </c>
      <c r="N538" t="s">
        <v>565</v>
      </c>
      <c r="O538" s="4">
        <v>0.25712315840038169</v>
      </c>
      <c r="P538" s="4">
        <v>0.74287684159961831</v>
      </c>
      <c r="Q538" t="s">
        <v>566</v>
      </c>
      <c r="R538" s="4">
        <v>7.508519598011193E-5</v>
      </c>
      <c r="S538" s="3">
        <v>9305272.8000000007</v>
      </c>
      <c r="T538" s="4">
        <v>0.17101006630349791</v>
      </c>
    </row>
    <row r="539" spans="1:20" x14ac:dyDescent="0.4">
      <c r="A539" s="2">
        <v>45915</v>
      </c>
      <c r="B539" t="s">
        <v>30</v>
      </c>
      <c r="C539" t="s">
        <v>28</v>
      </c>
      <c r="D539" s="3" t="str">
        <f t="shared" si="55"/>
        <v>PASS</v>
      </c>
      <c r="E539" s="3" t="str">
        <f t="shared" si="56"/>
        <v>PASS</v>
      </c>
      <c r="F539" s="3" t="str">
        <f t="shared" si="57"/>
        <v>PASS</v>
      </c>
      <c r="G539" s="3" t="str">
        <f t="shared" si="58"/>
        <v>FAIL</v>
      </c>
      <c r="H539" s="3">
        <v>34788721.609999999</v>
      </c>
      <c r="I539" s="4">
        <v>0</v>
      </c>
      <c r="J539" s="3">
        <v>32603078.350000001</v>
      </c>
      <c r="K539" s="3">
        <v>2357.0500000000002</v>
      </c>
      <c r="L539" s="3">
        <v>0</v>
      </c>
      <c r="M539" t="s">
        <v>29</v>
      </c>
      <c r="N539" t="s">
        <v>42</v>
      </c>
      <c r="O539" s="4">
        <v>0.25295309606861088</v>
      </c>
      <c r="P539" s="4">
        <v>0.74704690393138906</v>
      </c>
      <c r="Q539" t="s">
        <v>567</v>
      </c>
      <c r="R539" s="4">
        <v>5.8272344603164904E-6</v>
      </c>
      <c r="S539" s="3">
        <v>4421627.8</v>
      </c>
      <c r="T539" s="4">
        <v>0.12709946199141181</v>
      </c>
    </row>
    <row r="540" spans="1:20" x14ac:dyDescent="0.4">
      <c r="A540" s="2">
        <v>45915</v>
      </c>
      <c r="B540" t="s">
        <v>31</v>
      </c>
      <c r="C540" t="s">
        <v>28</v>
      </c>
      <c r="D540" s="3" t="str">
        <f t="shared" si="55"/>
        <v>PASS</v>
      </c>
      <c r="E540" s="3" t="str">
        <f t="shared" si="56"/>
        <v>PASS</v>
      </c>
      <c r="F540" s="3" t="str">
        <f t="shared" si="57"/>
        <v>PASS</v>
      </c>
      <c r="G540" s="3" t="str">
        <f t="shared" si="58"/>
        <v>FAIL</v>
      </c>
      <c r="H540" s="3">
        <v>23531632.140000001</v>
      </c>
      <c r="I540" s="4">
        <v>0</v>
      </c>
      <c r="J540" s="3">
        <v>21602630.559999999</v>
      </c>
      <c r="K540" s="3">
        <v>1562.85</v>
      </c>
      <c r="L540" s="3">
        <v>0</v>
      </c>
      <c r="M540" t="s">
        <v>29</v>
      </c>
      <c r="N540" t="s">
        <v>42</v>
      </c>
      <c r="O540" s="4">
        <v>0.25155859907461198</v>
      </c>
      <c r="P540" s="4">
        <v>0.74844140092538802</v>
      </c>
      <c r="Q540" t="s">
        <v>568</v>
      </c>
      <c r="R540" s="4">
        <v>3.8406772579358684E-6</v>
      </c>
      <c r="S540" s="3">
        <v>3812756.89</v>
      </c>
      <c r="T540" s="4">
        <v>0.16202687800473151</v>
      </c>
    </row>
    <row r="541" spans="1:20" x14ac:dyDescent="0.4">
      <c r="A541" s="2">
        <v>45915</v>
      </c>
      <c r="B541" t="s">
        <v>32</v>
      </c>
      <c r="C541" t="s">
        <v>28</v>
      </c>
      <c r="D541" s="3" t="str">
        <f t="shared" si="55"/>
        <v>PASS</v>
      </c>
      <c r="E541" s="3" t="str">
        <f t="shared" si="56"/>
        <v>PASS</v>
      </c>
      <c r="F541" s="3" t="str">
        <f t="shared" si="57"/>
        <v>PASS</v>
      </c>
      <c r="G541" s="3" t="str">
        <f t="shared" si="58"/>
        <v>FAIL</v>
      </c>
      <c r="H541" s="3">
        <v>24790138.030000001</v>
      </c>
      <c r="I541" s="4">
        <v>0</v>
      </c>
      <c r="J541" s="3">
        <v>20815979.260000002</v>
      </c>
      <c r="K541" s="3">
        <v>1506.11</v>
      </c>
      <c r="L541" s="3">
        <v>0</v>
      </c>
      <c r="M541" t="s">
        <v>29</v>
      </c>
      <c r="N541" t="s">
        <v>46</v>
      </c>
      <c r="O541" s="4">
        <v>0.29250146264797922</v>
      </c>
      <c r="P541" s="4">
        <v>0.70749853735202084</v>
      </c>
      <c r="Q541" t="s">
        <v>569</v>
      </c>
      <c r="R541" s="4">
        <v>3.6868792809773689E-6</v>
      </c>
      <c r="S541" s="3">
        <v>7923908.7699999986</v>
      </c>
      <c r="T541" s="4">
        <v>0.31963955829575502</v>
      </c>
    </row>
    <row r="542" spans="1:20" x14ac:dyDescent="0.4">
      <c r="A542" s="2">
        <v>45915</v>
      </c>
      <c r="B542" t="s">
        <v>33</v>
      </c>
      <c r="C542" t="s">
        <v>28</v>
      </c>
      <c r="D542" s="3" t="str">
        <f t="shared" si="55"/>
        <v>PASS</v>
      </c>
      <c r="E542" s="3" t="str">
        <f t="shared" si="56"/>
        <v>PASS</v>
      </c>
      <c r="F542" s="3" t="str">
        <f t="shared" si="57"/>
        <v>PASS</v>
      </c>
      <c r="G542" s="3" t="str">
        <f t="shared" si="58"/>
        <v>FAIL</v>
      </c>
      <c r="H542" s="3">
        <v>15420428.34</v>
      </c>
      <c r="I542" s="4">
        <v>0</v>
      </c>
      <c r="J542" s="3">
        <v>13759497.119999999</v>
      </c>
      <c r="K542" s="3">
        <v>995.64</v>
      </c>
      <c r="L542" s="3">
        <v>0</v>
      </c>
      <c r="M542" t="s">
        <v>29</v>
      </c>
      <c r="N542" t="s">
        <v>42</v>
      </c>
      <c r="O542" s="4">
        <v>0.25146032226503351</v>
      </c>
      <c r="P542" s="4">
        <v>0.74853967773496644</v>
      </c>
      <c r="Q542" t="s">
        <v>570</v>
      </c>
      <c r="R542" s="4">
        <v>2.443678967229496E-6</v>
      </c>
      <c r="S542" s="3">
        <v>4110803.61</v>
      </c>
      <c r="T542" s="4">
        <v>0.26658167460476651</v>
      </c>
    </row>
    <row r="543" spans="1:20" x14ac:dyDescent="0.4">
      <c r="A543" s="2">
        <v>45915</v>
      </c>
      <c r="B543" t="s">
        <v>34</v>
      </c>
      <c r="C543" t="s">
        <v>28</v>
      </c>
      <c r="D543" s="3" t="str">
        <f t="shared" si="55"/>
        <v>PASS</v>
      </c>
      <c r="E543" s="3" t="str">
        <f t="shared" si="56"/>
        <v>PASS</v>
      </c>
      <c r="F543" s="3" t="str">
        <f t="shared" si="57"/>
        <v>PASS</v>
      </c>
      <c r="G543" s="3" t="str">
        <f t="shared" si="58"/>
        <v>FAIL</v>
      </c>
      <c r="H543" s="3">
        <v>167463286.09</v>
      </c>
      <c r="I543" s="4">
        <v>0</v>
      </c>
      <c r="J543" s="3">
        <v>143240141.62</v>
      </c>
      <c r="K543" s="3">
        <v>10363.02</v>
      </c>
      <c r="L543" s="3">
        <v>0</v>
      </c>
      <c r="M543" t="s">
        <v>29</v>
      </c>
      <c r="N543" t="s">
        <v>42</v>
      </c>
      <c r="O543" s="4">
        <v>0.25090757376758871</v>
      </c>
      <c r="P543" s="4">
        <v>0.74909242623241135</v>
      </c>
      <c r="Q543" t="s">
        <v>571</v>
      </c>
      <c r="R543" s="4">
        <v>2.5400163111298899E-5</v>
      </c>
      <c r="S543" s="3">
        <v>48261474.880000003</v>
      </c>
      <c r="T543" s="4">
        <v>0.28819137619252722</v>
      </c>
    </row>
    <row r="544" spans="1:20" x14ac:dyDescent="0.4">
      <c r="A544" s="2">
        <v>45915</v>
      </c>
      <c r="B544" t="s">
        <v>35</v>
      </c>
      <c r="C544" t="s">
        <v>28</v>
      </c>
      <c r="D544" s="3" t="str">
        <f t="shared" si="55"/>
        <v>PASS</v>
      </c>
      <c r="E544" s="3" t="str">
        <f t="shared" si="56"/>
        <v>PASS</v>
      </c>
      <c r="F544" s="3" t="str">
        <f t="shared" si="57"/>
        <v>PASS</v>
      </c>
      <c r="G544" s="3" t="str">
        <f t="shared" si="58"/>
        <v>FAIL</v>
      </c>
      <c r="H544" s="3">
        <v>136342508.08000001</v>
      </c>
      <c r="I544" s="4">
        <v>0</v>
      </c>
      <c r="J544" s="3">
        <v>120968358.45999999</v>
      </c>
      <c r="K544" s="3">
        <v>8746.27</v>
      </c>
      <c r="L544" s="3">
        <v>0</v>
      </c>
      <c r="M544" t="s">
        <v>29</v>
      </c>
      <c r="N544" t="s">
        <v>42</v>
      </c>
      <c r="O544" s="4">
        <v>0.25719151293838272</v>
      </c>
      <c r="P544" s="4">
        <v>0.7428084870616174</v>
      </c>
      <c r="Q544" t="s">
        <v>572</v>
      </c>
      <c r="R544" s="4">
        <v>2.1988838539038841E-5</v>
      </c>
      <c r="S544" s="3">
        <v>34054227.969999999</v>
      </c>
      <c r="T544" s="4">
        <v>0.24976970461786149</v>
      </c>
    </row>
    <row r="545" spans="1:20" x14ac:dyDescent="0.4">
      <c r="A545" s="2">
        <v>45915</v>
      </c>
      <c r="B545" t="s">
        <v>36</v>
      </c>
      <c r="C545" t="s">
        <v>28</v>
      </c>
      <c r="D545" s="3" t="str">
        <f t="shared" si="55"/>
        <v>PASS</v>
      </c>
      <c r="E545" s="3" t="str">
        <f t="shared" si="56"/>
        <v>PASS</v>
      </c>
      <c r="F545" s="3" t="str">
        <f t="shared" si="57"/>
        <v>PASS</v>
      </c>
      <c r="G545" s="3" t="str">
        <f t="shared" si="58"/>
        <v>FAIL</v>
      </c>
      <c r="H545" s="3">
        <v>101692799.54000001</v>
      </c>
      <c r="I545" s="4">
        <v>0</v>
      </c>
      <c r="J545" s="3">
        <v>92768193.849999994</v>
      </c>
      <c r="K545" s="3">
        <v>6710.82</v>
      </c>
      <c r="L545" s="3">
        <v>0</v>
      </c>
      <c r="M545" t="s">
        <v>29</v>
      </c>
      <c r="N545" t="s">
        <v>42</v>
      </c>
      <c r="O545" s="4">
        <v>0.2499490299174344</v>
      </c>
      <c r="P545" s="4">
        <v>0.7500509700825656</v>
      </c>
      <c r="Q545" t="s">
        <v>573</v>
      </c>
      <c r="R545" s="4">
        <v>1.6385892795120161E-5</v>
      </c>
      <c r="S545" s="3">
        <v>17494848.02</v>
      </c>
      <c r="T545" s="4">
        <v>0.1720362513288716</v>
      </c>
    </row>
    <row r="546" spans="1:20" x14ac:dyDescent="0.4">
      <c r="A546" s="2">
        <v>45915</v>
      </c>
      <c r="B546" t="s">
        <v>37</v>
      </c>
      <c r="C546" t="s">
        <v>28</v>
      </c>
      <c r="D546" s="3" t="str">
        <f t="shared" si="55"/>
        <v>PASS</v>
      </c>
      <c r="E546" s="3" t="str">
        <f t="shared" si="56"/>
        <v>PASS</v>
      </c>
      <c r="F546" s="3" t="str">
        <f t="shared" si="57"/>
        <v>PASS</v>
      </c>
      <c r="G546" s="3" t="str">
        <f t="shared" si="58"/>
        <v>FAIL</v>
      </c>
      <c r="H546" s="3">
        <v>40477589.950000003</v>
      </c>
      <c r="I546" s="4">
        <v>0</v>
      </c>
      <c r="J546" s="3">
        <v>35240383.920000002</v>
      </c>
      <c r="K546" s="3">
        <v>2549.31</v>
      </c>
      <c r="L546" s="3">
        <v>0</v>
      </c>
      <c r="M546" t="s">
        <v>29</v>
      </c>
      <c r="N546" t="s">
        <v>42</v>
      </c>
      <c r="O546" s="4">
        <v>0.24998448598059431</v>
      </c>
      <c r="P546" s="4">
        <v>0.7500155140194058</v>
      </c>
      <c r="Q546" t="s">
        <v>574</v>
      </c>
      <c r="R546" s="4">
        <v>6.2202737347659899E-6</v>
      </c>
      <c r="S546" s="3">
        <v>10784588.4</v>
      </c>
      <c r="T546" s="4">
        <v>0.26643356023225878</v>
      </c>
    </row>
    <row r="547" spans="1:20" x14ac:dyDescent="0.4">
      <c r="A547" s="2">
        <v>45915</v>
      </c>
      <c r="B547" t="s">
        <v>38</v>
      </c>
      <c r="C547" t="s">
        <v>28</v>
      </c>
      <c r="D547" s="3" t="str">
        <f t="shared" si="55"/>
        <v>PASS</v>
      </c>
      <c r="E547" s="3" t="str">
        <f t="shared" si="56"/>
        <v>PASS</v>
      </c>
      <c r="F547" s="3" t="str">
        <f t="shared" si="57"/>
        <v>PASS</v>
      </c>
      <c r="G547" s="3" t="str">
        <f t="shared" si="58"/>
        <v>FAIL</v>
      </c>
      <c r="H547" s="3">
        <v>43623643</v>
      </c>
      <c r="I547" s="4">
        <v>0</v>
      </c>
      <c r="J547" s="3">
        <v>37246333.229999997</v>
      </c>
      <c r="K547" s="3">
        <v>2693.03</v>
      </c>
      <c r="L547" s="3">
        <v>0</v>
      </c>
      <c r="M547" t="s">
        <v>29</v>
      </c>
      <c r="N547" t="s">
        <v>42</v>
      </c>
      <c r="O547" s="4">
        <v>0.25725978718039838</v>
      </c>
      <c r="P547" s="4">
        <v>0.74274021281960168</v>
      </c>
      <c r="Q547" t="s">
        <v>575</v>
      </c>
      <c r="R547" s="4">
        <v>6.7649749031606768E-6</v>
      </c>
      <c r="S547" s="3">
        <v>14814833.52</v>
      </c>
      <c r="T547" s="4">
        <v>0.33960560148541469</v>
      </c>
    </row>
    <row r="548" spans="1:20" x14ac:dyDescent="0.4">
      <c r="A548" s="2">
        <v>45915</v>
      </c>
      <c r="B548" t="s">
        <v>39</v>
      </c>
      <c r="C548" t="s">
        <v>28</v>
      </c>
      <c r="D548" s="3" t="str">
        <f t="shared" si="55"/>
        <v>PASS</v>
      </c>
      <c r="E548" s="3" t="str">
        <f t="shared" si="56"/>
        <v>PASS</v>
      </c>
      <c r="F548" s="3" t="str">
        <f t="shared" si="57"/>
        <v>PASS</v>
      </c>
      <c r="G548" s="3" t="str">
        <f t="shared" si="58"/>
        <v>FAIL</v>
      </c>
      <c r="H548" s="3">
        <v>79157184.760000005</v>
      </c>
      <c r="I548" s="4">
        <v>0</v>
      </c>
      <c r="J548" s="3">
        <v>71266758.989999995</v>
      </c>
      <c r="K548" s="3">
        <v>5152</v>
      </c>
      <c r="L548" s="3">
        <v>0</v>
      </c>
      <c r="M548" t="s">
        <v>29</v>
      </c>
      <c r="N548" t="s">
        <v>42</v>
      </c>
      <c r="O548" s="4">
        <v>0.25272549383825987</v>
      </c>
      <c r="P548" s="4">
        <v>0.74727450616174007</v>
      </c>
      <c r="Q548" t="s">
        <v>576</v>
      </c>
      <c r="R548" s="4">
        <v>1.271610217824929E-5</v>
      </c>
      <c r="S548" s="3">
        <v>17358426.120000001</v>
      </c>
      <c r="T548" s="4">
        <v>0.21929059468991649</v>
      </c>
    </row>
    <row r="549" spans="1:20" x14ac:dyDescent="0.4">
      <c r="A549" s="2">
        <v>45916</v>
      </c>
      <c r="B549" t="s">
        <v>27</v>
      </c>
      <c r="C549" t="s">
        <v>28</v>
      </c>
      <c r="D549" s="3" t="str">
        <f t="shared" si="55"/>
        <v>PASS</v>
      </c>
      <c r="E549" s="3" t="str">
        <f t="shared" si="56"/>
        <v>PASS</v>
      </c>
      <c r="F549" s="3" t="str">
        <f t="shared" si="57"/>
        <v>PASS</v>
      </c>
      <c r="G549" s="3" t="str">
        <f t="shared" si="58"/>
        <v>FAIL</v>
      </c>
      <c r="H549" s="3">
        <v>54335983.289999999</v>
      </c>
      <c r="I549" s="4">
        <v>0</v>
      </c>
      <c r="J549" s="3">
        <v>49839062.57</v>
      </c>
      <c r="K549" s="3">
        <v>3625.03</v>
      </c>
      <c r="L549" s="3">
        <v>0</v>
      </c>
      <c r="M549" t="s">
        <v>29</v>
      </c>
      <c r="N549" t="s">
        <v>577</v>
      </c>
      <c r="O549" s="4">
        <v>0.25709628751550567</v>
      </c>
      <c r="P549" s="4">
        <v>0.74290371248449427</v>
      </c>
      <c r="Q549" t="s">
        <v>578</v>
      </c>
      <c r="R549" s="4">
        <v>7.508519598011193E-5</v>
      </c>
      <c r="S549" s="3">
        <v>9347389.0499999989</v>
      </c>
      <c r="T549" s="4">
        <v>0.17202944502009759</v>
      </c>
    </row>
    <row r="550" spans="1:20" x14ac:dyDescent="0.4">
      <c r="A550" s="2">
        <v>45916</v>
      </c>
      <c r="B550" t="s">
        <v>30</v>
      </c>
      <c r="C550" t="s">
        <v>28</v>
      </c>
      <c r="D550" s="3" t="str">
        <f t="shared" si="55"/>
        <v>PASS</v>
      </c>
      <c r="E550" s="3" t="str">
        <f t="shared" si="56"/>
        <v>PASS</v>
      </c>
      <c r="F550" s="3" t="str">
        <f t="shared" si="57"/>
        <v>PASS</v>
      </c>
      <c r="G550" s="3" t="str">
        <f t="shared" si="58"/>
        <v>FAIL</v>
      </c>
      <c r="H550" s="3">
        <v>34789572.75</v>
      </c>
      <c r="I550" s="4">
        <v>0</v>
      </c>
      <c r="J550" s="3">
        <v>32601562.420000002</v>
      </c>
      <c r="K550" s="3">
        <v>2367.0700000000002</v>
      </c>
      <c r="L550" s="3">
        <v>0</v>
      </c>
      <c r="M550" t="s">
        <v>29</v>
      </c>
      <c r="N550" t="s">
        <v>42</v>
      </c>
      <c r="O550" s="4">
        <v>0.25187522500340342</v>
      </c>
      <c r="P550" s="4">
        <v>0.74812477499659669</v>
      </c>
      <c r="Q550" t="s">
        <v>579</v>
      </c>
      <c r="R550" s="4">
        <v>5.8272344603164904E-6</v>
      </c>
      <c r="S550" s="3">
        <v>4430002.34</v>
      </c>
      <c r="T550" s="4">
        <v>0.12733707228410851</v>
      </c>
    </row>
    <row r="551" spans="1:20" x14ac:dyDescent="0.4">
      <c r="A551" s="2">
        <v>45916</v>
      </c>
      <c r="B551" t="s">
        <v>31</v>
      </c>
      <c r="C551" t="s">
        <v>28</v>
      </c>
      <c r="D551" s="3" t="str">
        <f t="shared" si="55"/>
        <v>PASS</v>
      </c>
      <c r="E551" s="3" t="str">
        <f t="shared" si="56"/>
        <v>PASS</v>
      </c>
      <c r="F551" s="3" t="str">
        <f t="shared" si="57"/>
        <v>PASS</v>
      </c>
      <c r="G551" s="3" t="str">
        <f t="shared" si="58"/>
        <v>FAIL</v>
      </c>
      <c r="H551" s="3">
        <v>23540077.899999999</v>
      </c>
      <c r="I551" s="4">
        <v>0</v>
      </c>
      <c r="J551" s="3">
        <v>21609507.91</v>
      </c>
      <c r="K551" s="3">
        <v>1569.12</v>
      </c>
      <c r="L551" s="3">
        <v>0</v>
      </c>
      <c r="M551" t="s">
        <v>29</v>
      </c>
      <c r="N551" t="s">
        <v>42</v>
      </c>
      <c r="O551" s="4">
        <v>0.25040652996526291</v>
      </c>
      <c r="P551" s="4">
        <v>0.74959347003473709</v>
      </c>
      <c r="Q551" t="s">
        <v>580</v>
      </c>
      <c r="R551" s="4">
        <v>3.8406772579358684E-6</v>
      </c>
      <c r="S551" s="3">
        <v>3824476.48</v>
      </c>
      <c r="T551" s="4">
        <v>0.16246660254255149</v>
      </c>
    </row>
    <row r="552" spans="1:20" x14ac:dyDescent="0.4">
      <c r="A552" s="2">
        <v>45916</v>
      </c>
      <c r="B552" t="s">
        <v>32</v>
      </c>
      <c r="C552" t="s">
        <v>28</v>
      </c>
      <c r="D552" s="3" t="str">
        <f t="shared" si="55"/>
        <v>PASS</v>
      </c>
      <c r="E552" s="3" t="str">
        <f t="shared" si="56"/>
        <v>PASS</v>
      </c>
      <c r="F552" s="3" t="str">
        <f t="shared" si="57"/>
        <v>PASS</v>
      </c>
      <c r="G552" s="3" t="str">
        <f t="shared" si="58"/>
        <v>FAIL</v>
      </c>
      <c r="H552" s="3">
        <v>24794543.690000001</v>
      </c>
      <c r="I552" s="4">
        <v>0</v>
      </c>
      <c r="J552" s="3">
        <v>20818873.620000001</v>
      </c>
      <c r="K552" s="3">
        <v>1511.85</v>
      </c>
      <c r="L552" s="3">
        <v>0</v>
      </c>
      <c r="M552" t="s">
        <v>29</v>
      </c>
      <c r="N552" t="s">
        <v>46</v>
      </c>
      <c r="O552" s="4">
        <v>0.29095112063031958</v>
      </c>
      <c r="P552" s="4">
        <v>0.70904887936968031</v>
      </c>
      <c r="Q552" t="s">
        <v>581</v>
      </c>
      <c r="R552" s="4">
        <v>3.6868792809773689E-6</v>
      </c>
      <c r="S552" s="3">
        <v>7934757.0000000009</v>
      </c>
      <c r="T552" s="4">
        <v>0.32002028749576072</v>
      </c>
    </row>
    <row r="553" spans="1:20" x14ac:dyDescent="0.4">
      <c r="A553" s="2">
        <v>45916</v>
      </c>
      <c r="B553" t="s">
        <v>33</v>
      </c>
      <c r="C553" t="s">
        <v>28</v>
      </c>
      <c r="D553" s="3" t="str">
        <f t="shared" si="55"/>
        <v>PASS</v>
      </c>
      <c r="E553" s="3" t="str">
        <f t="shared" si="56"/>
        <v>PASS</v>
      </c>
      <c r="F553" s="3" t="str">
        <f t="shared" si="57"/>
        <v>PASS</v>
      </c>
      <c r="G553" s="3" t="str">
        <f t="shared" si="58"/>
        <v>FAIL</v>
      </c>
      <c r="H553" s="3">
        <v>15424565.25</v>
      </c>
      <c r="I553" s="4">
        <v>0</v>
      </c>
      <c r="J553" s="3">
        <v>13762635.050000001</v>
      </c>
      <c r="K553" s="3">
        <v>999.69</v>
      </c>
      <c r="L553" s="3">
        <v>0</v>
      </c>
      <c r="M553" t="s">
        <v>29</v>
      </c>
      <c r="N553" t="s">
        <v>42</v>
      </c>
      <c r="O553" s="4">
        <v>0.25030639899152157</v>
      </c>
      <c r="P553" s="4">
        <v>0.74969360100847837</v>
      </c>
      <c r="Q553" t="s">
        <v>582</v>
      </c>
      <c r="R553" s="4">
        <v>2.443678967229496E-6</v>
      </c>
      <c r="S553" s="3">
        <v>4118622.8</v>
      </c>
      <c r="T553" s="4">
        <v>0.2670171076620782</v>
      </c>
    </row>
    <row r="554" spans="1:20" x14ac:dyDescent="0.4">
      <c r="A554" s="2">
        <v>45916</v>
      </c>
      <c r="B554" t="s">
        <v>34</v>
      </c>
      <c r="C554" t="s">
        <v>28</v>
      </c>
      <c r="D554" s="3" t="str">
        <f t="shared" si="55"/>
        <v>PASS</v>
      </c>
      <c r="E554" s="3" t="str">
        <f t="shared" si="56"/>
        <v>PASS</v>
      </c>
      <c r="F554" s="3" t="str">
        <f t="shared" si="57"/>
        <v>PASS</v>
      </c>
      <c r="G554" s="3" t="str">
        <f t="shared" si="58"/>
        <v>FAIL</v>
      </c>
      <c r="H554" s="3">
        <v>167544928.38</v>
      </c>
      <c r="I554" s="4">
        <v>0</v>
      </c>
      <c r="J554" s="3">
        <v>143311384.28</v>
      </c>
      <c r="K554" s="3">
        <v>10400.18</v>
      </c>
      <c r="L554" s="3">
        <v>0</v>
      </c>
      <c r="M554" t="s">
        <v>29</v>
      </c>
      <c r="N554" t="s">
        <v>46</v>
      </c>
      <c r="O554" s="4">
        <v>0.29103623455698302</v>
      </c>
      <c r="P554" s="4">
        <v>0.70896376544301698</v>
      </c>
      <c r="Q554" t="s">
        <v>583</v>
      </c>
      <c r="R554" s="4">
        <v>2.5400163111298899E-5</v>
      </c>
      <c r="S554" s="3">
        <v>48355682.900000013</v>
      </c>
      <c r="T554" s="4">
        <v>0.28861322970234582</v>
      </c>
    </row>
    <row r="555" spans="1:20" x14ac:dyDescent="0.4">
      <c r="A555" s="2">
        <v>45916</v>
      </c>
      <c r="B555" t="s">
        <v>35</v>
      </c>
      <c r="C555" t="s">
        <v>28</v>
      </c>
      <c r="D555" s="3" t="str">
        <f t="shared" si="55"/>
        <v>PASS</v>
      </c>
      <c r="E555" s="3" t="str">
        <f t="shared" si="56"/>
        <v>PASS</v>
      </c>
      <c r="F555" s="3" t="str">
        <f t="shared" si="57"/>
        <v>PASS</v>
      </c>
      <c r="G555" s="3" t="str">
        <f t="shared" si="58"/>
        <v>FAIL</v>
      </c>
      <c r="H555" s="3">
        <v>136371727.21000001</v>
      </c>
      <c r="I555" s="4">
        <v>0</v>
      </c>
      <c r="J555" s="3">
        <v>120988794.95999999</v>
      </c>
      <c r="K555" s="3">
        <v>8783.18</v>
      </c>
      <c r="L555" s="3">
        <v>0</v>
      </c>
      <c r="M555" t="s">
        <v>29</v>
      </c>
      <c r="N555" t="s">
        <v>42</v>
      </c>
      <c r="O555" s="4">
        <v>0.25604558579364167</v>
      </c>
      <c r="P555" s="4">
        <v>0.74395441420635833</v>
      </c>
      <c r="Q555" t="s">
        <v>584</v>
      </c>
      <c r="R555" s="4">
        <v>2.1988838539038841E-5</v>
      </c>
      <c r="S555" s="3">
        <v>34121461.700000003</v>
      </c>
      <c r="T555" s="4">
        <v>0.25020920683549058</v>
      </c>
    </row>
    <row r="556" spans="1:20" x14ac:dyDescent="0.4">
      <c r="A556" s="2">
        <v>45916</v>
      </c>
      <c r="B556" t="s">
        <v>36</v>
      </c>
      <c r="C556" t="s">
        <v>28</v>
      </c>
      <c r="D556" s="3" t="str">
        <f t="shared" si="55"/>
        <v>PASS</v>
      </c>
      <c r="E556" s="3" t="str">
        <f t="shared" si="56"/>
        <v>PASS</v>
      </c>
      <c r="F556" s="3" t="str">
        <f t="shared" si="57"/>
        <v>PASS</v>
      </c>
      <c r="G556" s="3" t="str">
        <f t="shared" si="58"/>
        <v>FAIL</v>
      </c>
      <c r="H556" s="3">
        <v>101740630.58</v>
      </c>
      <c r="I556" s="4">
        <v>0</v>
      </c>
      <c r="J556" s="3">
        <v>92809289.659999996</v>
      </c>
      <c r="K556" s="3">
        <v>6735.91</v>
      </c>
      <c r="L556" s="3">
        <v>0</v>
      </c>
      <c r="M556" t="s">
        <v>29</v>
      </c>
      <c r="N556" t="s">
        <v>42</v>
      </c>
      <c r="O556" s="4">
        <v>0.24876364860219971</v>
      </c>
      <c r="P556" s="4">
        <v>0.75123635139780032</v>
      </c>
      <c r="Q556" t="s">
        <v>585</v>
      </c>
      <c r="R556" s="4">
        <v>1.6385892795120161E-5</v>
      </c>
      <c r="S556" s="3">
        <v>17554324.41</v>
      </c>
      <c r="T556" s="4">
        <v>0.1725399607799443</v>
      </c>
    </row>
    <row r="557" spans="1:20" x14ac:dyDescent="0.4">
      <c r="A557" s="2">
        <v>45916</v>
      </c>
      <c r="B557" t="s">
        <v>37</v>
      </c>
      <c r="C557" t="s">
        <v>28</v>
      </c>
      <c r="D557" s="3" t="str">
        <f t="shared" si="55"/>
        <v>PASS</v>
      </c>
      <c r="E557" s="3" t="str">
        <f t="shared" si="56"/>
        <v>PASS</v>
      </c>
      <c r="F557" s="3" t="str">
        <f t="shared" si="57"/>
        <v>PASS</v>
      </c>
      <c r="G557" s="3" t="str">
        <f t="shared" si="58"/>
        <v>FAIL</v>
      </c>
      <c r="H557" s="3">
        <v>40487727.009999998</v>
      </c>
      <c r="I557" s="4">
        <v>0</v>
      </c>
      <c r="J557" s="3">
        <v>35247962.43</v>
      </c>
      <c r="K557" s="3">
        <v>2559.23</v>
      </c>
      <c r="L557" s="3">
        <v>0</v>
      </c>
      <c r="M557" t="s">
        <v>29</v>
      </c>
      <c r="N557" t="s">
        <v>42</v>
      </c>
      <c r="O557" s="4">
        <v>0.2488357032670612</v>
      </c>
      <c r="P557" s="4">
        <v>0.75116429673293883</v>
      </c>
      <c r="Q557" t="s">
        <v>586</v>
      </c>
      <c r="R557" s="4">
        <v>6.2202737347659899E-6</v>
      </c>
      <c r="S557" s="3">
        <v>10804189.220000001</v>
      </c>
      <c r="T557" s="4">
        <v>0.26685096985887818</v>
      </c>
    </row>
    <row r="558" spans="1:20" x14ac:dyDescent="0.4">
      <c r="A558" s="2">
        <v>45916</v>
      </c>
      <c r="B558" t="s">
        <v>38</v>
      </c>
      <c r="C558" t="s">
        <v>28</v>
      </c>
      <c r="D558" s="3" t="str">
        <f t="shared" si="55"/>
        <v>PASS</v>
      </c>
      <c r="E558" s="3" t="str">
        <f t="shared" si="56"/>
        <v>PASS</v>
      </c>
      <c r="F558" s="3" t="str">
        <f t="shared" si="57"/>
        <v>PASS</v>
      </c>
      <c r="G558" s="3" t="str">
        <f t="shared" si="58"/>
        <v>FAIL</v>
      </c>
      <c r="H558" s="3">
        <v>43624531.920000002</v>
      </c>
      <c r="I558" s="4">
        <v>0</v>
      </c>
      <c r="J558" s="3">
        <v>37244517.960000001</v>
      </c>
      <c r="K558" s="3">
        <v>2704.74</v>
      </c>
      <c r="L558" s="3">
        <v>0</v>
      </c>
      <c r="M558" t="s">
        <v>29</v>
      </c>
      <c r="N558" t="s">
        <v>42</v>
      </c>
      <c r="O558" s="4">
        <v>0.25614718386866719</v>
      </c>
      <c r="P558" s="4">
        <v>0.74385281613133269</v>
      </c>
      <c r="Q558" t="s">
        <v>587</v>
      </c>
      <c r="R558" s="4">
        <v>6.7649749031606768E-6</v>
      </c>
      <c r="S558" s="3">
        <v>14821825.32</v>
      </c>
      <c r="T558" s="4">
        <v>0.33975895368185771</v>
      </c>
    </row>
    <row r="559" spans="1:20" x14ac:dyDescent="0.4">
      <c r="A559" s="2">
        <v>45916</v>
      </c>
      <c r="B559" t="s">
        <v>39</v>
      </c>
      <c r="C559" t="s">
        <v>28</v>
      </c>
      <c r="D559" s="3" t="str">
        <f t="shared" si="55"/>
        <v>PASS</v>
      </c>
      <c r="E559" s="3" t="str">
        <f t="shared" si="56"/>
        <v>PASS</v>
      </c>
      <c r="F559" s="3" t="str">
        <f t="shared" si="57"/>
        <v>PASS</v>
      </c>
      <c r="G559" s="3" t="str">
        <f t="shared" si="58"/>
        <v>FAIL</v>
      </c>
      <c r="H559" s="3">
        <v>79177985.060000002</v>
      </c>
      <c r="I559" s="4">
        <v>0</v>
      </c>
      <c r="J559" s="3">
        <v>71282385.129999995</v>
      </c>
      <c r="K559" s="3">
        <v>5174.16</v>
      </c>
      <c r="L559" s="3">
        <v>0</v>
      </c>
      <c r="M559" t="s">
        <v>29</v>
      </c>
      <c r="N559" t="s">
        <v>42</v>
      </c>
      <c r="O559" s="4">
        <v>0.25155701408275821</v>
      </c>
      <c r="P559" s="4">
        <v>0.7484429859172419</v>
      </c>
      <c r="Q559" t="s">
        <v>588</v>
      </c>
      <c r="R559" s="4">
        <v>1.271610217824929E-5</v>
      </c>
      <c r="S559" s="3">
        <v>17399142.440000001</v>
      </c>
      <c r="T559" s="4">
        <v>0.21974722426713891</v>
      </c>
    </row>
    <row r="560" spans="1:20" x14ac:dyDescent="0.4">
      <c r="A560" s="2">
        <v>45917</v>
      </c>
      <c r="B560" t="s">
        <v>27</v>
      </c>
      <c r="C560" t="s">
        <v>28</v>
      </c>
      <c r="D560" s="3" t="str">
        <f t="shared" si="55"/>
        <v>PASS</v>
      </c>
      <c r="E560" s="3" t="str">
        <f t="shared" si="56"/>
        <v>PASS</v>
      </c>
      <c r="F560" s="3" t="str">
        <f t="shared" si="57"/>
        <v>PASS</v>
      </c>
      <c r="G560" s="3" t="str">
        <f t="shared" si="58"/>
        <v>FAIL</v>
      </c>
      <c r="H560" s="3">
        <v>54588603.82</v>
      </c>
      <c r="I560" s="4">
        <v>0</v>
      </c>
      <c r="J560" s="3">
        <v>50088064.649999999</v>
      </c>
      <c r="K560" s="3">
        <v>3619.13</v>
      </c>
      <c r="L560" s="3">
        <v>0</v>
      </c>
      <c r="M560" t="s">
        <v>29</v>
      </c>
      <c r="N560" t="s">
        <v>589</v>
      </c>
      <c r="O560" s="4">
        <v>0.25723961187228661</v>
      </c>
      <c r="P560" s="4">
        <v>0.74276038812771339</v>
      </c>
      <c r="Q560" t="s">
        <v>590</v>
      </c>
      <c r="R560" s="4">
        <v>7.5143911335116714E-5</v>
      </c>
      <c r="S560" s="3">
        <v>9347616.0099999998</v>
      </c>
      <c r="T560" s="4">
        <v>0.17123749932903121</v>
      </c>
    </row>
    <row r="561" spans="1:20" x14ac:dyDescent="0.4">
      <c r="A561" s="2">
        <v>45917</v>
      </c>
      <c r="B561" t="s">
        <v>30</v>
      </c>
      <c r="C561" t="s">
        <v>28</v>
      </c>
      <c r="D561" s="3" t="str">
        <f t="shared" si="55"/>
        <v>PASS</v>
      </c>
      <c r="E561" s="3" t="str">
        <f t="shared" si="56"/>
        <v>PASS</v>
      </c>
      <c r="F561" s="3" t="str">
        <f t="shared" si="57"/>
        <v>PASS</v>
      </c>
      <c r="G561" s="3" t="str">
        <f t="shared" si="58"/>
        <v>FAIL</v>
      </c>
      <c r="H561" s="3">
        <v>34772840.829999998</v>
      </c>
      <c r="I561" s="4">
        <v>0</v>
      </c>
      <c r="J561" s="3">
        <v>32582463.539999999</v>
      </c>
      <c r="K561" s="3">
        <v>2366.96</v>
      </c>
      <c r="L561" s="3">
        <v>0</v>
      </c>
      <c r="M561" t="s">
        <v>29</v>
      </c>
      <c r="N561" t="s">
        <v>42</v>
      </c>
      <c r="O561" s="4">
        <v>0.25102698449915922</v>
      </c>
      <c r="P561" s="4">
        <v>0.74897301550084072</v>
      </c>
      <c r="Q561" t="s">
        <v>591</v>
      </c>
      <c r="R561" s="4">
        <v>5.848595290449616E-6</v>
      </c>
      <c r="S561" s="3">
        <v>4399711.5</v>
      </c>
      <c r="T561" s="4">
        <v>0.12652723778047439</v>
      </c>
    </row>
    <row r="562" spans="1:20" x14ac:dyDescent="0.4">
      <c r="A562" s="2">
        <v>45917</v>
      </c>
      <c r="B562" t="s">
        <v>31</v>
      </c>
      <c r="C562" t="s">
        <v>28</v>
      </c>
      <c r="D562" s="3" t="str">
        <f t="shared" si="55"/>
        <v>PASS</v>
      </c>
      <c r="E562" s="3" t="str">
        <f t="shared" si="56"/>
        <v>PASS</v>
      </c>
      <c r="F562" s="3" t="str">
        <f t="shared" si="57"/>
        <v>PASS</v>
      </c>
      <c r="G562" s="3" t="str">
        <f t="shared" si="58"/>
        <v>FAIL</v>
      </c>
      <c r="H562" s="3">
        <v>23531999.620000001</v>
      </c>
      <c r="I562" s="4">
        <v>0</v>
      </c>
      <c r="J562" s="3">
        <v>21599860.719999999</v>
      </c>
      <c r="K562" s="3">
        <v>1569.62</v>
      </c>
      <c r="L562" s="3">
        <v>0</v>
      </c>
      <c r="M562" t="s">
        <v>29</v>
      </c>
      <c r="N562" t="s">
        <v>42</v>
      </c>
      <c r="O562" s="4">
        <v>0.2495198066258642</v>
      </c>
      <c r="P562" s="4">
        <v>0.75048019337413585</v>
      </c>
      <c r="Q562" t="s">
        <v>592</v>
      </c>
      <c r="R562" s="4">
        <v>3.8534937560157441E-6</v>
      </c>
      <c r="S562" s="3">
        <v>3803644.41</v>
      </c>
      <c r="T562" s="4">
        <v>0.16163710995334449</v>
      </c>
    </row>
    <row r="563" spans="1:20" x14ac:dyDescent="0.4">
      <c r="A563" s="2">
        <v>45917</v>
      </c>
      <c r="B563" t="s">
        <v>32</v>
      </c>
      <c r="C563" t="s">
        <v>28</v>
      </c>
      <c r="D563" s="3" t="str">
        <f t="shared" si="55"/>
        <v>PASS</v>
      </c>
      <c r="E563" s="3" t="str">
        <f t="shared" si="56"/>
        <v>PASS</v>
      </c>
      <c r="F563" s="3" t="str">
        <f t="shared" si="57"/>
        <v>PASS</v>
      </c>
      <c r="G563" s="3" t="str">
        <f t="shared" si="58"/>
        <v>FAIL</v>
      </c>
      <c r="H563" s="3">
        <v>24781783.140000001</v>
      </c>
      <c r="I563" s="4">
        <v>0</v>
      </c>
      <c r="J563" s="3">
        <v>20804601.559999999</v>
      </c>
      <c r="K563" s="3">
        <v>1512.06</v>
      </c>
      <c r="L563" s="3">
        <v>0</v>
      </c>
      <c r="M563" t="s">
        <v>29</v>
      </c>
      <c r="N563" t="s">
        <v>46</v>
      </c>
      <c r="O563" s="4">
        <v>0.28851543744729141</v>
      </c>
      <c r="P563" s="4">
        <v>0.71148456255270864</v>
      </c>
      <c r="Q563" t="s">
        <v>593</v>
      </c>
      <c r="R563" s="4">
        <v>3.6954236130306192E-6</v>
      </c>
      <c r="S563" s="3">
        <v>7893339.8399999999</v>
      </c>
      <c r="T563" s="4">
        <v>0.3185137968243878</v>
      </c>
    </row>
    <row r="564" spans="1:20" x14ac:dyDescent="0.4">
      <c r="A564" s="2">
        <v>45917</v>
      </c>
      <c r="B564" t="s">
        <v>33</v>
      </c>
      <c r="C564" t="s">
        <v>28</v>
      </c>
      <c r="D564" s="3" t="str">
        <f t="shared" si="55"/>
        <v>PASS</v>
      </c>
      <c r="E564" s="3" t="str">
        <f t="shared" si="56"/>
        <v>PASS</v>
      </c>
      <c r="F564" s="3" t="str">
        <f t="shared" si="57"/>
        <v>PASS</v>
      </c>
      <c r="G564" s="3" t="str">
        <f t="shared" si="58"/>
        <v>FAIL</v>
      </c>
      <c r="H564" s="3">
        <v>15418677.27</v>
      </c>
      <c r="I564" s="4">
        <v>0</v>
      </c>
      <c r="J564" s="3">
        <v>13755747.859999999</v>
      </c>
      <c r="K564" s="3">
        <v>999.92</v>
      </c>
      <c r="L564" s="3">
        <v>0</v>
      </c>
      <c r="M564" t="s">
        <v>29</v>
      </c>
      <c r="N564" t="s">
        <v>42</v>
      </c>
      <c r="O564" s="4">
        <v>0.24923659439625701</v>
      </c>
      <c r="P564" s="4">
        <v>0.75076340560374299</v>
      </c>
      <c r="Q564" t="s">
        <v>594</v>
      </c>
      <c r="R564" s="4">
        <v>2.450087216269433E-6</v>
      </c>
      <c r="S564" s="3">
        <v>4104120.47</v>
      </c>
      <c r="T564" s="4">
        <v>0.26617850533685888</v>
      </c>
    </row>
    <row r="565" spans="1:20" x14ac:dyDescent="0.4">
      <c r="A565" s="2">
        <v>45917</v>
      </c>
      <c r="B565" t="s">
        <v>34</v>
      </c>
      <c r="C565" t="s">
        <v>28</v>
      </c>
      <c r="D565" s="3" t="str">
        <f t="shared" si="55"/>
        <v>PASS</v>
      </c>
      <c r="E565" s="3" t="str">
        <f t="shared" si="56"/>
        <v>PASS</v>
      </c>
      <c r="F565" s="3" t="str">
        <f t="shared" si="57"/>
        <v>PASS</v>
      </c>
      <c r="G565" s="3" t="str">
        <f t="shared" si="58"/>
        <v>FAIL</v>
      </c>
      <c r="H565" s="3">
        <v>167482275.74000001</v>
      </c>
      <c r="I565" s="4">
        <v>0</v>
      </c>
      <c r="J565" s="3">
        <v>143238326.84</v>
      </c>
      <c r="K565" s="3">
        <v>10405.35</v>
      </c>
      <c r="L565" s="3">
        <v>0</v>
      </c>
      <c r="M565" t="s">
        <v>29</v>
      </c>
      <c r="N565" t="s">
        <v>46</v>
      </c>
      <c r="O565" s="4">
        <v>0.28884255159036309</v>
      </c>
      <c r="P565" s="4">
        <v>0.71115744840963691</v>
      </c>
      <c r="Q565" t="s">
        <v>595</v>
      </c>
      <c r="R565" s="4">
        <v>2.5485606431831391E-5</v>
      </c>
      <c r="S565" s="3">
        <v>48214508.760000013</v>
      </c>
      <c r="T565" s="4">
        <v>0.28787827575765901</v>
      </c>
    </row>
    <row r="566" spans="1:20" x14ac:dyDescent="0.4">
      <c r="A566" s="2">
        <v>45917</v>
      </c>
      <c r="B566" t="s">
        <v>35</v>
      </c>
      <c r="C566" t="s">
        <v>28</v>
      </c>
      <c r="D566" s="3" t="str">
        <f t="shared" si="55"/>
        <v>PASS</v>
      </c>
      <c r="E566" s="3" t="str">
        <f t="shared" si="56"/>
        <v>PASS</v>
      </c>
      <c r="F566" s="3" t="str">
        <f t="shared" si="57"/>
        <v>PASS</v>
      </c>
      <c r="G566" s="3" t="str">
        <f t="shared" si="58"/>
        <v>FAIL</v>
      </c>
      <c r="H566" s="3">
        <v>136323076.80000001</v>
      </c>
      <c r="I566" s="4">
        <v>0</v>
      </c>
      <c r="J566" s="3">
        <v>120931360.43000001</v>
      </c>
      <c r="K566" s="3">
        <v>8784.67</v>
      </c>
      <c r="L566" s="3">
        <v>0</v>
      </c>
      <c r="M566" t="s">
        <v>29</v>
      </c>
      <c r="N566" t="s">
        <v>42</v>
      </c>
      <c r="O566" s="4">
        <v>0.25514787562371261</v>
      </c>
      <c r="P566" s="4">
        <v>0.74485212437628734</v>
      </c>
      <c r="Q566" t="s">
        <v>596</v>
      </c>
      <c r="R566" s="4">
        <v>2.2063601444504781E-5</v>
      </c>
      <c r="S566" s="3">
        <v>33993666.079999998</v>
      </c>
      <c r="T566" s="4">
        <v>0.24936105374053591</v>
      </c>
    </row>
    <row r="567" spans="1:20" x14ac:dyDescent="0.4">
      <c r="A567" s="2">
        <v>45917</v>
      </c>
      <c r="B567" t="s">
        <v>36</v>
      </c>
      <c r="C567" t="s">
        <v>28</v>
      </c>
      <c r="D567" s="3" t="str">
        <f t="shared" si="55"/>
        <v>PASS</v>
      </c>
      <c r="E567" s="3" t="str">
        <f t="shared" si="56"/>
        <v>PASS</v>
      </c>
      <c r="F567" s="3" t="str">
        <f t="shared" si="57"/>
        <v>PASS</v>
      </c>
      <c r="G567" s="3" t="str">
        <f t="shared" si="58"/>
        <v>FAIL</v>
      </c>
      <c r="H567" s="3">
        <v>101694823.14</v>
      </c>
      <c r="I567" s="4">
        <v>0</v>
      </c>
      <c r="J567" s="3">
        <v>92756744.010000005</v>
      </c>
      <c r="K567" s="3">
        <v>6738.89</v>
      </c>
      <c r="L567" s="3">
        <v>0</v>
      </c>
      <c r="M567" t="s">
        <v>29</v>
      </c>
      <c r="N567" t="s">
        <v>42</v>
      </c>
      <c r="O567" s="4">
        <v>0.2478916539752741</v>
      </c>
      <c r="P567" s="4">
        <v>0.75210834602472587</v>
      </c>
      <c r="Q567" t="s">
        <v>597</v>
      </c>
      <c r="R567" s="4">
        <v>1.644143095346629E-5</v>
      </c>
      <c r="S567" s="3">
        <v>17464899.059999999</v>
      </c>
      <c r="T567" s="4">
        <v>0.1717383296488616</v>
      </c>
    </row>
    <row r="568" spans="1:20" x14ac:dyDescent="0.4">
      <c r="A568" s="2">
        <v>45917</v>
      </c>
      <c r="B568" t="s">
        <v>37</v>
      </c>
      <c r="C568" t="s">
        <v>28</v>
      </c>
      <c r="D568" s="3" t="str">
        <f t="shared" si="55"/>
        <v>PASS</v>
      </c>
      <c r="E568" s="3" t="str">
        <f t="shared" si="56"/>
        <v>PASS</v>
      </c>
      <c r="F568" s="3" t="str">
        <f t="shared" si="57"/>
        <v>PASS</v>
      </c>
      <c r="G568" s="3" t="str">
        <f t="shared" si="58"/>
        <v>FAIL</v>
      </c>
      <c r="H568" s="3">
        <v>40469308.969999999</v>
      </c>
      <c r="I568" s="4">
        <v>0</v>
      </c>
      <c r="J568" s="3">
        <v>35226985.289999999</v>
      </c>
      <c r="K568" s="3">
        <v>2559.7800000000002</v>
      </c>
      <c r="L568" s="3">
        <v>0</v>
      </c>
      <c r="M568" t="s">
        <v>29</v>
      </c>
      <c r="N568" t="s">
        <v>42</v>
      </c>
      <c r="O568" s="4">
        <v>0.24779238183853111</v>
      </c>
      <c r="P568" s="4">
        <v>0.75220761816146886</v>
      </c>
      <c r="Q568" t="s">
        <v>598</v>
      </c>
      <c r="R568" s="4">
        <v>6.2373623988724896E-6</v>
      </c>
      <c r="S568" s="3">
        <v>10751410.92</v>
      </c>
      <c r="T568" s="4">
        <v>0.26566826055690862</v>
      </c>
    </row>
    <row r="569" spans="1:20" x14ac:dyDescent="0.4">
      <c r="A569" s="2">
        <v>45917</v>
      </c>
      <c r="B569" t="s">
        <v>38</v>
      </c>
      <c r="C569" t="s">
        <v>28</v>
      </c>
      <c r="D569" s="3" t="str">
        <f t="shared" si="55"/>
        <v>PASS</v>
      </c>
      <c r="E569" s="3" t="str">
        <f t="shared" si="56"/>
        <v>PASS</v>
      </c>
      <c r="F569" s="3" t="str">
        <f t="shared" si="57"/>
        <v>PASS</v>
      </c>
      <c r="G569" s="3" t="str">
        <f t="shared" si="58"/>
        <v>FAIL</v>
      </c>
      <c r="H569" s="3">
        <v>43605320.5</v>
      </c>
      <c r="I569" s="4">
        <v>0</v>
      </c>
      <c r="J569" s="3">
        <v>37222602.490000002</v>
      </c>
      <c r="K569" s="3">
        <v>2704.6</v>
      </c>
      <c r="L569" s="3">
        <v>0</v>
      </c>
      <c r="M569" t="s">
        <v>29</v>
      </c>
      <c r="N569" t="s">
        <v>42</v>
      </c>
      <c r="O569" s="4">
        <v>0.25506513367921152</v>
      </c>
      <c r="P569" s="4">
        <v>0.74493486632078854</v>
      </c>
      <c r="Q569" t="s">
        <v>599</v>
      </c>
      <c r="R569" s="4">
        <v>6.7841996502804886E-6</v>
      </c>
      <c r="S569" s="3">
        <v>14763501.060000001</v>
      </c>
      <c r="T569" s="4">
        <v>0.33857109386456641</v>
      </c>
    </row>
    <row r="570" spans="1:20" x14ac:dyDescent="0.4">
      <c r="A570" s="2">
        <v>45917</v>
      </c>
      <c r="B570" t="s">
        <v>39</v>
      </c>
      <c r="C570" t="s">
        <v>28</v>
      </c>
      <c r="D570" s="3" t="str">
        <f t="shared" si="55"/>
        <v>PASS</v>
      </c>
      <c r="E570" s="3" t="str">
        <f t="shared" si="56"/>
        <v>PASS</v>
      </c>
      <c r="F570" s="3" t="str">
        <f t="shared" si="57"/>
        <v>PASS</v>
      </c>
      <c r="G570" s="3" t="str">
        <f t="shared" si="58"/>
        <v>FAIL</v>
      </c>
      <c r="H570" s="3">
        <v>79147861.799999997</v>
      </c>
      <c r="I570" s="4">
        <v>0</v>
      </c>
      <c r="J570" s="3">
        <v>71247086.569999993</v>
      </c>
      <c r="K570" s="3">
        <v>5175.3</v>
      </c>
      <c r="L570" s="3">
        <v>0</v>
      </c>
      <c r="M570" t="s">
        <v>29</v>
      </c>
      <c r="N570" t="s">
        <v>42</v>
      </c>
      <c r="O570" s="4">
        <v>0.25047070903688179</v>
      </c>
      <c r="P570" s="4">
        <v>0.74952929096311816</v>
      </c>
      <c r="Q570" t="s">
        <v>600</v>
      </c>
      <c r="R570" s="4">
        <v>1.2752415589475599E-5</v>
      </c>
      <c r="S570" s="3">
        <v>17341850.879999999</v>
      </c>
      <c r="T570" s="4">
        <v>0.21910700410102549</v>
      </c>
    </row>
    <row r="571" spans="1:20" x14ac:dyDescent="0.4">
      <c r="A571" s="2">
        <v>45918</v>
      </c>
      <c r="B571" t="s">
        <v>27</v>
      </c>
      <c r="C571" t="s">
        <v>28</v>
      </c>
      <c r="D571" s="3" t="str">
        <f t="shared" si="55"/>
        <v>PASS</v>
      </c>
      <c r="E571" s="3" t="str">
        <f t="shared" si="56"/>
        <v>PASS</v>
      </c>
      <c r="F571" s="3" t="str">
        <f t="shared" si="57"/>
        <v>PASS</v>
      </c>
      <c r="G571" s="3" t="str">
        <f t="shared" si="58"/>
        <v>FAIL</v>
      </c>
      <c r="H571" s="3">
        <v>54968752.82</v>
      </c>
      <c r="I571" s="4">
        <v>0</v>
      </c>
      <c r="J571" s="3">
        <v>50464577.119999997</v>
      </c>
      <c r="K571" s="3">
        <v>3637.21</v>
      </c>
      <c r="L571" s="3">
        <v>0</v>
      </c>
      <c r="M571" t="s">
        <v>29</v>
      </c>
      <c r="N571" t="s">
        <v>601</v>
      </c>
      <c r="O571" s="4">
        <v>0.25717557028445781</v>
      </c>
      <c r="P571" s="4">
        <v>0.74282442971554219</v>
      </c>
      <c r="Q571" t="s">
        <v>602</v>
      </c>
      <c r="R571" s="4">
        <v>7.5143911335116714E-5</v>
      </c>
      <c r="S571" s="3">
        <v>9374271.25</v>
      </c>
      <c r="T571" s="4">
        <v>0.17053818340570459</v>
      </c>
    </row>
    <row r="572" spans="1:20" x14ac:dyDescent="0.4">
      <c r="A572" s="2">
        <v>45918</v>
      </c>
      <c r="B572" t="s">
        <v>30</v>
      </c>
      <c r="C572" t="s">
        <v>28</v>
      </c>
      <c r="D572" s="3" t="str">
        <f t="shared" si="55"/>
        <v>PASS</v>
      </c>
      <c r="E572" s="3" t="str">
        <f t="shared" si="56"/>
        <v>PASS</v>
      </c>
      <c r="F572" s="3" t="str">
        <f t="shared" si="57"/>
        <v>PASS</v>
      </c>
      <c r="G572" s="3" t="str">
        <f t="shared" si="58"/>
        <v>FAIL</v>
      </c>
      <c r="H572" s="3">
        <v>34845174.710000001</v>
      </c>
      <c r="I572" s="4">
        <v>0</v>
      </c>
      <c r="J572" s="3">
        <v>32652431.84</v>
      </c>
      <c r="K572" s="3">
        <v>2365.58</v>
      </c>
      <c r="L572" s="3">
        <v>0</v>
      </c>
      <c r="M572" t="s">
        <v>29</v>
      </c>
      <c r="N572" t="s">
        <v>42</v>
      </c>
      <c r="O572" s="4">
        <v>0.25262712408130389</v>
      </c>
      <c r="P572" s="4">
        <v>0.74737287591869606</v>
      </c>
      <c r="Q572" t="s">
        <v>603</v>
      </c>
      <c r="R572" s="4">
        <v>5.848595290449616E-6</v>
      </c>
      <c r="S572" s="3">
        <v>4452235.8999999994</v>
      </c>
      <c r="T572" s="4">
        <v>0.12777194940343581</v>
      </c>
    </row>
    <row r="573" spans="1:20" x14ac:dyDescent="0.4">
      <c r="A573" s="2">
        <v>45918</v>
      </c>
      <c r="B573" t="s">
        <v>31</v>
      </c>
      <c r="C573" t="s">
        <v>28</v>
      </c>
      <c r="D573" s="3" t="str">
        <f t="shared" ref="D573:D592" si="59">IF(J573/H573&gt;=0.75,"PASS","FAIL")</f>
        <v>PASS</v>
      </c>
      <c r="E573" s="3" t="str">
        <f t="shared" ref="E573:E592" si="60">IF(L573=0,"PASS","FAIL")</f>
        <v>PASS</v>
      </c>
      <c r="F573" s="3" t="str">
        <f t="shared" ref="F573:F592" si="61">IF(R573="","",IF(R573&lt;=0.1,"PASS","FAIL"))</f>
        <v>PASS</v>
      </c>
      <c r="G573" s="3" t="str">
        <f t="shared" ref="G573:G592" si="62">IF(S573=0,"PASS",IF(S573&lt;=0.05*J573,"PASS","FAIL"))</f>
        <v>FAIL</v>
      </c>
      <c r="H573" s="3">
        <v>23573350.859999999</v>
      </c>
      <c r="I573" s="4">
        <v>0</v>
      </c>
      <c r="J573" s="3">
        <v>21639643.75</v>
      </c>
      <c r="K573" s="3">
        <v>1568.92</v>
      </c>
      <c r="L573" s="3">
        <v>0</v>
      </c>
      <c r="M573" t="s">
        <v>29</v>
      </c>
      <c r="N573" t="s">
        <v>42</v>
      </c>
      <c r="O573" s="4">
        <v>0.25119709283568958</v>
      </c>
      <c r="P573" s="4">
        <v>0.74880290716431042</v>
      </c>
      <c r="Q573" t="s">
        <v>604</v>
      </c>
      <c r="R573" s="4">
        <v>3.8534937560157441E-6</v>
      </c>
      <c r="S573" s="3">
        <v>3840174.75</v>
      </c>
      <c r="T573" s="4">
        <v>0.16290321952133369</v>
      </c>
    </row>
    <row r="574" spans="1:20" x14ac:dyDescent="0.4">
      <c r="A574" s="2">
        <v>45918</v>
      </c>
      <c r="B574" t="s">
        <v>32</v>
      </c>
      <c r="C574" t="s">
        <v>28</v>
      </c>
      <c r="D574" s="3" t="str">
        <f t="shared" si="59"/>
        <v>PASS</v>
      </c>
      <c r="E574" s="3" t="str">
        <f t="shared" si="60"/>
        <v>PASS</v>
      </c>
      <c r="F574" s="3" t="str">
        <f t="shared" si="61"/>
        <v>PASS</v>
      </c>
      <c r="G574" s="3" t="str">
        <f t="shared" si="62"/>
        <v>FAIL</v>
      </c>
      <c r="H574" s="3">
        <v>24813121.530000001</v>
      </c>
      <c r="I574" s="4">
        <v>0</v>
      </c>
      <c r="J574" s="3">
        <v>20834429.48</v>
      </c>
      <c r="K574" s="3">
        <v>1511.02</v>
      </c>
      <c r="L574" s="3">
        <v>0</v>
      </c>
      <c r="M574" t="s">
        <v>29</v>
      </c>
      <c r="N574" t="s">
        <v>46</v>
      </c>
      <c r="O574" s="4">
        <v>0.290131172816737</v>
      </c>
      <c r="P574" s="4">
        <v>0.70986882718326294</v>
      </c>
      <c r="Q574" t="s">
        <v>605</v>
      </c>
      <c r="R574" s="4">
        <v>3.6954236130306192E-6</v>
      </c>
      <c r="S574" s="3">
        <v>7936463.7899999991</v>
      </c>
      <c r="T574" s="4">
        <v>0.31984947078925619</v>
      </c>
    </row>
    <row r="575" spans="1:20" x14ac:dyDescent="0.4">
      <c r="A575" s="2">
        <v>45918</v>
      </c>
      <c r="B575" t="s">
        <v>33</v>
      </c>
      <c r="C575" t="s">
        <v>28</v>
      </c>
      <c r="D575" s="3" t="str">
        <f t="shared" si="59"/>
        <v>PASS</v>
      </c>
      <c r="E575" s="3" t="str">
        <f t="shared" si="60"/>
        <v>PASS</v>
      </c>
      <c r="F575" s="3" t="str">
        <f t="shared" si="61"/>
        <v>PASS</v>
      </c>
      <c r="G575" s="3" t="str">
        <f t="shared" si="62"/>
        <v>FAIL</v>
      </c>
      <c r="H575" s="3">
        <v>15443455.75</v>
      </c>
      <c r="I575" s="4">
        <v>0</v>
      </c>
      <c r="J575" s="3">
        <v>13779527.640000001</v>
      </c>
      <c r="K575" s="3">
        <v>999.41</v>
      </c>
      <c r="L575" s="3">
        <v>0</v>
      </c>
      <c r="M575" t="s">
        <v>29</v>
      </c>
      <c r="N575" t="s">
        <v>42</v>
      </c>
      <c r="O575" s="4">
        <v>0.25091265610321017</v>
      </c>
      <c r="P575" s="4">
        <v>0.74908734389678977</v>
      </c>
      <c r="Q575" t="s">
        <v>606</v>
      </c>
      <c r="R575" s="4">
        <v>2.450087216269433E-6</v>
      </c>
      <c r="S575" s="3">
        <v>4136287.72</v>
      </c>
      <c r="T575" s="4">
        <v>0.26783433623656422</v>
      </c>
    </row>
    <row r="576" spans="1:20" x14ac:dyDescent="0.4">
      <c r="A576" s="2">
        <v>45918</v>
      </c>
      <c r="B576" t="s">
        <v>34</v>
      </c>
      <c r="C576" t="s">
        <v>28</v>
      </c>
      <c r="D576" s="3" t="str">
        <f t="shared" si="59"/>
        <v>PASS</v>
      </c>
      <c r="E576" s="3" t="str">
        <f t="shared" si="60"/>
        <v>PASS</v>
      </c>
      <c r="F576" s="3" t="str">
        <f t="shared" si="61"/>
        <v>PASS</v>
      </c>
      <c r="G576" s="3" t="str">
        <f t="shared" si="62"/>
        <v>FAIL</v>
      </c>
      <c r="H576" s="3">
        <v>167709097.06</v>
      </c>
      <c r="I576" s="4">
        <v>0</v>
      </c>
      <c r="J576" s="3">
        <v>143454748.66999999</v>
      </c>
      <c r="K576" s="3">
        <v>10400.040000000001</v>
      </c>
      <c r="L576" s="3">
        <v>0</v>
      </c>
      <c r="M576" t="s">
        <v>29</v>
      </c>
      <c r="N576" t="s">
        <v>46</v>
      </c>
      <c r="O576" s="4">
        <v>0.29045535973054659</v>
      </c>
      <c r="P576" s="4">
        <v>0.70954464026945341</v>
      </c>
      <c r="Q576" t="s">
        <v>607</v>
      </c>
      <c r="R576" s="4">
        <v>2.5485606431831391E-5</v>
      </c>
      <c r="S576" s="3">
        <v>48588653.439999998</v>
      </c>
      <c r="T576" s="4">
        <v>0.2897198440142863</v>
      </c>
    </row>
    <row r="577" spans="1:20" x14ac:dyDescent="0.4">
      <c r="A577" s="2">
        <v>45918</v>
      </c>
      <c r="B577" t="s">
        <v>35</v>
      </c>
      <c r="C577" t="s">
        <v>28</v>
      </c>
      <c r="D577" s="3" t="str">
        <f t="shared" si="59"/>
        <v>PASS</v>
      </c>
      <c r="E577" s="3" t="str">
        <f t="shared" si="60"/>
        <v>PASS</v>
      </c>
      <c r="F577" s="3" t="str">
        <f t="shared" si="61"/>
        <v>PASS</v>
      </c>
      <c r="G577" s="3" t="str">
        <f t="shared" si="62"/>
        <v>FAIL</v>
      </c>
      <c r="H577" s="3">
        <v>136564466.80000001</v>
      </c>
      <c r="I577" s="4">
        <v>0</v>
      </c>
      <c r="J577" s="3">
        <v>121163970.48</v>
      </c>
      <c r="K577" s="3">
        <v>8780.5</v>
      </c>
      <c r="L577" s="3">
        <v>0</v>
      </c>
      <c r="M577" t="s">
        <v>29</v>
      </c>
      <c r="N577" t="s">
        <v>42</v>
      </c>
      <c r="O577" s="4">
        <v>0.25683806635518569</v>
      </c>
      <c r="P577" s="4">
        <v>0.74316193364481431</v>
      </c>
      <c r="Q577" t="s">
        <v>608</v>
      </c>
      <c r="R577" s="4">
        <v>2.2063601444504781E-5</v>
      </c>
      <c r="S577" s="3">
        <v>34293429.809999987</v>
      </c>
      <c r="T577" s="4">
        <v>0.25111532021153832</v>
      </c>
    </row>
    <row r="578" spans="1:20" x14ac:dyDescent="0.4">
      <c r="A578" s="2">
        <v>45918</v>
      </c>
      <c r="B578" t="s">
        <v>36</v>
      </c>
      <c r="C578" t="s">
        <v>28</v>
      </c>
      <c r="D578" s="3" t="str">
        <f t="shared" si="59"/>
        <v>PASS</v>
      </c>
      <c r="E578" s="3" t="str">
        <f t="shared" si="60"/>
        <v>PASS</v>
      </c>
      <c r="F578" s="3" t="str">
        <f t="shared" si="61"/>
        <v>PASS</v>
      </c>
      <c r="G578" s="3" t="str">
        <f t="shared" si="62"/>
        <v>FAIL</v>
      </c>
      <c r="H578" s="3">
        <v>101828595.05</v>
      </c>
      <c r="I578" s="4">
        <v>0</v>
      </c>
      <c r="J578" s="3">
        <v>92883781.530000001</v>
      </c>
      <c r="K578" s="3">
        <v>6735.07</v>
      </c>
      <c r="L578" s="3">
        <v>0</v>
      </c>
      <c r="M578" t="s">
        <v>29</v>
      </c>
      <c r="N578" t="s">
        <v>42</v>
      </c>
      <c r="O578" s="4">
        <v>0.24967027297989469</v>
      </c>
      <c r="P578" s="4">
        <v>0.75032972702010525</v>
      </c>
      <c r="Q578" t="s">
        <v>609</v>
      </c>
      <c r="R578" s="4">
        <v>1.644143095346629E-5</v>
      </c>
      <c r="S578" s="3">
        <v>17547630</v>
      </c>
      <c r="T578" s="4">
        <v>0.17232517046300941</v>
      </c>
    </row>
    <row r="579" spans="1:20" x14ac:dyDescent="0.4">
      <c r="A579" s="2">
        <v>45918</v>
      </c>
      <c r="B579" t="s">
        <v>37</v>
      </c>
      <c r="C579" t="s">
        <v>28</v>
      </c>
      <c r="D579" s="3" t="str">
        <f t="shared" si="59"/>
        <v>PASS</v>
      </c>
      <c r="E579" s="3" t="str">
        <f t="shared" si="60"/>
        <v>PASS</v>
      </c>
      <c r="F579" s="3" t="str">
        <f t="shared" si="61"/>
        <v>PASS</v>
      </c>
      <c r="G579" s="3" t="str">
        <f t="shared" si="62"/>
        <v>FAIL</v>
      </c>
      <c r="H579" s="3">
        <v>40527520.280000001</v>
      </c>
      <c r="I579" s="4">
        <v>0</v>
      </c>
      <c r="J579" s="3">
        <v>35282639.020000003</v>
      </c>
      <c r="K579" s="3">
        <v>2558.2600000000002</v>
      </c>
      <c r="L579" s="3">
        <v>0</v>
      </c>
      <c r="M579" t="s">
        <v>29</v>
      </c>
      <c r="N579" t="s">
        <v>42</v>
      </c>
      <c r="O579" s="4">
        <v>0.2494957510125613</v>
      </c>
      <c r="P579" s="4">
        <v>0.75050424898743873</v>
      </c>
      <c r="Q579" t="s">
        <v>610</v>
      </c>
      <c r="R579" s="4">
        <v>6.2373623988724896E-6</v>
      </c>
      <c r="S579" s="3">
        <v>10831953.029999999</v>
      </c>
      <c r="T579" s="4">
        <v>0.26727401418007513</v>
      </c>
    </row>
    <row r="580" spans="1:20" x14ac:dyDescent="0.4">
      <c r="A580" s="2">
        <v>45918</v>
      </c>
      <c r="B580" t="s">
        <v>38</v>
      </c>
      <c r="C580" t="s">
        <v>28</v>
      </c>
      <c r="D580" s="3" t="str">
        <f t="shared" si="59"/>
        <v>PASS</v>
      </c>
      <c r="E580" s="3" t="str">
        <f t="shared" si="60"/>
        <v>PASS</v>
      </c>
      <c r="F580" s="3" t="str">
        <f t="shared" si="61"/>
        <v>PASS</v>
      </c>
      <c r="G580" s="3" t="str">
        <f t="shared" si="62"/>
        <v>FAIL</v>
      </c>
      <c r="H580" s="3">
        <v>43679573.350000001</v>
      </c>
      <c r="I580" s="4">
        <v>0</v>
      </c>
      <c r="J580" s="3">
        <v>37294152.880000003</v>
      </c>
      <c r="K580" s="3">
        <v>2703.01</v>
      </c>
      <c r="L580" s="3">
        <v>0</v>
      </c>
      <c r="M580" t="s">
        <v>29</v>
      </c>
      <c r="N580" t="s">
        <v>42</v>
      </c>
      <c r="O580" s="4">
        <v>0.25673157936601448</v>
      </c>
      <c r="P580" s="4">
        <v>0.74326842063398546</v>
      </c>
      <c r="Q580" t="s">
        <v>611</v>
      </c>
      <c r="R580" s="4">
        <v>6.7841996502804886E-6</v>
      </c>
      <c r="S580" s="3">
        <v>14882757.58</v>
      </c>
      <c r="T580" s="4">
        <v>0.3407258001525329</v>
      </c>
    </row>
    <row r="581" spans="1:20" x14ac:dyDescent="0.4">
      <c r="A581" s="2">
        <v>45918</v>
      </c>
      <c r="B581" t="s">
        <v>39</v>
      </c>
      <c r="C581" t="s">
        <v>28</v>
      </c>
      <c r="D581" s="3" t="str">
        <f t="shared" si="59"/>
        <v>PASS</v>
      </c>
      <c r="E581" s="3" t="str">
        <f t="shared" si="60"/>
        <v>PASS</v>
      </c>
      <c r="F581" s="3" t="str">
        <f t="shared" si="61"/>
        <v>PASS</v>
      </c>
      <c r="G581" s="3" t="str">
        <f t="shared" si="62"/>
        <v>FAIL</v>
      </c>
      <c r="H581" s="3">
        <v>79287497.430000007</v>
      </c>
      <c r="I581" s="4">
        <v>0</v>
      </c>
      <c r="J581" s="3">
        <v>71381549.469999999</v>
      </c>
      <c r="K581" s="3">
        <v>5172.7299999999996</v>
      </c>
      <c r="L581" s="3">
        <v>0</v>
      </c>
      <c r="M581" t="s">
        <v>29</v>
      </c>
      <c r="N581" t="s">
        <v>42</v>
      </c>
      <c r="O581" s="4">
        <v>0.25211657583257557</v>
      </c>
      <c r="P581" s="4">
        <v>0.74788342416742437</v>
      </c>
      <c r="Q581" t="s">
        <v>612</v>
      </c>
      <c r="R581" s="4">
        <v>1.2752415589475599E-5</v>
      </c>
      <c r="S581" s="3">
        <v>17482575.239999998</v>
      </c>
      <c r="T581" s="4">
        <v>0.22049598999432049</v>
      </c>
    </row>
    <row r="582" spans="1:20" x14ac:dyDescent="0.4">
      <c r="A582" s="2">
        <v>45919</v>
      </c>
      <c r="B582" t="s">
        <v>27</v>
      </c>
      <c r="C582" t="s">
        <v>28</v>
      </c>
      <c r="D582" s="3" t="str">
        <f t="shared" si="59"/>
        <v>PASS</v>
      </c>
      <c r="E582" s="3" t="str">
        <f t="shared" si="60"/>
        <v>PASS</v>
      </c>
      <c r="F582" s="3" t="str">
        <f t="shared" si="61"/>
        <v>PASS</v>
      </c>
      <c r="G582" s="3" t="str">
        <f t="shared" si="62"/>
        <v>FAIL</v>
      </c>
      <c r="H582" s="3">
        <v>54803891.590000004</v>
      </c>
      <c r="I582" s="4">
        <v>0</v>
      </c>
      <c r="J582" s="3">
        <v>50288724.280000001</v>
      </c>
      <c r="K582" s="3">
        <v>10993.65</v>
      </c>
      <c r="L582" s="3">
        <v>0</v>
      </c>
      <c r="M582" t="s">
        <v>29</v>
      </c>
      <c r="N582" t="s">
        <v>601</v>
      </c>
      <c r="O582" s="4">
        <v>0.25925232418721439</v>
      </c>
      <c r="P582" s="4">
        <v>0.74074767581278556</v>
      </c>
      <c r="Q582" t="s">
        <v>613</v>
      </c>
      <c r="R582" s="4">
        <v>7.5143911335116714E-5</v>
      </c>
      <c r="S582" s="3">
        <v>9353231.9700000007</v>
      </c>
      <c r="T582" s="4">
        <v>0.17066729567260641</v>
      </c>
    </row>
    <row r="583" spans="1:20" x14ac:dyDescent="0.4">
      <c r="A583" s="2">
        <v>45919</v>
      </c>
      <c r="B583" t="s">
        <v>30</v>
      </c>
      <c r="C583" t="s">
        <v>28</v>
      </c>
      <c r="D583" s="3" t="str">
        <f t="shared" si="59"/>
        <v>PASS</v>
      </c>
      <c r="E583" s="3" t="str">
        <f t="shared" si="60"/>
        <v>PASS</v>
      </c>
      <c r="F583" s="3" t="str">
        <f t="shared" si="61"/>
        <v>PASS</v>
      </c>
      <c r="G583" s="3" t="str">
        <f t="shared" si="62"/>
        <v>FAIL</v>
      </c>
      <c r="H583" s="3">
        <v>35005584.299999997</v>
      </c>
      <c r="I583" s="4">
        <v>0</v>
      </c>
      <c r="J583" s="3">
        <v>32805729.449999999</v>
      </c>
      <c r="K583" s="3">
        <v>7111.98</v>
      </c>
      <c r="L583" s="3">
        <v>0</v>
      </c>
      <c r="M583" t="s">
        <v>29</v>
      </c>
      <c r="N583" t="s">
        <v>42</v>
      </c>
      <c r="O583" s="4">
        <v>0.25437828909486421</v>
      </c>
      <c r="P583" s="4">
        <v>0.74562171090513585</v>
      </c>
      <c r="Q583" t="s">
        <v>614</v>
      </c>
      <c r="R583" s="4">
        <v>5.848595290449616E-6</v>
      </c>
      <c r="S583" s="3">
        <v>4483461.78</v>
      </c>
      <c r="T583" s="4">
        <v>0.12807847289668009</v>
      </c>
    </row>
    <row r="584" spans="1:20" x14ac:dyDescent="0.4">
      <c r="A584" s="2">
        <v>45919</v>
      </c>
      <c r="B584" t="s">
        <v>31</v>
      </c>
      <c r="C584" t="s">
        <v>28</v>
      </c>
      <c r="D584" s="3" t="str">
        <f t="shared" si="59"/>
        <v>PASS</v>
      </c>
      <c r="E584" s="3" t="str">
        <f t="shared" si="60"/>
        <v>PASS</v>
      </c>
      <c r="F584" s="3" t="str">
        <f t="shared" si="61"/>
        <v>PASS</v>
      </c>
      <c r="G584" s="3" t="str">
        <f t="shared" si="62"/>
        <v>FAIL</v>
      </c>
      <c r="H584" s="3">
        <v>23674534.41</v>
      </c>
      <c r="I584" s="4">
        <v>0</v>
      </c>
      <c r="J584" s="3">
        <v>21736114</v>
      </c>
      <c r="K584" s="3">
        <v>4715.43</v>
      </c>
      <c r="L584" s="3">
        <v>0</v>
      </c>
      <c r="M584" t="s">
        <v>29</v>
      </c>
      <c r="N584" t="s">
        <v>42</v>
      </c>
      <c r="O584" s="4">
        <v>0.25295286590786192</v>
      </c>
      <c r="P584" s="4">
        <v>0.74704713409213808</v>
      </c>
      <c r="Q584" t="s">
        <v>615</v>
      </c>
      <c r="R584" s="4">
        <v>3.8534937560157441E-6</v>
      </c>
      <c r="S584" s="3">
        <v>3863195.9</v>
      </c>
      <c r="T584" s="4">
        <v>0.16317938224661371</v>
      </c>
    </row>
    <row r="585" spans="1:20" x14ac:dyDescent="0.4">
      <c r="A585" s="2">
        <v>45919</v>
      </c>
      <c r="B585" t="s">
        <v>32</v>
      </c>
      <c r="C585" t="s">
        <v>28</v>
      </c>
      <c r="D585" s="3" t="str">
        <f t="shared" si="59"/>
        <v>PASS</v>
      </c>
      <c r="E585" s="3" t="str">
        <f t="shared" si="60"/>
        <v>PASS</v>
      </c>
      <c r="F585" s="3" t="str">
        <f t="shared" si="61"/>
        <v>PASS</v>
      </c>
      <c r="G585" s="3" t="str">
        <f t="shared" si="62"/>
        <v>FAIL</v>
      </c>
      <c r="H585" s="3">
        <v>24913412.23</v>
      </c>
      <c r="I585" s="4">
        <v>0</v>
      </c>
      <c r="J585" s="3">
        <v>20930182.260000002</v>
      </c>
      <c r="K585" s="3">
        <v>4539.57</v>
      </c>
      <c r="L585" s="3">
        <v>0</v>
      </c>
      <c r="M585" t="s">
        <v>29</v>
      </c>
      <c r="N585" t="s">
        <v>46</v>
      </c>
      <c r="O585" s="4">
        <v>0.29172890537456792</v>
      </c>
      <c r="P585" s="4">
        <v>0.70827109462543214</v>
      </c>
      <c r="Q585" t="s">
        <v>616</v>
      </c>
      <c r="R585" s="4">
        <v>3.6954236130306192E-6</v>
      </c>
      <c r="S585" s="3">
        <v>7974998.3999999994</v>
      </c>
      <c r="T585" s="4">
        <v>0.32010863571697901</v>
      </c>
    </row>
    <row r="586" spans="1:20" x14ac:dyDescent="0.4">
      <c r="A586" s="2">
        <v>45919</v>
      </c>
      <c r="B586" t="s">
        <v>33</v>
      </c>
      <c r="C586" t="s">
        <v>28</v>
      </c>
      <c r="D586" s="3" t="str">
        <f t="shared" si="59"/>
        <v>PASS</v>
      </c>
      <c r="E586" s="3" t="str">
        <f t="shared" si="60"/>
        <v>PASS</v>
      </c>
      <c r="F586" s="3" t="str">
        <f t="shared" si="61"/>
        <v>PASS</v>
      </c>
      <c r="G586" s="3" t="str">
        <f t="shared" si="62"/>
        <v>FAIL</v>
      </c>
      <c r="H586" s="3">
        <v>15512465.68</v>
      </c>
      <c r="I586" s="4">
        <v>0</v>
      </c>
      <c r="J586" s="3">
        <v>13845536.279999999</v>
      </c>
      <c r="K586" s="3">
        <v>3003.42</v>
      </c>
      <c r="L586" s="3">
        <v>0</v>
      </c>
      <c r="M586" t="s">
        <v>29</v>
      </c>
      <c r="N586" t="s">
        <v>42</v>
      </c>
      <c r="O586" s="4">
        <v>0.25272833707817932</v>
      </c>
      <c r="P586" s="4">
        <v>0.74727166292182079</v>
      </c>
      <c r="Q586" t="s">
        <v>617</v>
      </c>
      <c r="R586" s="4">
        <v>2.450087216269433E-6</v>
      </c>
      <c r="S586" s="3">
        <v>4168198.24</v>
      </c>
      <c r="T586" s="4">
        <v>0.26869991695607742</v>
      </c>
    </row>
    <row r="587" spans="1:20" x14ac:dyDescent="0.4">
      <c r="A587" s="2">
        <v>45919</v>
      </c>
      <c r="B587" t="s">
        <v>34</v>
      </c>
      <c r="C587" t="s">
        <v>28</v>
      </c>
      <c r="D587" s="3" t="str">
        <f t="shared" si="59"/>
        <v>PASS</v>
      </c>
      <c r="E587" s="3" t="str">
        <f t="shared" si="60"/>
        <v>PASS</v>
      </c>
      <c r="F587" s="3" t="str">
        <f t="shared" si="61"/>
        <v>PASS</v>
      </c>
      <c r="G587" s="3" t="str">
        <f t="shared" si="62"/>
        <v>FAIL</v>
      </c>
      <c r="H587" s="3">
        <v>168351067.34999999</v>
      </c>
      <c r="I587" s="4">
        <v>0</v>
      </c>
      <c r="J587" s="3">
        <v>144065473.33000001</v>
      </c>
      <c r="K587" s="3">
        <v>31247.279999999999</v>
      </c>
      <c r="L587" s="3">
        <v>0</v>
      </c>
      <c r="M587" t="s">
        <v>29</v>
      </c>
      <c r="N587" t="s">
        <v>46</v>
      </c>
      <c r="O587" s="4">
        <v>0.29207272101633958</v>
      </c>
      <c r="P587" s="4">
        <v>0.70792727898366037</v>
      </c>
      <c r="Q587" t="s">
        <v>618</v>
      </c>
      <c r="R587" s="4">
        <v>2.5485606431831391E-5</v>
      </c>
      <c r="S587" s="3">
        <v>48890210.719999991</v>
      </c>
      <c r="T587" s="4">
        <v>0.29040630089001918</v>
      </c>
    </row>
    <row r="588" spans="1:20" x14ac:dyDescent="0.4">
      <c r="A588" s="2">
        <v>45919</v>
      </c>
      <c r="B588" t="s">
        <v>35</v>
      </c>
      <c r="C588" t="s">
        <v>28</v>
      </c>
      <c r="D588" s="3" t="str">
        <f t="shared" si="59"/>
        <v>PASS</v>
      </c>
      <c r="E588" s="3" t="str">
        <f t="shared" si="60"/>
        <v>PASS</v>
      </c>
      <c r="F588" s="3" t="str">
        <f t="shared" si="61"/>
        <v>PASS</v>
      </c>
      <c r="G588" s="3" t="str">
        <f t="shared" si="62"/>
        <v>FAIL</v>
      </c>
      <c r="H588" s="3">
        <v>137161907.34</v>
      </c>
      <c r="I588" s="4">
        <v>0</v>
      </c>
      <c r="J588" s="3">
        <v>121735020.5</v>
      </c>
      <c r="K588" s="3">
        <v>26392.17</v>
      </c>
      <c r="L588" s="3">
        <v>0</v>
      </c>
      <c r="M588" t="s">
        <v>29</v>
      </c>
      <c r="N588" t="s">
        <v>42</v>
      </c>
      <c r="O588" s="4">
        <v>0.25858920342482711</v>
      </c>
      <c r="P588" s="4">
        <v>0.74141079657517284</v>
      </c>
      <c r="Q588" t="s">
        <v>619</v>
      </c>
      <c r="R588" s="4">
        <v>2.2063601444504781E-5</v>
      </c>
      <c r="S588" s="3">
        <v>34605248.810000002</v>
      </c>
      <c r="T588" s="4">
        <v>0.25229489353935369</v>
      </c>
    </row>
    <row r="589" spans="1:20" x14ac:dyDescent="0.4">
      <c r="A589" s="2">
        <v>45919</v>
      </c>
      <c r="B589" t="s">
        <v>36</v>
      </c>
      <c r="C589" t="s">
        <v>28</v>
      </c>
      <c r="D589" s="3" t="str">
        <f t="shared" si="59"/>
        <v>PASS</v>
      </c>
      <c r="E589" s="3" t="str">
        <f t="shared" si="60"/>
        <v>PASS</v>
      </c>
      <c r="F589" s="3" t="str">
        <f t="shared" si="61"/>
        <v>PASS</v>
      </c>
      <c r="G589" s="3" t="str">
        <f t="shared" si="62"/>
        <v>FAIL</v>
      </c>
      <c r="H589" s="3">
        <v>102251836.43000001</v>
      </c>
      <c r="I589" s="4">
        <v>0</v>
      </c>
      <c r="J589" s="3">
        <v>93286792.049999997</v>
      </c>
      <c r="K589" s="3">
        <v>20232.900000000001</v>
      </c>
      <c r="L589" s="3">
        <v>0</v>
      </c>
      <c r="M589" t="s">
        <v>29</v>
      </c>
      <c r="N589" t="s">
        <v>42</v>
      </c>
      <c r="O589" s="4">
        <v>0.25147171228083842</v>
      </c>
      <c r="P589" s="4">
        <v>0.74852828771916169</v>
      </c>
      <c r="Q589" t="s">
        <v>620</v>
      </c>
      <c r="R589" s="4">
        <v>1.644143095346629E-5</v>
      </c>
      <c r="S589" s="3">
        <v>17627075.510000002</v>
      </c>
      <c r="T589" s="4">
        <v>0.1723888403908248</v>
      </c>
    </row>
    <row r="590" spans="1:20" x14ac:dyDescent="0.4">
      <c r="A590" s="2">
        <v>45919</v>
      </c>
      <c r="B590" t="s">
        <v>37</v>
      </c>
      <c r="C590" t="s">
        <v>28</v>
      </c>
      <c r="D590" s="3" t="str">
        <f t="shared" si="59"/>
        <v>PASS</v>
      </c>
      <c r="E590" s="3" t="str">
        <f t="shared" si="60"/>
        <v>PASS</v>
      </c>
      <c r="F590" s="3" t="str">
        <f t="shared" si="61"/>
        <v>PASS</v>
      </c>
      <c r="G590" s="3" t="str">
        <f t="shared" si="62"/>
        <v>FAIL</v>
      </c>
      <c r="H590" s="3">
        <v>40698560.100000001</v>
      </c>
      <c r="I590" s="4">
        <v>0</v>
      </c>
      <c r="J590" s="3">
        <v>35445993.979999997</v>
      </c>
      <c r="K590" s="3">
        <v>7686.9</v>
      </c>
      <c r="L590" s="3">
        <v>0</v>
      </c>
      <c r="M590" t="s">
        <v>29</v>
      </c>
      <c r="N590" t="s">
        <v>42</v>
      </c>
      <c r="O590" s="4">
        <v>0.251345132119215</v>
      </c>
      <c r="P590" s="4">
        <v>0.74865486788078495</v>
      </c>
      <c r="Q590" t="s">
        <v>621</v>
      </c>
      <c r="R590" s="4">
        <v>6.2373623988724896E-6</v>
      </c>
      <c r="S590" s="3">
        <v>10891382.710000001</v>
      </c>
      <c r="T590" s="4">
        <v>0.26761100842975533</v>
      </c>
    </row>
    <row r="591" spans="1:20" x14ac:dyDescent="0.4">
      <c r="A591" s="2">
        <v>45919</v>
      </c>
      <c r="B591" t="s">
        <v>38</v>
      </c>
      <c r="C591" t="s">
        <v>28</v>
      </c>
      <c r="D591" s="3" t="str">
        <f t="shared" si="59"/>
        <v>PASS</v>
      </c>
      <c r="E591" s="3" t="str">
        <f t="shared" si="60"/>
        <v>PASS</v>
      </c>
      <c r="F591" s="3" t="str">
        <f t="shared" si="61"/>
        <v>PASS</v>
      </c>
      <c r="G591" s="3" t="str">
        <f t="shared" si="62"/>
        <v>FAIL</v>
      </c>
      <c r="H591" s="3">
        <v>43873425.82</v>
      </c>
      <c r="I591" s="4">
        <v>0</v>
      </c>
      <c r="J591" s="3">
        <v>37479882.369999997</v>
      </c>
      <c r="K591" s="3">
        <v>8124.63</v>
      </c>
      <c r="L591" s="3">
        <v>0</v>
      </c>
      <c r="M591" t="s">
        <v>29</v>
      </c>
      <c r="N591" t="s">
        <v>42</v>
      </c>
      <c r="O591" s="4">
        <v>0.25853795255654638</v>
      </c>
      <c r="P591" s="4">
        <v>0.74146204744345368</v>
      </c>
      <c r="Q591" t="s">
        <v>622</v>
      </c>
      <c r="R591" s="4">
        <v>6.7841996502804886E-6</v>
      </c>
      <c r="S591" s="3">
        <v>15009144.300000001</v>
      </c>
      <c r="T591" s="4">
        <v>0.3421010331305831</v>
      </c>
    </row>
    <row r="592" spans="1:20" x14ac:dyDescent="0.4">
      <c r="A592" s="2">
        <v>45919</v>
      </c>
      <c r="B592" t="s">
        <v>39</v>
      </c>
      <c r="C592" t="s">
        <v>28</v>
      </c>
      <c r="D592" s="3" t="str">
        <f t="shared" si="59"/>
        <v>PASS</v>
      </c>
      <c r="E592" s="3" t="str">
        <f t="shared" si="60"/>
        <v>PASS</v>
      </c>
      <c r="F592" s="3" t="str">
        <f t="shared" si="61"/>
        <v>PASS</v>
      </c>
      <c r="G592" s="3" t="str">
        <f t="shared" si="62"/>
        <v>FAIL</v>
      </c>
      <c r="H592" s="3">
        <v>79643231.370000005</v>
      </c>
      <c r="I592" s="4">
        <v>0</v>
      </c>
      <c r="J592" s="3">
        <v>71721735.909999996</v>
      </c>
      <c r="K592" s="3">
        <v>15547.5</v>
      </c>
      <c r="L592" s="3">
        <v>0</v>
      </c>
      <c r="M592" t="s">
        <v>29</v>
      </c>
      <c r="N592" t="s">
        <v>42</v>
      </c>
      <c r="O592" s="4">
        <v>0.25394291631277388</v>
      </c>
      <c r="P592" s="4">
        <v>0.74605708368722601</v>
      </c>
      <c r="Q592" t="s">
        <v>623</v>
      </c>
      <c r="R592" s="4">
        <v>1.2752415589475599E-5</v>
      </c>
      <c r="S592" s="3">
        <v>17619305.260000002</v>
      </c>
      <c r="T592" s="4">
        <v>0.22122790545935619</v>
      </c>
    </row>
    <row r="593" spans="1:1" x14ac:dyDescent="0.4">
      <c r="A593" t="s">
        <v>624</v>
      </c>
    </row>
    <row r="594" spans="1:1" x14ac:dyDescent="0.4">
      <c r="A594" t="s">
        <v>625</v>
      </c>
    </row>
    <row r="595" spans="1:1" x14ac:dyDescent="0.4">
      <c r="A595" t="s">
        <v>626</v>
      </c>
    </row>
    <row r="596" spans="1:1" x14ac:dyDescent="0.4">
      <c r="A596" t="s">
        <v>627</v>
      </c>
    </row>
    <row r="597" spans="1:1" x14ac:dyDescent="0.4">
      <c r="A597" t="s">
        <v>628</v>
      </c>
    </row>
    <row r="598" spans="1:1" x14ac:dyDescent="0.4">
      <c r="A598" t="s">
        <v>629</v>
      </c>
    </row>
    <row r="599" spans="1:1" x14ac:dyDescent="0.4">
      <c r="A599" t="s">
        <v>630</v>
      </c>
    </row>
    <row r="600" spans="1:1" x14ac:dyDescent="0.4">
      <c r="A600" t="s">
        <v>631</v>
      </c>
    </row>
    <row r="601" spans="1:1" x14ac:dyDescent="0.4">
      <c r="A601" t="s">
        <v>632</v>
      </c>
    </row>
    <row r="602" spans="1:1" x14ac:dyDescent="0.4">
      <c r="A602" t="s">
        <v>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66"/>
  <sheetViews>
    <sheetView workbookViewId="0"/>
  </sheetViews>
  <sheetFormatPr defaultRowHeight="14.6" x14ac:dyDescent="0.4"/>
  <cols>
    <col min="1" max="1" width="50" customWidth="1"/>
    <col min="2" max="2" width="8" customWidth="1"/>
    <col min="3" max="3" width="17" customWidth="1"/>
    <col min="4" max="4" width="35" customWidth="1"/>
    <col min="5" max="5" width="30" customWidth="1"/>
    <col min="6" max="6" width="22" customWidth="1"/>
    <col min="7" max="7" width="19" customWidth="1"/>
    <col min="8" max="8" width="14" customWidth="1"/>
    <col min="9" max="9" width="25" customWidth="1"/>
    <col min="10" max="10" width="10" customWidth="1"/>
    <col min="11" max="11" width="23" customWidth="1"/>
    <col min="12" max="12" width="30" customWidth="1"/>
    <col min="13" max="13" width="24" customWidth="1"/>
    <col min="14" max="14" width="50" customWidth="1"/>
    <col min="15" max="15" width="27" customWidth="1"/>
    <col min="16" max="16" width="34" customWidth="1"/>
  </cols>
  <sheetData>
    <row r="1" spans="1:16" x14ac:dyDescent="0.4">
      <c r="A1" s="1" t="s">
        <v>0</v>
      </c>
      <c r="B1" s="1" t="s">
        <v>1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643</v>
      </c>
      <c r="M1" s="1" t="s">
        <v>644</v>
      </c>
      <c r="N1" s="1" t="s">
        <v>645</v>
      </c>
      <c r="O1" s="1" t="s">
        <v>646</v>
      </c>
      <c r="P1" s="1" t="s">
        <v>647</v>
      </c>
    </row>
    <row r="2" spans="1:16" x14ac:dyDescent="0.4">
      <c r="A2" s="2">
        <v>45838</v>
      </c>
      <c r="B2" t="s">
        <v>27</v>
      </c>
      <c r="C2" t="s">
        <v>648</v>
      </c>
      <c r="D2" s="3" t="e">
        <f t="shared" ref="D2:D65" si="0">IF(I2/H2&gt;=0.5,"PASS","FAIL")</f>
        <v>#DIV/0!</v>
      </c>
      <c r="E2" s="3" t="str">
        <f t="shared" ref="E2:E65" si="1">IF(L2&lt;=0.5,"PASS","FAIL")</f>
        <v>PASS</v>
      </c>
      <c r="F2" t="s">
        <v>648</v>
      </c>
      <c r="G2" t="s">
        <v>649</v>
      </c>
      <c r="H2" s="3">
        <v>0</v>
      </c>
      <c r="I2" s="3">
        <v>0</v>
      </c>
      <c r="J2" s="3">
        <v>0</v>
      </c>
      <c r="K2" s="4">
        <v>0</v>
      </c>
      <c r="L2" s="4">
        <v>0</v>
      </c>
      <c r="M2" s="3">
        <v>0</v>
      </c>
      <c r="N2" t="s">
        <v>29</v>
      </c>
      <c r="O2" t="s">
        <v>650</v>
      </c>
      <c r="P2" t="s">
        <v>650</v>
      </c>
    </row>
    <row r="3" spans="1:16" x14ac:dyDescent="0.4">
      <c r="A3" s="2">
        <v>45838</v>
      </c>
      <c r="B3" t="s">
        <v>30</v>
      </c>
      <c r="C3" t="s">
        <v>648</v>
      </c>
      <c r="D3" s="3" t="e">
        <f t="shared" si="0"/>
        <v>#DIV/0!</v>
      </c>
      <c r="E3" s="3" t="str">
        <f t="shared" si="1"/>
        <v>PASS</v>
      </c>
      <c r="F3" t="s">
        <v>648</v>
      </c>
      <c r="G3" t="s">
        <v>649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3">
        <v>0</v>
      </c>
      <c r="N3" t="s">
        <v>29</v>
      </c>
      <c r="O3" t="s">
        <v>650</v>
      </c>
      <c r="P3" t="s">
        <v>650</v>
      </c>
    </row>
    <row r="4" spans="1:16" x14ac:dyDescent="0.4">
      <c r="A4" s="2">
        <v>45838</v>
      </c>
      <c r="B4" t="s">
        <v>31</v>
      </c>
      <c r="C4" t="s">
        <v>648</v>
      </c>
      <c r="D4" s="3" t="e">
        <f t="shared" si="0"/>
        <v>#DIV/0!</v>
      </c>
      <c r="E4" s="3" t="str">
        <f t="shared" si="1"/>
        <v>PASS</v>
      </c>
      <c r="F4" t="s">
        <v>648</v>
      </c>
      <c r="G4" t="s">
        <v>649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3">
        <v>0</v>
      </c>
      <c r="N4" t="s">
        <v>29</v>
      </c>
      <c r="O4" t="s">
        <v>650</v>
      </c>
      <c r="P4" t="s">
        <v>650</v>
      </c>
    </row>
    <row r="5" spans="1:16" x14ac:dyDescent="0.4">
      <c r="A5" s="2">
        <v>45838</v>
      </c>
      <c r="B5" t="s">
        <v>32</v>
      </c>
      <c r="C5" t="s">
        <v>649</v>
      </c>
      <c r="D5" s="3" t="e">
        <f t="shared" si="0"/>
        <v>#DIV/0!</v>
      </c>
      <c r="E5" s="3" t="str">
        <f t="shared" si="1"/>
        <v>PASS</v>
      </c>
      <c r="F5" t="s">
        <v>649</v>
      </c>
      <c r="G5" t="s">
        <v>649</v>
      </c>
      <c r="H5" s="3">
        <v>0</v>
      </c>
      <c r="I5" s="3">
        <v>0</v>
      </c>
      <c r="J5" s="3">
        <v>0</v>
      </c>
      <c r="K5" s="4">
        <v>0</v>
      </c>
      <c r="L5" s="4">
        <v>0</v>
      </c>
      <c r="M5" s="3">
        <v>0</v>
      </c>
      <c r="N5" t="s">
        <v>29</v>
      </c>
      <c r="O5" t="s">
        <v>650</v>
      </c>
      <c r="P5" t="s">
        <v>650</v>
      </c>
    </row>
    <row r="6" spans="1:16" x14ac:dyDescent="0.4">
      <c r="A6" s="2">
        <v>45838</v>
      </c>
      <c r="B6" t="s">
        <v>33</v>
      </c>
      <c r="C6" t="s">
        <v>648</v>
      </c>
      <c r="D6" s="3" t="e">
        <f t="shared" si="0"/>
        <v>#DIV/0!</v>
      </c>
      <c r="E6" s="3" t="str">
        <f t="shared" si="1"/>
        <v>PASS</v>
      </c>
      <c r="F6" t="s">
        <v>648</v>
      </c>
      <c r="G6" t="s">
        <v>649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3">
        <v>0</v>
      </c>
      <c r="N6" t="s">
        <v>29</v>
      </c>
      <c r="O6" t="s">
        <v>650</v>
      </c>
      <c r="P6" t="s">
        <v>650</v>
      </c>
    </row>
    <row r="7" spans="1:16" x14ac:dyDescent="0.4">
      <c r="A7" s="2">
        <v>45838</v>
      </c>
      <c r="B7" t="s">
        <v>34</v>
      </c>
      <c r="C7" t="s">
        <v>649</v>
      </c>
      <c r="D7" s="3" t="e">
        <f t="shared" si="0"/>
        <v>#DIV/0!</v>
      </c>
      <c r="E7" s="3" t="str">
        <f t="shared" si="1"/>
        <v>PASS</v>
      </c>
      <c r="F7" t="s">
        <v>649</v>
      </c>
      <c r="G7" t="s">
        <v>649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3">
        <v>0</v>
      </c>
      <c r="N7" t="s">
        <v>29</v>
      </c>
      <c r="O7" t="s">
        <v>650</v>
      </c>
      <c r="P7" t="s">
        <v>650</v>
      </c>
    </row>
    <row r="8" spans="1:16" x14ac:dyDescent="0.4">
      <c r="A8" s="2">
        <v>45838</v>
      </c>
      <c r="B8" t="s">
        <v>35</v>
      </c>
      <c r="C8" t="s">
        <v>648</v>
      </c>
      <c r="D8" s="3" t="e">
        <f t="shared" si="0"/>
        <v>#DIV/0!</v>
      </c>
      <c r="E8" s="3" t="str">
        <f t="shared" si="1"/>
        <v>PASS</v>
      </c>
      <c r="F8" t="s">
        <v>648</v>
      </c>
      <c r="G8" t="s">
        <v>649</v>
      </c>
      <c r="H8" s="3">
        <v>0</v>
      </c>
      <c r="I8" s="3">
        <v>0</v>
      </c>
      <c r="J8" s="3">
        <v>0</v>
      </c>
      <c r="K8" s="4">
        <v>0</v>
      </c>
      <c r="L8" s="4">
        <v>0</v>
      </c>
      <c r="M8" s="3">
        <v>0</v>
      </c>
      <c r="N8" t="s">
        <v>29</v>
      </c>
      <c r="O8" t="s">
        <v>650</v>
      </c>
      <c r="P8" t="s">
        <v>650</v>
      </c>
    </row>
    <row r="9" spans="1:16" x14ac:dyDescent="0.4">
      <c r="A9" s="2">
        <v>45838</v>
      </c>
      <c r="B9" t="s">
        <v>36</v>
      </c>
      <c r="C9" t="s">
        <v>648</v>
      </c>
      <c r="D9" s="3" t="e">
        <f t="shared" si="0"/>
        <v>#DIV/0!</v>
      </c>
      <c r="E9" s="3" t="str">
        <f t="shared" si="1"/>
        <v>PASS</v>
      </c>
      <c r="F9" t="s">
        <v>648</v>
      </c>
      <c r="G9" t="s">
        <v>649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3">
        <v>0</v>
      </c>
      <c r="N9" t="s">
        <v>29</v>
      </c>
      <c r="O9" t="s">
        <v>650</v>
      </c>
      <c r="P9" t="s">
        <v>650</v>
      </c>
    </row>
    <row r="10" spans="1:16" x14ac:dyDescent="0.4">
      <c r="A10" s="2">
        <v>45838</v>
      </c>
      <c r="B10" t="s">
        <v>37</v>
      </c>
      <c r="C10" t="s">
        <v>648</v>
      </c>
      <c r="D10" s="3" t="e">
        <f t="shared" si="0"/>
        <v>#DIV/0!</v>
      </c>
      <c r="E10" s="3" t="str">
        <f t="shared" si="1"/>
        <v>PASS</v>
      </c>
      <c r="F10" t="s">
        <v>648</v>
      </c>
      <c r="G10" t="s">
        <v>649</v>
      </c>
      <c r="H10" s="3">
        <v>0</v>
      </c>
      <c r="I10" s="3">
        <v>0</v>
      </c>
      <c r="J10" s="3">
        <v>0</v>
      </c>
      <c r="K10" s="4">
        <v>0</v>
      </c>
      <c r="L10" s="4">
        <v>0</v>
      </c>
      <c r="M10" s="3">
        <v>0</v>
      </c>
      <c r="N10" t="s">
        <v>29</v>
      </c>
      <c r="O10" t="s">
        <v>650</v>
      </c>
      <c r="P10" t="s">
        <v>650</v>
      </c>
    </row>
    <row r="11" spans="1:16" x14ac:dyDescent="0.4">
      <c r="A11" s="2">
        <v>45838</v>
      </c>
      <c r="B11" t="s">
        <v>38</v>
      </c>
      <c r="C11" t="s">
        <v>648</v>
      </c>
      <c r="D11" s="3" t="e">
        <f t="shared" si="0"/>
        <v>#DIV/0!</v>
      </c>
      <c r="E11" s="3" t="str">
        <f t="shared" si="1"/>
        <v>PASS</v>
      </c>
      <c r="F11" t="s">
        <v>648</v>
      </c>
      <c r="G11" t="s">
        <v>649</v>
      </c>
      <c r="H11" s="3">
        <v>0</v>
      </c>
      <c r="I11" s="3">
        <v>0</v>
      </c>
      <c r="J11" s="3">
        <v>0</v>
      </c>
      <c r="K11" s="4">
        <v>0</v>
      </c>
      <c r="L11" s="4">
        <v>0</v>
      </c>
      <c r="M11" s="3">
        <v>0</v>
      </c>
      <c r="N11" t="s">
        <v>29</v>
      </c>
      <c r="O11" t="s">
        <v>650</v>
      </c>
      <c r="P11" t="s">
        <v>650</v>
      </c>
    </row>
    <row r="12" spans="1:16" x14ac:dyDescent="0.4">
      <c r="A12" s="2">
        <v>45838</v>
      </c>
      <c r="B12" t="s">
        <v>39</v>
      </c>
      <c r="C12" t="s">
        <v>648</v>
      </c>
      <c r="D12" s="3" t="e">
        <f t="shared" si="0"/>
        <v>#DIV/0!</v>
      </c>
      <c r="E12" s="3" t="str">
        <f t="shared" si="1"/>
        <v>PASS</v>
      </c>
      <c r="F12" t="s">
        <v>648</v>
      </c>
      <c r="G12" t="s">
        <v>649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3">
        <v>0</v>
      </c>
      <c r="N12" t="s">
        <v>29</v>
      </c>
      <c r="O12" t="s">
        <v>650</v>
      </c>
      <c r="P12" t="s">
        <v>650</v>
      </c>
    </row>
    <row r="13" spans="1:16" x14ac:dyDescent="0.4">
      <c r="A13" s="2">
        <v>45839</v>
      </c>
      <c r="B13" t="s">
        <v>27</v>
      </c>
      <c r="C13" t="s">
        <v>648</v>
      </c>
      <c r="D13" s="3" t="e">
        <f t="shared" si="0"/>
        <v>#DIV/0!</v>
      </c>
      <c r="E13" s="3" t="str">
        <f t="shared" si="1"/>
        <v>PASS</v>
      </c>
      <c r="F13" t="s">
        <v>648</v>
      </c>
      <c r="G13" t="s">
        <v>649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3">
        <v>0</v>
      </c>
      <c r="N13" t="s">
        <v>29</v>
      </c>
      <c r="O13" t="s">
        <v>650</v>
      </c>
      <c r="P13" t="s">
        <v>650</v>
      </c>
    </row>
    <row r="14" spans="1:16" x14ac:dyDescent="0.4">
      <c r="A14" s="2">
        <v>45839</v>
      </c>
      <c r="B14" t="s">
        <v>30</v>
      </c>
      <c r="C14" t="s">
        <v>648</v>
      </c>
      <c r="D14" s="3" t="e">
        <f t="shared" si="0"/>
        <v>#DIV/0!</v>
      </c>
      <c r="E14" s="3" t="str">
        <f t="shared" si="1"/>
        <v>PASS</v>
      </c>
      <c r="F14" t="s">
        <v>648</v>
      </c>
      <c r="G14" t="s">
        <v>649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3">
        <v>0</v>
      </c>
      <c r="N14" t="s">
        <v>29</v>
      </c>
      <c r="O14" t="s">
        <v>650</v>
      </c>
      <c r="P14" t="s">
        <v>650</v>
      </c>
    </row>
    <row r="15" spans="1:16" x14ac:dyDescent="0.4">
      <c r="A15" s="2">
        <v>45839</v>
      </c>
      <c r="B15" t="s">
        <v>31</v>
      </c>
      <c r="C15" t="s">
        <v>648</v>
      </c>
      <c r="D15" s="3" t="e">
        <f t="shared" si="0"/>
        <v>#DIV/0!</v>
      </c>
      <c r="E15" s="3" t="str">
        <f t="shared" si="1"/>
        <v>PASS</v>
      </c>
      <c r="F15" t="s">
        <v>648</v>
      </c>
      <c r="G15" t="s">
        <v>649</v>
      </c>
      <c r="H15" s="3">
        <v>0</v>
      </c>
      <c r="I15" s="3">
        <v>0</v>
      </c>
      <c r="J15" s="3">
        <v>0</v>
      </c>
      <c r="K15" s="4">
        <v>0</v>
      </c>
      <c r="L15" s="4">
        <v>0</v>
      </c>
      <c r="M15" s="3">
        <v>0</v>
      </c>
      <c r="N15" t="s">
        <v>29</v>
      </c>
      <c r="O15" t="s">
        <v>650</v>
      </c>
      <c r="P15" t="s">
        <v>650</v>
      </c>
    </row>
    <row r="16" spans="1:16" x14ac:dyDescent="0.4">
      <c r="A16" s="2">
        <v>45839</v>
      </c>
      <c r="B16" t="s">
        <v>32</v>
      </c>
      <c r="C16" t="s">
        <v>649</v>
      </c>
      <c r="D16" s="3" t="e">
        <f t="shared" si="0"/>
        <v>#DIV/0!</v>
      </c>
      <c r="E16" s="3" t="str">
        <f t="shared" si="1"/>
        <v>PASS</v>
      </c>
      <c r="F16" t="s">
        <v>649</v>
      </c>
      <c r="G16" t="s">
        <v>649</v>
      </c>
      <c r="H16" s="3">
        <v>0</v>
      </c>
      <c r="I16" s="3">
        <v>0</v>
      </c>
      <c r="J16" s="3">
        <v>0</v>
      </c>
      <c r="K16" s="4">
        <v>0</v>
      </c>
      <c r="L16" s="4">
        <v>0</v>
      </c>
      <c r="M16" s="3">
        <v>0</v>
      </c>
      <c r="N16" t="s">
        <v>29</v>
      </c>
      <c r="O16" t="s">
        <v>650</v>
      </c>
      <c r="P16" t="s">
        <v>650</v>
      </c>
    </row>
    <row r="17" spans="1:16" x14ac:dyDescent="0.4">
      <c r="A17" s="2">
        <v>45839</v>
      </c>
      <c r="B17" t="s">
        <v>33</v>
      </c>
      <c r="C17" t="s">
        <v>648</v>
      </c>
      <c r="D17" s="3" t="e">
        <f t="shared" si="0"/>
        <v>#DIV/0!</v>
      </c>
      <c r="E17" s="3" t="str">
        <f t="shared" si="1"/>
        <v>PASS</v>
      </c>
      <c r="F17" t="s">
        <v>648</v>
      </c>
      <c r="G17" t="s">
        <v>649</v>
      </c>
      <c r="H17" s="3">
        <v>0</v>
      </c>
      <c r="I17" s="3">
        <v>0</v>
      </c>
      <c r="J17" s="3">
        <v>0</v>
      </c>
      <c r="K17" s="4">
        <v>0</v>
      </c>
      <c r="L17" s="4">
        <v>0</v>
      </c>
      <c r="M17" s="3">
        <v>0</v>
      </c>
      <c r="N17" t="s">
        <v>29</v>
      </c>
      <c r="O17" t="s">
        <v>650</v>
      </c>
      <c r="P17" t="s">
        <v>650</v>
      </c>
    </row>
    <row r="18" spans="1:16" x14ac:dyDescent="0.4">
      <c r="A18" s="2">
        <v>45839</v>
      </c>
      <c r="B18" t="s">
        <v>34</v>
      </c>
      <c r="C18" t="s">
        <v>649</v>
      </c>
      <c r="D18" s="3" t="e">
        <f t="shared" si="0"/>
        <v>#DIV/0!</v>
      </c>
      <c r="E18" s="3" t="str">
        <f t="shared" si="1"/>
        <v>PASS</v>
      </c>
      <c r="F18" t="s">
        <v>649</v>
      </c>
      <c r="G18" t="s">
        <v>649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3">
        <v>0</v>
      </c>
      <c r="N18" t="s">
        <v>29</v>
      </c>
      <c r="O18" t="s">
        <v>650</v>
      </c>
      <c r="P18" t="s">
        <v>650</v>
      </c>
    </row>
    <row r="19" spans="1:16" x14ac:dyDescent="0.4">
      <c r="A19" s="2">
        <v>45839</v>
      </c>
      <c r="B19" t="s">
        <v>35</v>
      </c>
      <c r="C19" t="s">
        <v>648</v>
      </c>
      <c r="D19" s="3" t="e">
        <f t="shared" si="0"/>
        <v>#DIV/0!</v>
      </c>
      <c r="E19" s="3" t="str">
        <f t="shared" si="1"/>
        <v>PASS</v>
      </c>
      <c r="F19" t="s">
        <v>648</v>
      </c>
      <c r="G19" t="s">
        <v>649</v>
      </c>
      <c r="H19" s="3">
        <v>0</v>
      </c>
      <c r="I19" s="3">
        <v>0</v>
      </c>
      <c r="J19" s="3">
        <v>0</v>
      </c>
      <c r="K19" s="4">
        <v>0</v>
      </c>
      <c r="L19" s="4">
        <v>0</v>
      </c>
      <c r="M19" s="3">
        <v>0</v>
      </c>
      <c r="N19" t="s">
        <v>29</v>
      </c>
      <c r="O19" t="s">
        <v>650</v>
      </c>
      <c r="P19" t="s">
        <v>650</v>
      </c>
    </row>
    <row r="20" spans="1:16" x14ac:dyDescent="0.4">
      <c r="A20" s="2">
        <v>45839</v>
      </c>
      <c r="B20" t="s">
        <v>36</v>
      </c>
      <c r="C20" t="s">
        <v>648</v>
      </c>
      <c r="D20" s="3" t="e">
        <f t="shared" si="0"/>
        <v>#DIV/0!</v>
      </c>
      <c r="E20" s="3" t="str">
        <f t="shared" si="1"/>
        <v>PASS</v>
      </c>
      <c r="F20" t="s">
        <v>648</v>
      </c>
      <c r="G20" t="s">
        <v>649</v>
      </c>
      <c r="H20" s="3">
        <v>0</v>
      </c>
      <c r="I20" s="3">
        <v>0</v>
      </c>
      <c r="J20" s="3">
        <v>0</v>
      </c>
      <c r="K20" s="4">
        <v>0</v>
      </c>
      <c r="L20" s="4">
        <v>0</v>
      </c>
      <c r="M20" s="3">
        <v>0</v>
      </c>
      <c r="N20" t="s">
        <v>29</v>
      </c>
      <c r="O20" t="s">
        <v>650</v>
      </c>
      <c r="P20" t="s">
        <v>650</v>
      </c>
    </row>
    <row r="21" spans="1:16" x14ac:dyDescent="0.4">
      <c r="A21" s="2">
        <v>45839</v>
      </c>
      <c r="B21" t="s">
        <v>37</v>
      </c>
      <c r="C21" t="s">
        <v>648</v>
      </c>
      <c r="D21" s="3" t="e">
        <f t="shared" si="0"/>
        <v>#DIV/0!</v>
      </c>
      <c r="E21" s="3" t="str">
        <f t="shared" si="1"/>
        <v>PASS</v>
      </c>
      <c r="F21" t="s">
        <v>648</v>
      </c>
      <c r="G21" t="s">
        <v>649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3">
        <v>0</v>
      </c>
      <c r="N21" t="s">
        <v>29</v>
      </c>
      <c r="O21" t="s">
        <v>650</v>
      </c>
      <c r="P21" t="s">
        <v>650</v>
      </c>
    </row>
    <row r="22" spans="1:16" x14ac:dyDescent="0.4">
      <c r="A22" s="2">
        <v>45839</v>
      </c>
      <c r="B22" t="s">
        <v>38</v>
      </c>
      <c r="C22" t="s">
        <v>648</v>
      </c>
      <c r="D22" s="3" t="e">
        <f t="shared" si="0"/>
        <v>#DIV/0!</v>
      </c>
      <c r="E22" s="3" t="str">
        <f t="shared" si="1"/>
        <v>PASS</v>
      </c>
      <c r="F22" t="s">
        <v>648</v>
      </c>
      <c r="G22" t="s">
        <v>649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3">
        <v>0</v>
      </c>
      <c r="N22" t="s">
        <v>29</v>
      </c>
      <c r="O22" t="s">
        <v>650</v>
      </c>
      <c r="P22" t="s">
        <v>650</v>
      </c>
    </row>
    <row r="23" spans="1:16" x14ac:dyDescent="0.4">
      <c r="A23" s="2">
        <v>45839</v>
      </c>
      <c r="B23" t="s">
        <v>39</v>
      </c>
      <c r="C23" t="s">
        <v>648</v>
      </c>
      <c r="D23" s="3" t="e">
        <f t="shared" si="0"/>
        <v>#DIV/0!</v>
      </c>
      <c r="E23" s="3" t="str">
        <f t="shared" si="1"/>
        <v>PASS</v>
      </c>
      <c r="F23" t="s">
        <v>648</v>
      </c>
      <c r="G23" t="s">
        <v>649</v>
      </c>
      <c r="H23" s="3">
        <v>0</v>
      </c>
      <c r="I23" s="3">
        <v>0</v>
      </c>
      <c r="J23" s="3">
        <v>0</v>
      </c>
      <c r="K23" s="4">
        <v>0</v>
      </c>
      <c r="L23" s="4">
        <v>0</v>
      </c>
      <c r="M23" s="3">
        <v>0</v>
      </c>
      <c r="N23" t="s">
        <v>29</v>
      </c>
      <c r="O23" t="s">
        <v>650</v>
      </c>
      <c r="P23" t="s">
        <v>650</v>
      </c>
    </row>
    <row r="24" spans="1:16" x14ac:dyDescent="0.4">
      <c r="A24" s="2">
        <v>45840</v>
      </c>
      <c r="B24" t="s">
        <v>27</v>
      </c>
      <c r="C24" t="s">
        <v>648</v>
      </c>
      <c r="D24" s="3" t="e">
        <f t="shared" si="0"/>
        <v>#DIV/0!</v>
      </c>
      <c r="E24" s="3" t="str">
        <f t="shared" si="1"/>
        <v>PASS</v>
      </c>
      <c r="F24" t="s">
        <v>648</v>
      </c>
      <c r="G24" t="s">
        <v>649</v>
      </c>
      <c r="H24" s="3">
        <v>0</v>
      </c>
      <c r="I24" s="3">
        <v>0</v>
      </c>
      <c r="J24" s="3">
        <v>0</v>
      </c>
      <c r="K24" s="4">
        <v>0</v>
      </c>
      <c r="L24" s="4">
        <v>0</v>
      </c>
      <c r="M24" s="3">
        <v>0</v>
      </c>
      <c r="N24" t="s">
        <v>29</v>
      </c>
      <c r="O24" t="s">
        <v>650</v>
      </c>
      <c r="P24" t="s">
        <v>650</v>
      </c>
    </row>
    <row r="25" spans="1:16" x14ac:dyDescent="0.4">
      <c r="A25" s="2">
        <v>45840</v>
      </c>
      <c r="B25" t="s">
        <v>30</v>
      </c>
      <c r="C25" t="s">
        <v>648</v>
      </c>
      <c r="D25" s="3" t="e">
        <f t="shared" si="0"/>
        <v>#DIV/0!</v>
      </c>
      <c r="E25" s="3" t="str">
        <f t="shared" si="1"/>
        <v>PASS</v>
      </c>
      <c r="F25" t="s">
        <v>648</v>
      </c>
      <c r="G25" t="s">
        <v>649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3">
        <v>0</v>
      </c>
      <c r="N25" t="s">
        <v>29</v>
      </c>
      <c r="O25" t="s">
        <v>650</v>
      </c>
      <c r="P25" t="s">
        <v>650</v>
      </c>
    </row>
    <row r="26" spans="1:16" x14ac:dyDescent="0.4">
      <c r="A26" s="2">
        <v>45840</v>
      </c>
      <c r="B26" t="s">
        <v>31</v>
      </c>
      <c r="C26" t="s">
        <v>648</v>
      </c>
      <c r="D26" s="3" t="e">
        <f t="shared" si="0"/>
        <v>#DIV/0!</v>
      </c>
      <c r="E26" s="3" t="str">
        <f t="shared" si="1"/>
        <v>PASS</v>
      </c>
      <c r="F26" t="s">
        <v>648</v>
      </c>
      <c r="G26" t="s">
        <v>649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3">
        <v>0</v>
      </c>
      <c r="N26" t="s">
        <v>29</v>
      </c>
      <c r="O26" t="s">
        <v>650</v>
      </c>
      <c r="P26" t="s">
        <v>650</v>
      </c>
    </row>
    <row r="27" spans="1:16" x14ac:dyDescent="0.4">
      <c r="A27" s="2">
        <v>45840</v>
      </c>
      <c r="B27" t="s">
        <v>32</v>
      </c>
      <c r="C27" t="s">
        <v>649</v>
      </c>
      <c r="D27" s="3" t="e">
        <f t="shared" si="0"/>
        <v>#DIV/0!</v>
      </c>
      <c r="E27" s="3" t="str">
        <f t="shared" si="1"/>
        <v>PASS</v>
      </c>
      <c r="F27" t="s">
        <v>649</v>
      </c>
      <c r="G27" t="s">
        <v>649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3">
        <v>0</v>
      </c>
      <c r="N27" t="s">
        <v>29</v>
      </c>
      <c r="O27" t="s">
        <v>650</v>
      </c>
      <c r="P27" t="s">
        <v>650</v>
      </c>
    </row>
    <row r="28" spans="1:16" x14ac:dyDescent="0.4">
      <c r="A28" s="2">
        <v>45840</v>
      </c>
      <c r="B28" t="s">
        <v>33</v>
      </c>
      <c r="C28" t="s">
        <v>648</v>
      </c>
      <c r="D28" s="3" t="e">
        <f t="shared" si="0"/>
        <v>#DIV/0!</v>
      </c>
      <c r="E28" s="3" t="str">
        <f t="shared" si="1"/>
        <v>PASS</v>
      </c>
      <c r="F28" t="s">
        <v>648</v>
      </c>
      <c r="G28" t="s">
        <v>649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3">
        <v>0</v>
      </c>
      <c r="N28" t="s">
        <v>29</v>
      </c>
      <c r="O28" t="s">
        <v>650</v>
      </c>
      <c r="P28" t="s">
        <v>650</v>
      </c>
    </row>
    <row r="29" spans="1:16" x14ac:dyDescent="0.4">
      <c r="A29" s="2">
        <v>45840</v>
      </c>
      <c r="B29" t="s">
        <v>34</v>
      </c>
      <c r="C29" t="s">
        <v>649</v>
      </c>
      <c r="D29" s="3" t="e">
        <f t="shared" si="0"/>
        <v>#DIV/0!</v>
      </c>
      <c r="E29" s="3" t="str">
        <f t="shared" si="1"/>
        <v>PASS</v>
      </c>
      <c r="F29" t="s">
        <v>649</v>
      </c>
      <c r="G29" t="s">
        <v>649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3">
        <v>0</v>
      </c>
      <c r="N29" t="s">
        <v>29</v>
      </c>
      <c r="O29" t="s">
        <v>650</v>
      </c>
      <c r="P29" t="s">
        <v>650</v>
      </c>
    </row>
    <row r="30" spans="1:16" x14ac:dyDescent="0.4">
      <c r="A30" s="2">
        <v>45840</v>
      </c>
      <c r="B30" t="s">
        <v>35</v>
      </c>
      <c r="C30" t="s">
        <v>648</v>
      </c>
      <c r="D30" s="3" t="e">
        <f t="shared" si="0"/>
        <v>#DIV/0!</v>
      </c>
      <c r="E30" s="3" t="str">
        <f t="shared" si="1"/>
        <v>PASS</v>
      </c>
      <c r="F30" t="s">
        <v>648</v>
      </c>
      <c r="G30" t="s">
        <v>649</v>
      </c>
      <c r="H30" s="3">
        <v>0</v>
      </c>
      <c r="I30" s="3">
        <v>0</v>
      </c>
      <c r="J30" s="3">
        <v>0</v>
      </c>
      <c r="K30" s="4">
        <v>0</v>
      </c>
      <c r="L30" s="4">
        <v>0</v>
      </c>
      <c r="M30" s="3">
        <v>0</v>
      </c>
      <c r="N30" t="s">
        <v>29</v>
      </c>
      <c r="O30" t="s">
        <v>650</v>
      </c>
      <c r="P30" t="s">
        <v>650</v>
      </c>
    </row>
    <row r="31" spans="1:16" x14ac:dyDescent="0.4">
      <c r="A31" s="2">
        <v>45840</v>
      </c>
      <c r="B31" t="s">
        <v>36</v>
      </c>
      <c r="C31" t="s">
        <v>648</v>
      </c>
      <c r="D31" s="3" t="e">
        <f t="shared" si="0"/>
        <v>#DIV/0!</v>
      </c>
      <c r="E31" s="3" t="str">
        <f t="shared" si="1"/>
        <v>PASS</v>
      </c>
      <c r="F31" t="s">
        <v>648</v>
      </c>
      <c r="G31" t="s">
        <v>649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3">
        <v>0</v>
      </c>
      <c r="N31" t="s">
        <v>29</v>
      </c>
      <c r="O31" t="s">
        <v>650</v>
      </c>
      <c r="P31" t="s">
        <v>650</v>
      </c>
    </row>
    <row r="32" spans="1:16" x14ac:dyDescent="0.4">
      <c r="A32" s="2">
        <v>45840</v>
      </c>
      <c r="B32" t="s">
        <v>37</v>
      </c>
      <c r="C32" t="s">
        <v>648</v>
      </c>
      <c r="D32" s="3" t="e">
        <f t="shared" si="0"/>
        <v>#DIV/0!</v>
      </c>
      <c r="E32" s="3" t="str">
        <f t="shared" si="1"/>
        <v>PASS</v>
      </c>
      <c r="F32" t="s">
        <v>648</v>
      </c>
      <c r="G32" t="s">
        <v>649</v>
      </c>
      <c r="H32" s="3">
        <v>0</v>
      </c>
      <c r="I32" s="3">
        <v>0</v>
      </c>
      <c r="J32" s="3">
        <v>0</v>
      </c>
      <c r="K32" s="4">
        <v>0</v>
      </c>
      <c r="L32" s="4">
        <v>0</v>
      </c>
      <c r="M32" s="3">
        <v>0</v>
      </c>
      <c r="N32" t="s">
        <v>29</v>
      </c>
      <c r="O32" t="s">
        <v>650</v>
      </c>
      <c r="P32" t="s">
        <v>650</v>
      </c>
    </row>
    <row r="33" spans="1:16" x14ac:dyDescent="0.4">
      <c r="A33" s="2">
        <v>45840</v>
      </c>
      <c r="B33" t="s">
        <v>38</v>
      </c>
      <c r="C33" t="s">
        <v>648</v>
      </c>
      <c r="D33" s="3" t="e">
        <f t="shared" si="0"/>
        <v>#DIV/0!</v>
      </c>
      <c r="E33" s="3" t="str">
        <f t="shared" si="1"/>
        <v>PASS</v>
      </c>
      <c r="F33" t="s">
        <v>648</v>
      </c>
      <c r="G33" t="s">
        <v>649</v>
      </c>
      <c r="H33" s="3">
        <v>0</v>
      </c>
      <c r="I33" s="3">
        <v>0</v>
      </c>
      <c r="J33" s="3">
        <v>0</v>
      </c>
      <c r="K33" s="4">
        <v>0</v>
      </c>
      <c r="L33" s="4">
        <v>0</v>
      </c>
      <c r="M33" s="3">
        <v>0</v>
      </c>
      <c r="N33" t="s">
        <v>29</v>
      </c>
      <c r="O33" t="s">
        <v>650</v>
      </c>
      <c r="P33" t="s">
        <v>650</v>
      </c>
    </row>
    <row r="34" spans="1:16" x14ac:dyDescent="0.4">
      <c r="A34" s="2">
        <v>45840</v>
      </c>
      <c r="B34" t="s">
        <v>39</v>
      </c>
      <c r="C34" t="s">
        <v>648</v>
      </c>
      <c r="D34" s="3" t="e">
        <f t="shared" si="0"/>
        <v>#DIV/0!</v>
      </c>
      <c r="E34" s="3" t="str">
        <f t="shared" si="1"/>
        <v>PASS</v>
      </c>
      <c r="F34" t="s">
        <v>648</v>
      </c>
      <c r="G34" t="s">
        <v>649</v>
      </c>
      <c r="H34" s="3">
        <v>0</v>
      </c>
      <c r="I34" s="3">
        <v>0</v>
      </c>
      <c r="J34" s="3">
        <v>0</v>
      </c>
      <c r="K34" s="4">
        <v>0</v>
      </c>
      <c r="L34" s="4">
        <v>0</v>
      </c>
      <c r="M34" s="3">
        <v>0</v>
      </c>
      <c r="N34" t="s">
        <v>29</v>
      </c>
      <c r="O34" t="s">
        <v>650</v>
      </c>
      <c r="P34" t="s">
        <v>650</v>
      </c>
    </row>
    <row r="35" spans="1:16" x14ac:dyDescent="0.4">
      <c r="A35" s="2">
        <v>45841</v>
      </c>
      <c r="B35" t="s">
        <v>27</v>
      </c>
      <c r="C35" t="s">
        <v>648</v>
      </c>
      <c r="D35" s="3" t="e">
        <f t="shared" si="0"/>
        <v>#DIV/0!</v>
      </c>
      <c r="E35" s="3" t="str">
        <f t="shared" si="1"/>
        <v>PASS</v>
      </c>
      <c r="F35" t="s">
        <v>648</v>
      </c>
      <c r="G35" t="s">
        <v>649</v>
      </c>
      <c r="H35" s="3">
        <v>0</v>
      </c>
      <c r="I35" s="3">
        <v>0</v>
      </c>
      <c r="J35" s="3">
        <v>0</v>
      </c>
      <c r="K35" s="4">
        <v>0</v>
      </c>
      <c r="L35" s="4">
        <v>0</v>
      </c>
      <c r="M35" s="3">
        <v>0</v>
      </c>
      <c r="N35" t="s">
        <v>29</v>
      </c>
      <c r="O35" t="s">
        <v>650</v>
      </c>
      <c r="P35" t="s">
        <v>650</v>
      </c>
    </row>
    <row r="36" spans="1:16" x14ac:dyDescent="0.4">
      <c r="A36" s="2">
        <v>45841</v>
      </c>
      <c r="B36" t="s">
        <v>30</v>
      </c>
      <c r="C36" t="s">
        <v>648</v>
      </c>
      <c r="D36" s="3" t="e">
        <f t="shared" si="0"/>
        <v>#DIV/0!</v>
      </c>
      <c r="E36" s="3" t="str">
        <f t="shared" si="1"/>
        <v>PASS</v>
      </c>
      <c r="F36" t="s">
        <v>648</v>
      </c>
      <c r="G36" t="s">
        <v>649</v>
      </c>
      <c r="H36" s="3">
        <v>0</v>
      </c>
      <c r="I36" s="3">
        <v>0</v>
      </c>
      <c r="J36" s="3">
        <v>0</v>
      </c>
      <c r="K36" s="4">
        <v>0</v>
      </c>
      <c r="L36" s="4">
        <v>0</v>
      </c>
      <c r="M36" s="3">
        <v>0</v>
      </c>
      <c r="N36" t="s">
        <v>29</v>
      </c>
      <c r="O36" t="s">
        <v>650</v>
      </c>
      <c r="P36" t="s">
        <v>650</v>
      </c>
    </row>
    <row r="37" spans="1:16" x14ac:dyDescent="0.4">
      <c r="A37" s="2">
        <v>45841</v>
      </c>
      <c r="B37" t="s">
        <v>31</v>
      </c>
      <c r="C37" t="s">
        <v>648</v>
      </c>
      <c r="D37" s="3" t="e">
        <f t="shared" si="0"/>
        <v>#DIV/0!</v>
      </c>
      <c r="E37" s="3" t="str">
        <f t="shared" si="1"/>
        <v>PASS</v>
      </c>
      <c r="F37" t="s">
        <v>648</v>
      </c>
      <c r="G37" t="s">
        <v>649</v>
      </c>
      <c r="H37" s="3">
        <v>0</v>
      </c>
      <c r="I37" s="3">
        <v>0</v>
      </c>
      <c r="J37" s="3">
        <v>0</v>
      </c>
      <c r="K37" s="4">
        <v>0</v>
      </c>
      <c r="L37" s="4">
        <v>0</v>
      </c>
      <c r="M37" s="3">
        <v>0</v>
      </c>
      <c r="N37" t="s">
        <v>29</v>
      </c>
      <c r="O37" t="s">
        <v>650</v>
      </c>
      <c r="P37" t="s">
        <v>650</v>
      </c>
    </row>
    <row r="38" spans="1:16" x14ac:dyDescent="0.4">
      <c r="A38" s="2">
        <v>45841</v>
      </c>
      <c r="B38" t="s">
        <v>32</v>
      </c>
      <c r="C38" t="s">
        <v>649</v>
      </c>
      <c r="D38" s="3" t="e">
        <f t="shared" si="0"/>
        <v>#DIV/0!</v>
      </c>
      <c r="E38" s="3" t="str">
        <f t="shared" si="1"/>
        <v>PASS</v>
      </c>
      <c r="F38" t="s">
        <v>649</v>
      </c>
      <c r="G38" t="s">
        <v>649</v>
      </c>
      <c r="H38" s="3">
        <v>0</v>
      </c>
      <c r="I38" s="3">
        <v>0</v>
      </c>
      <c r="J38" s="3">
        <v>0</v>
      </c>
      <c r="K38" s="4">
        <v>0</v>
      </c>
      <c r="L38" s="4">
        <v>0</v>
      </c>
      <c r="M38" s="3">
        <v>0</v>
      </c>
      <c r="N38" t="s">
        <v>29</v>
      </c>
      <c r="O38" t="s">
        <v>650</v>
      </c>
      <c r="P38" t="s">
        <v>650</v>
      </c>
    </row>
    <row r="39" spans="1:16" x14ac:dyDescent="0.4">
      <c r="A39" s="2">
        <v>45841</v>
      </c>
      <c r="B39" t="s">
        <v>33</v>
      </c>
      <c r="C39" t="s">
        <v>648</v>
      </c>
      <c r="D39" s="3" t="e">
        <f t="shared" si="0"/>
        <v>#DIV/0!</v>
      </c>
      <c r="E39" s="3" t="str">
        <f t="shared" si="1"/>
        <v>PASS</v>
      </c>
      <c r="F39" t="s">
        <v>648</v>
      </c>
      <c r="G39" t="s">
        <v>649</v>
      </c>
      <c r="H39" s="3">
        <v>0</v>
      </c>
      <c r="I39" s="3">
        <v>0</v>
      </c>
      <c r="J39" s="3">
        <v>0</v>
      </c>
      <c r="K39" s="4">
        <v>0</v>
      </c>
      <c r="L39" s="4">
        <v>0</v>
      </c>
      <c r="M39" s="3">
        <v>0</v>
      </c>
      <c r="N39" t="s">
        <v>29</v>
      </c>
      <c r="O39" t="s">
        <v>650</v>
      </c>
      <c r="P39" t="s">
        <v>650</v>
      </c>
    </row>
    <row r="40" spans="1:16" x14ac:dyDescent="0.4">
      <c r="A40" s="2">
        <v>45841</v>
      </c>
      <c r="B40" t="s">
        <v>34</v>
      </c>
      <c r="C40" t="s">
        <v>649</v>
      </c>
      <c r="D40" s="3" t="e">
        <f t="shared" si="0"/>
        <v>#DIV/0!</v>
      </c>
      <c r="E40" s="3" t="str">
        <f t="shared" si="1"/>
        <v>PASS</v>
      </c>
      <c r="F40" t="s">
        <v>649</v>
      </c>
      <c r="G40" t="s">
        <v>649</v>
      </c>
      <c r="H40" s="3">
        <v>0</v>
      </c>
      <c r="I40" s="3">
        <v>0</v>
      </c>
      <c r="J40" s="3">
        <v>0</v>
      </c>
      <c r="K40" s="4">
        <v>0</v>
      </c>
      <c r="L40" s="4">
        <v>0</v>
      </c>
      <c r="M40" s="3">
        <v>0</v>
      </c>
      <c r="N40" t="s">
        <v>29</v>
      </c>
      <c r="O40" t="s">
        <v>650</v>
      </c>
      <c r="P40" t="s">
        <v>650</v>
      </c>
    </row>
    <row r="41" spans="1:16" x14ac:dyDescent="0.4">
      <c r="A41" s="2">
        <v>45841</v>
      </c>
      <c r="B41" t="s">
        <v>35</v>
      </c>
      <c r="C41" t="s">
        <v>648</v>
      </c>
      <c r="D41" s="3" t="e">
        <f t="shared" si="0"/>
        <v>#DIV/0!</v>
      </c>
      <c r="E41" s="3" t="str">
        <f t="shared" si="1"/>
        <v>PASS</v>
      </c>
      <c r="F41" t="s">
        <v>648</v>
      </c>
      <c r="G41" t="s">
        <v>649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3">
        <v>0</v>
      </c>
      <c r="N41" t="s">
        <v>29</v>
      </c>
      <c r="O41" t="s">
        <v>650</v>
      </c>
      <c r="P41" t="s">
        <v>650</v>
      </c>
    </row>
    <row r="42" spans="1:16" x14ac:dyDescent="0.4">
      <c r="A42" s="2">
        <v>45841</v>
      </c>
      <c r="B42" t="s">
        <v>36</v>
      </c>
      <c r="C42" t="s">
        <v>648</v>
      </c>
      <c r="D42" s="3" t="e">
        <f t="shared" si="0"/>
        <v>#DIV/0!</v>
      </c>
      <c r="E42" s="3" t="str">
        <f t="shared" si="1"/>
        <v>PASS</v>
      </c>
      <c r="F42" t="s">
        <v>648</v>
      </c>
      <c r="G42" t="s">
        <v>649</v>
      </c>
      <c r="H42" s="3">
        <v>0</v>
      </c>
      <c r="I42" s="3">
        <v>0</v>
      </c>
      <c r="J42" s="3">
        <v>0</v>
      </c>
      <c r="K42" s="4">
        <v>0</v>
      </c>
      <c r="L42" s="4">
        <v>0</v>
      </c>
      <c r="M42" s="3">
        <v>0</v>
      </c>
      <c r="N42" t="s">
        <v>29</v>
      </c>
      <c r="O42" t="s">
        <v>650</v>
      </c>
      <c r="P42" t="s">
        <v>650</v>
      </c>
    </row>
    <row r="43" spans="1:16" x14ac:dyDescent="0.4">
      <c r="A43" s="2">
        <v>45841</v>
      </c>
      <c r="B43" t="s">
        <v>37</v>
      </c>
      <c r="C43" t="s">
        <v>648</v>
      </c>
      <c r="D43" s="3" t="e">
        <f t="shared" si="0"/>
        <v>#DIV/0!</v>
      </c>
      <c r="E43" s="3" t="str">
        <f t="shared" si="1"/>
        <v>PASS</v>
      </c>
      <c r="F43" t="s">
        <v>648</v>
      </c>
      <c r="G43" t="s">
        <v>649</v>
      </c>
      <c r="H43" s="3">
        <v>0</v>
      </c>
      <c r="I43" s="3">
        <v>0</v>
      </c>
      <c r="J43" s="3">
        <v>0</v>
      </c>
      <c r="K43" s="4">
        <v>0</v>
      </c>
      <c r="L43" s="4">
        <v>0</v>
      </c>
      <c r="M43" s="3">
        <v>0</v>
      </c>
      <c r="N43" t="s">
        <v>29</v>
      </c>
      <c r="O43" t="s">
        <v>650</v>
      </c>
      <c r="P43" t="s">
        <v>650</v>
      </c>
    </row>
    <row r="44" spans="1:16" x14ac:dyDescent="0.4">
      <c r="A44" s="2">
        <v>45841</v>
      </c>
      <c r="B44" t="s">
        <v>38</v>
      </c>
      <c r="C44" t="s">
        <v>648</v>
      </c>
      <c r="D44" s="3" t="e">
        <f t="shared" si="0"/>
        <v>#DIV/0!</v>
      </c>
      <c r="E44" s="3" t="str">
        <f t="shared" si="1"/>
        <v>PASS</v>
      </c>
      <c r="F44" t="s">
        <v>648</v>
      </c>
      <c r="G44" t="s">
        <v>649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3">
        <v>0</v>
      </c>
      <c r="N44" t="s">
        <v>29</v>
      </c>
      <c r="O44" t="s">
        <v>650</v>
      </c>
      <c r="P44" t="s">
        <v>650</v>
      </c>
    </row>
    <row r="45" spans="1:16" x14ac:dyDescent="0.4">
      <c r="A45" s="2">
        <v>45841</v>
      </c>
      <c r="B45" t="s">
        <v>39</v>
      </c>
      <c r="C45" t="s">
        <v>648</v>
      </c>
      <c r="D45" s="3" t="e">
        <f t="shared" si="0"/>
        <v>#DIV/0!</v>
      </c>
      <c r="E45" s="3" t="str">
        <f t="shared" si="1"/>
        <v>PASS</v>
      </c>
      <c r="F45" t="s">
        <v>648</v>
      </c>
      <c r="G45" t="s">
        <v>649</v>
      </c>
      <c r="H45" s="3">
        <v>0</v>
      </c>
      <c r="I45" s="3">
        <v>0</v>
      </c>
      <c r="J45" s="3">
        <v>0</v>
      </c>
      <c r="K45" s="4">
        <v>0</v>
      </c>
      <c r="L45" s="4">
        <v>0</v>
      </c>
      <c r="M45" s="3">
        <v>0</v>
      </c>
      <c r="N45" t="s">
        <v>29</v>
      </c>
      <c r="O45" t="s">
        <v>650</v>
      </c>
      <c r="P45" t="s">
        <v>650</v>
      </c>
    </row>
    <row r="46" spans="1:16" x14ac:dyDescent="0.4">
      <c r="A46" s="2">
        <v>45842</v>
      </c>
      <c r="B46" t="s">
        <v>27</v>
      </c>
      <c r="C46" t="s">
        <v>649</v>
      </c>
      <c r="D46" s="3" t="e">
        <f t="shared" si="0"/>
        <v>#DIV/0!</v>
      </c>
      <c r="E46" s="3" t="str">
        <f t="shared" si="1"/>
        <v>PASS</v>
      </c>
      <c r="F46" t="s">
        <v>649</v>
      </c>
      <c r="G46" t="s">
        <v>649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3">
        <v>0</v>
      </c>
      <c r="N46" t="s">
        <v>29</v>
      </c>
      <c r="O46" t="s">
        <v>650</v>
      </c>
      <c r="P46" t="s">
        <v>650</v>
      </c>
    </row>
    <row r="47" spans="1:16" x14ac:dyDescent="0.4">
      <c r="A47" s="2">
        <v>45842</v>
      </c>
      <c r="B47" t="s">
        <v>30</v>
      </c>
      <c r="C47" t="s">
        <v>649</v>
      </c>
      <c r="D47" s="3" t="e">
        <f t="shared" si="0"/>
        <v>#DIV/0!</v>
      </c>
      <c r="E47" s="3" t="str">
        <f t="shared" si="1"/>
        <v>PASS</v>
      </c>
      <c r="F47" t="s">
        <v>649</v>
      </c>
      <c r="G47" t="s">
        <v>649</v>
      </c>
      <c r="H47" s="3">
        <v>0</v>
      </c>
      <c r="I47" s="3">
        <v>0</v>
      </c>
      <c r="J47" s="3">
        <v>0</v>
      </c>
      <c r="K47" s="4">
        <v>0</v>
      </c>
      <c r="L47" s="4">
        <v>0</v>
      </c>
      <c r="M47" s="3">
        <v>0</v>
      </c>
      <c r="N47" t="s">
        <v>29</v>
      </c>
      <c r="O47" t="s">
        <v>650</v>
      </c>
      <c r="P47" t="s">
        <v>650</v>
      </c>
    </row>
    <row r="48" spans="1:16" x14ac:dyDescent="0.4">
      <c r="A48" s="2">
        <v>45842</v>
      </c>
      <c r="B48" t="s">
        <v>31</v>
      </c>
      <c r="C48" t="s">
        <v>649</v>
      </c>
      <c r="D48" s="3" t="e">
        <f t="shared" si="0"/>
        <v>#DIV/0!</v>
      </c>
      <c r="E48" s="3" t="str">
        <f t="shared" si="1"/>
        <v>PASS</v>
      </c>
      <c r="F48" t="s">
        <v>649</v>
      </c>
      <c r="G48" t="s">
        <v>649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3">
        <v>0</v>
      </c>
      <c r="N48" t="s">
        <v>29</v>
      </c>
      <c r="O48" t="s">
        <v>650</v>
      </c>
      <c r="P48" t="s">
        <v>650</v>
      </c>
    </row>
    <row r="49" spans="1:16" x14ac:dyDescent="0.4">
      <c r="A49" s="2">
        <v>45842</v>
      </c>
      <c r="B49" t="s">
        <v>32</v>
      </c>
      <c r="C49" t="s">
        <v>649</v>
      </c>
      <c r="D49" s="3" t="e">
        <f t="shared" si="0"/>
        <v>#DIV/0!</v>
      </c>
      <c r="E49" s="3" t="str">
        <f t="shared" si="1"/>
        <v>PASS</v>
      </c>
      <c r="F49" t="s">
        <v>649</v>
      </c>
      <c r="G49" t="s">
        <v>649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3">
        <v>0</v>
      </c>
      <c r="N49" t="s">
        <v>29</v>
      </c>
      <c r="O49" t="s">
        <v>650</v>
      </c>
      <c r="P49" t="s">
        <v>650</v>
      </c>
    </row>
    <row r="50" spans="1:16" x14ac:dyDescent="0.4">
      <c r="A50" s="2">
        <v>45842</v>
      </c>
      <c r="B50" t="s">
        <v>33</v>
      </c>
      <c r="C50" t="s">
        <v>649</v>
      </c>
      <c r="D50" s="3" t="e">
        <f t="shared" si="0"/>
        <v>#DIV/0!</v>
      </c>
      <c r="E50" s="3" t="str">
        <f t="shared" si="1"/>
        <v>PASS</v>
      </c>
      <c r="F50" t="s">
        <v>649</v>
      </c>
      <c r="G50" t="s">
        <v>649</v>
      </c>
      <c r="H50" s="3">
        <v>0</v>
      </c>
      <c r="I50" s="3">
        <v>0</v>
      </c>
      <c r="J50" s="3">
        <v>0</v>
      </c>
      <c r="K50" s="4">
        <v>0</v>
      </c>
      <c r="L50" s="4">
        <v>0</v>
      </c>
      <c r="M50" s="3">
        <v>0</v>
      </c>
      <c r="N50" t="s">
        <v>29</v>
      </c>
      <c r="O50" t="s">
        <v>650</v>
      </c>
      <c r="P50" t="s">
        <v>650</v>
      </c>
    </row>
    <row r="51" spans="1:16" x14ac:dyDescent="0.4">
      <c r="A51" s="2">
        <v>45842</v>
      </c>
      <c r="B51" t="s">
        <v>34</v>
      </c>
      <c r="C51" t="s">
        <v>649</v>
      </c>
      <c r="D51" s="3" t="e">
        <f t="shared" si="0"/>
        <v>#DIV/0!</v>
      </c>
      <c r="E51" s="3" t="str">
        <f t="shared" si="1"/>
        <v>PASS</v>
      </c>
      <c r="F51" t="s">
        <v>649</v>
      </c>
      <c r="G51" t="s">
        <v>649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3">
        <v>0</v>
      </c>
      <c r="N51" t="s">
        <v>29</v>
      </c>
      <c r="O51" t="s">
        <v>650</v>
      </c>
      <c r="P51" t="s">
        <v>650</v>
      </c>
    </row>
    <row r="52" spans="1:16" x14ac:dyDescent="0.4">
      <c r="A52" s="2">
        <v>45842</v>
      </c>
      <c r="B52" t="s">
        <v>35</v>
      </c>
      <c r="C52" t="s">
        <v>649</v>
      </c>
      <c r="D52" s="3" t="e">
        <f t="shared" si="0"/>
        <v>#DIV/0!</v>
      </c>
      <c r="E52" s="3" t="str">
        <f t="shared" si="1"/>
        <v>PASS</v>
      </c>
      <c r="F52" t="s">
        <v>649</v>
      </c>
      <c r="G52" t="s">
        <v>649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3">
        <v>0</v>
      </c>
      <c r="N52" t="s">
        <v>29</v>
      </c>
      <c r="O52" t="s">
        <v>650</v>
      </c>
      <c r="P52" t="s">
        <v>650</v>
      </c>
    </row>
    <row r="53" spans="1:16" x14ac:dyDescent="0.4">
      <c r="A53" s="2">
        <v>45842</v>
      </c>
      <c r="B53" t="s">
        <v>36</v>
      </c>
      <c r="C53" t="s">
        <v>649</v>
      </c>
      <c r="D53" s="3" t="e">
        <f t="shared" si="0"/>
        <v>#DIV/0!</v>
      </c>
      <c r="E53" s="3" t="str">
        <f t="shared" si="1"/>
        <v>PASS</v>
      </c>
      <c r="F53" t="s">
        <v>649</v>
      </c>
      <c r="G53" t="s">
        <v>649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3">
        <v>0</v>
      </c>
      <c r="N53" t="s">
        <v>29</v>
      </c>
      <c r="O53" t="s">
        <v>650</v>
      </c>
      <c r="P53" t="s">
        <v>650</v>
      </c>
    </row>
    <row r="54" spans="1:16" x14ac:dyDescent="0.4">
      <c r="A54" s="2">
        <v>45842</v>
      </c>
      <c r="B54" t="s">
        <v>37</v>
      </c>
      <c r="C54" t="s">
        <v>649</v>
      </c>
      <c r="D54" s="3" t="e">
        <f t="shared" si="0"/>
        <v>#DIV/0!</v>
      </c>
      <c r="E54" s="3" t="str">
        <f t="shared" si="1"/>
        <v>PASS</v>
      </c>
      <c r="F54" t="s">
        <v>649</v>
      </c>
      <c r="G54" t="s">
        <v>649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3">
        <v>0</v>
      </c>
      <c r="N54" t="s">
        <v>29</v>
      </c>
      <c r="O54" t="s">
        <v>650</v>
      </c>
      <c r="P54" t="s">
        <v>650</v>
      </c>
    </row>
    <row r="55" spans="1:16" x14ac:dyDescent="0.4">
      <c r="A55" s="2">
        <v>45842</v>
      </c>
      <c r="B55" t="s">
        <v>38</v>
      </c>
      <c r="C55" t="s">
        <v>649</v>
      </c>
      <c r="D55" s="3" t="e">
        <f t="shared" si="0"/>
        <v>#DIV/0!</v>
      </c>
      <c r="E55" s="3" t="str">
        <f t="shared" si="1"/>
        <v>PASS</v>
      </c>
      <c r="F55" t="s">
        <v>649</v>
      </c>
      <c r="G55" t="s">
        <v>649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3">
        <v>0</v>
      </c>
      <c r="N55" t="s">
        <v>29</v>
      </c>
      <c r="O55" t="s">
        <v>650</v>
      </c>
      <c r="P55" t="s">
        <v>650</v>
      </c>
    </row>
    <row r="56" spans="1:16" x14ac:dyDescent="0.4">
      <c r="A56" s="2">
        <v>45842</v>
      </c>
      <c r="B56" t="s">
        <v>39</v>
      </c>
      <c r="C56" t="s">
        <v>649</v>
      </c>
      <c r="D56" s="3" t="e">
        <f t="shared" si="0"/>
        <v>#DIV/0!</v>
      </c>
      <c r="E56" s="3" t="str">
        <f t="shared" si="1"/>
        <v>PASS</v>
      </c>
      <c r="F56" t="s">
        <v>649</v>
      </c>
      <c r="G56" t="s">
        <v>649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3">
        <v>0</v>
      </c>
      <c r="N56" t="s">
        <v>29</v>
      </c>
      <c r="O56" t="s">
        <v>650</v>
      </c>
      <c r="P56" t="s">
        <v>650</v>
      </c>
    </row>
    <row r="57" spans="1:16" x14ac:dyDescent="0.4">
      <c r="A57" s="2">
        <v>45845</v>
      </c>
      <c r="B57" t="s">
        <v>27</v>
      </c>
      <c r="C57" t="s">
        <v>648</v>
      </c>
      <c r="D57" s="3" t="e">
        <f t="shared" si="0"/>
        <v>#DIV/0!</v>
      </c>
      <c r="E57" s="3" t="str">
        <f t="shared" si="1"/>
        <v>PASS</v>
      </c>
      <c r="F57" t="s">
        <v>648</v>
      </c>
      <c r="G57" t="s">
        <v>649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3">
        <v>0</v>
      </c>
      <c r="N57" t="s">
        <v>29</v>
      </c>
      <c r="O57" t="s">
        <v>650</v>
      </c>
      <c r="P57" t="s">
        <v>650</v>
      </c>
    </row>
    <row r="58" spans="1:16" x14ac:dyDescent="0.4">
      <c r="A58" s="2">
        <v>45845</v>
      </c>
      <c r="B58" t="s">
        <v>30</v>
      </c>
      <c r="C58" t="s">
        <v>648</v>
      </c>
      <c r="D58" s="3" t="e">
        <f t="shared" si="0"/>
        <v>#DIV/0!</v>
      </c>
      <c r="E58" s="3" t="str">
        <f t="shared" si="1"/>
        <v>PASS</v>
      </c>
      <c r="F58" t="s">
        <v>648</v>
      </c>
      <c r="G58" t="s">
        <v>649</v>
      </c>
      <c r="H58" s="3">
        <v>0</v>
      </c>
      <c r="I58" s="3">
        <v>0</v>
      </c>
      <c r="J58" s="3">
        <v>0</v>
      </c>
      <c r="K58" s="4">
        <v>0</v>
      </c>
      <c r="L58" s="4">
        <v>0</v>
      </c>
      <c r="M58" s="3">
        <v>0</v>
      </c>
      <c r="N58" t="s">
        <v>29</v>
      </c>
      <c r="O58" t="s">
        <v>650</v>
      </c>
      <c r="P58" t="s">
        <v>650</v>
      </c>
    </row>
    <row r="59" spans="1:16" x14ac:dyDescent="0.4">
      <c r="A59" s="2">
        <v>45845</v>
      </c>
      <c r="B59" t="s">
        <v>31</v>
      </c>
      <c r="C59" t="s">
        <v>648</v>
      </c>
      <c r="D59" s="3" t="e">
        <f t="shared" si="0"/>
        <v>#DIV/0!</v>
      </c>
      <c r="E59" s="3" t="str">
        <f t="shared" si="1"/>
        <v>PASS</v>
      </c>
      <c r="F59" t="s">
        <v>648</v>
      </c>
      <c r="G59" t="s">
        <v>649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3">
        <v>0</v>
      </c>
      <c r="N59" t="s">
        <v>29</v>
      </c>
      <c r="O59" t="s">
        <v>650</v>
      </c>
      <c r="P59" t="s">
        <v>650</v>
      </c>
    </row>
    <row r="60" spans="1:16" x14ac:dyDescent="0.4">
      <c r="A60" s="2">
        <v>45845</v>
      </c>
      <c r="B60" t="s">
        <v>32</v>
      </c>
      <c r="C60" t="s">
        <v>649</v>
      </c>
      <c r="D60" s="3" t="e">
        <f t="shared" si="0"/>
        <v>#DIV/0!</v>
      </c>
      <c r="E60" s="3" t="str">
        <f t="shared" si="1"/>
        <v>PASS</v>
      </c>
      <c r="F60" t="s">
        <v>649</v>
      </c>
      <c r="G60" t="s">
        <v>649</v>
      </c>
      <c r="H60" s="3">
        <v>0</v>
      </c>
      <c r="I60" s="3">
        <v>0</v>
      </c>
      <c r="J60" s="3">
        <v>0</v>
      </c>
      <c r="K60" s="4">
        <v>0</v>
      </c>
      <c r="L60" s="4">
        <v>0</v>
      </c>
      <c r="M60" s="3">
        <v>0</v>
      </c>
      <c r="N60" t="s">
        <v>29</v>
      </c>
      <c r="O60" t="s">
        <v>650</v>
      </c>
      <c r="P60" t="s">
        <v>650</v>
      </c>
    </row>
    <row r="61" spans="1:16" x14ac:dyDescent="0.4">
      <c r="A61" s="2">
        <v>45845</v>
      </c>
      <c r="B61" t="s">
        <v>33</v>
      </c>
      <c r="C61" t="s">
        <v>648</v>
      </c>
      <c r="D61" s="3" t="e">
        <f t="shared" si="0"/>
        <v>#DIV/0!</v>
      </c>
      <c r="E61" s="3" t="str">
        <f t="shared" si="1"/>
        <v>PASS</v>
      </c>
      <c r="F61" t="s">
        <v>648</v>
      </c>
      <c r="G61" t="s">
        <v>649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3">
        <v>0</v>
      </c>
      <c r="N61" t="s">
        <v>29</v>
      </c>
      <c r="O61" t="s">
        <v>650</v>
      </c>
      <c r="P61" t="s">
        <v>650</v>
      </c>
    </row>
    <row r="62" spans="1:16" x14ac:dyDescent="0.4">
      <c r="A62" s="2">
        <v>45845</v>
      </c>
      <c r="B62" t="s">
        <v>34</v>
      </c>
      <c r="C62" t="s">
        <v>649</v>
      </c>
      <c r="D62" s="3" t="e">
        <f t="shared" si="0"/>
        <v>#DIV/0!</v>
      </c>
      <c r="E62" s="3" t="str">
        <f t="shared" si="1"/>
        <v>PASS</v>
      </c>
      <c r="F62" t="s">
        <v>649</v>
      </c>
      <c r="G62" t="s">
        <v>649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3">
        <v>0</v>
      </c>
      <c r="N62" t="s">
        <v>29</v>
      </c>
      <c r="O62" t="s">
        <v>650</v>
      </c>
      <c r="P62" t="s">
        <v>650</v>
      </c>
    </row>
    <row r="63" spans="1:16" x14ac:dyDescent="0.4">
      <c r="A63" s="2">
        <v>45845</v>
      </c>
      <c r="B63" t="s">
        <v>35</v>
      </c>
      <c r="C63" t="s">
        <v>648</v>
      </c>
      <c r="D63" s="3" t="e">
        <f t="shared" si="0"/>
        <v>#DIV/0!</v>
      </c>
      <c r="E63" s="3" t="str">
        <f t="shared" si="1"/>
        <v>PASS</v>
      </c>
      <c r="F63" t="s">
        <v>648</v>
      </c>
      <c r="G63" t="s">
        <v>649</v>
      </c>
      <c r="H63" s="3">
        <v>0</v>
      </c>
      <c r="I63" s="3">
        <v>0</v>
      </c>
      <c r="J63" s="3">
        <v>0</v>
      </c>
      <c r="K63" s="4">
        <v>0</v>
      </c>
      <c r="L63" s="4">
        <v>0</v>
      </c>
      <c r="M63" s="3">
        <v>0</v>
      </c>
      <c r="N63" t="s">
        <v>29</v>
      </c>
      <c r="O63" t="s">
        <v>650</v>
      </c>
      <c r="P63" t="s">
        <v>650</v>
      </c>
    </row>
    <row r="64" spans="1:16" x14ac:dyDescent="0.4">
      <c r="A64" s="2">
        <v>45845</v>
      </c>
      <c r="B64" t="s">
        <v>36</v>
      </c>
      <c r="C64" t="s">
        <v>648</v>
      </c>
      <c r="D64" s="3" t="e">
        <f t="shared" si="0"/>
        <v>#DIV/0!</v>
      </c>
      <c r="E64" s="3" t="str">
        <f t="shared" si="1"/>
        <v>PASS</v>
      </c>
      <c r="F64" t="s">
        <v>648</v>
      </c>
      <c r="G64" t="s">
        <v>649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3">
        <v>0</v>
      </c>
      <c r="N64" t="s">
        <v>29</v>
      </c>
      <c r="O64" t="s">
        <v>650</v>
      </c>
      <c r="P64" t="s">
        <v>650</v>
      </c>
    </row>
    <row r="65" spans="1:16" x14ac:dyDescent="0.4">
      <c r="A65" s="2">
        <v>45845</v>
      </c>
      <c r="B65" t="s">
        <v>37</v>
      </c>
      <c r="C65" t="s">
        <v>648</v>
      </c>
      <c r="D65" s="3" t="e">
        <f t="shared" si="0"/>
        <v>#DIV/0!</v>
      </c>
      <c r="E65" s="3" t="str">
        <f t="shared" si="1"/>
        <v>PASS</v>
      </c>
      <c r="F65" t="s">
        <v>648</v>
      </c>
      <c r="G65" t="s">
        <v>649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3">
        <v>0</v>
      </c>
      <c r="N65" t="s">
        <v>29</v>
      </c>
      <c r="O65" t="s">
        <v>650</v>
      </c>
      <c r="P65" t="s">
        <v>650</v>
      </c>
    </row>
    <row r="66" spans="1:16" x14ac:dyDescent="0.4">
      <c r="A66" s="2">
        <v>45845</v>
      </c>
      <c r="B66" t="s">
        <v>38</v>
      </c>
      <c r="C66" t="s">
        <v>648</v>
      </c>
      <c r="D66" s="3" t="e">
        <f t="shared" ref="D66:D129" si="2">IF(I66/H66&gt;=0.5,"PASS","FAIL")</f>
        <v>#DIV/0!</v>
      </c>
      <c r="E66" s="3" t="str">
        <f t="shared" ref="E66:E129" si="3">IF(L66&lt;=0.5,"PASS","FAIL")</f>
        <v>PASS</v>
      </c>
      <c r="F66" t="s">
        <v>648</v>
      </c>
      <c r="G66" t="s">
        <v>649</v>
      </c>
      <c r="H66" s="3">
        <v>0</v>
      </c>
      <c r="I66" s="3">
        <v>0</v>
      </c>
      <c r="J66" s="3">
        <v>0</v>
      </c>
      <c r="K66" s="4">
        <v>0</v>
      </c>
      <c r="L66" s="4">
        <v>0</v>
      </c>
      <c r="M66" s="3">
        <v>0</v>
      </c>
      <c r="N66" t="s">
        <v>29</v>
      </c>
      <c r="O66" t="s">
        <v>650</v>
      </c>
      <c r="P66" t="s">
        <v>650</v>
      </c>
    </row>
    <row r="67" spans="1:16" x14ac:dyDescent="0.4">
      <c r="A67" s="2">
        <v>45845</v>
      </c>
      <c r="B67" t="s">
        <v>39</v>
      </c>
      <c r="C67" t="s">
        <v>648</v>
      </c>
      <c r="D67" s="3" t="e">
        <f t="shared" si="2"/>
        <v>#DIV/0!</v>
      </c>
      <c r="E67" s="3" t="str">
        <f t="shared" si="3"/>
        <v>PASS</v>
      </c>
      <c r="F67" t="s">
        <v>648</v>
      </c>
      <c r="G67" t="s">
        <v>649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3">
        <v>0</v>
      </c>
      <c r="N67" t="s">
        <v>29</v>
      </c>
      <c r="O67" t="s">
        <v>650</v>
      </c>
      <c r="P67" t="s">
        <v>650</v>
      </c>
    </row>
    <row r="68" spans="1:16" x14ac:dyDescent="0.4">
      <c r="A68" s="2">
        <v>45846</v>
      </c>
      <c r="B68" t="s">
        <v>27</v>
      </c>
      <c r="C68" t="s">
        <v>648</v>
      </c>
      <c r="D68" s="3" t="e">
        <f t="shared" si="2"/>
        <v>#DIV/0!</v>
      </c>
      <c r="E68" s="3" t="str">
        <f t="shared" si="3"/>
        <v>PASS</v>
      </c>
      <c r="F68" t="s">
        <v>648</v>
      </c>
      <c r="G68" t="s">
        <v>649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3">
        <v>0</v>
      </c>
      <c r="N68" t="s">
        <v>29</v>
      </c>
      <c r="O68" t="s">
        <v>650</v>
      </c>
      <c r="P68" t="s">
        <v>650</v>
      </c>
    </row>
    <row r="69" spans="1:16" x14ac:dyDescent="0.4">
      <c r="A69" s="2">
        <v>45846</v>
      </c>
      <c r="B69" t="s">
        <v>30</v>
      </c>
      <c r="C69" t="s">
        <v>648</v>
      </c>
      <c r="D69" s="3" t="e">
        <f t="shared" si="2"/>
        <v>#DIV/0!</v>
      </c>
      <c r="E69" s="3" t="str">
        <f t="shared" si="3"/>
        <v>PASS</v>
      </c>
      <c r="F69" t="s">
        <v>648</v>
      </c>
      <c r="G69" t="s">
        <v>649</v>
      </c>
      <c r="H69" s="3">
        <v>0</v>
      </c>
      <c r="I69" s="3">
        <v>0</v>
      </c>
      <c r="J69" s="3">
        <v>0</v>
      </c>
      <c r="K69" s="4">
        <v>0</v>
      </c>
      <c r="L69" s="4">
        <v>0</v>
      </c>
      <c r="M69" s="3">
        <v>0</v>
      </c>
      <c r="N69" t="s">
        <v>29</v>
      </c>
      <c r="O69" t="s">
        <v>650</v>
      </c>
      <c r="P69" t="s">
        <v>650</v>
      </c>
    </row>
    <row r="70" spans="1:16" x14ac:dyDescent="0.4">
      <c r="A70" s="2">
        <v>45846</v>
      </c>
      <c r="B70" t="s">
        <v>31</v>
      </c>
      <c r="C70" t="s">
        <v>648</v>
      </c>
      <c r="D70" s="3" t="e">
        <f t="shared" si="2"/>
        <v>#DIV/0!</v>
      </c>
      <c r="E70" s="3" t="str">
        <f t="shared" si="3"/>
        <v>PASS</v>
      </c>
      <c r="F70" t="s">
        <v>648</v>
      </c>
      <c r="G70" t="s">
        <v>649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3">
        <v>0</v>
      </c>
      <c r="N70" t="s">
        <v>29</v>
      </c>
      <c r="O70" t="s">
        <v>650</v>
      </c>
      <c r="P70" t="s">
        <v>650</v>
      </c>
    </row>
    <row r="71" spans="1:16" x14ac:dyDescent="0.4">
      <c r="A71" s="2">
        <v>45846</v>
      </c>
      <c r="B71" t="s">
        <v>32</v>
      </c>
      <c r="C71" t="s">
        <v>649</v>
      </c>
      <c r="D71" s="3" t="e">
        <f t="shared" si="2"/>
        <v>#DIV/0!</v>
      </c>
      <c r="E71" s="3" t="str">
        <f t="shared" si="3"/>
        <v>PASS</v>
      </c>
      <c r="F71" t="s">
        <v>649</v>
      </c>
      <c r="G71" t="s">
        <v>649</v>
      </c>
      <c r="H71" s="3">
        <v>0</v>
      </c>
      <c r="I71" s="3">
        <v>0</v>
      </c>
      <c r="J71" s="3">
        <v>0</v>
      </c>
      <c r="K71" s="4">
        <v>0</v>
      </c>
      <c r="L71" s="4">
        <v>0</v>
      </c>
      <c r="M71" s="3">
        <v>0</v>
      </c>
      <c r="N71" t="s">
        <v>29</v>
      </c>
      <c r="O71" t="s">
        <v>650</v>
      </c>
      <c r="P71" t="s">
        <v>650</v>
      </c>
    </row>
    <row r="72" spans="1:16" x14ac:dyDescent="0.4">
      <c r="A72" s="2">
        <v>45846</v>
      </c>
      <c r="B72" t="s">
        <v>33</v>
      </c>
      <c r="C72" t="s">
        <v>648</v>
      </c>
      <c r="D72" s="3" t="e">
        <f t="shared" si="2"/>
        <v>#DIV/0!</v>
      </c>
      <c r="E72" s="3" t="str">
        <f t="shared" si="3"/>
        <v>PASS</v>
      </c>
      <c r="F72" t="s">
        <v>648</v>
      </c>
      <c r="G72" t="s">
        <v>649</v>
      </c>
      <c r="H72" s="3">
        <v>0</v>
      </c>
      <c r="I72" s="3">
        <v>0</v>
      </c>
      <c r="J72" s="3">
        <v>0</v>
      </c>
      <c r="K72" s="4">
        <v>0</v>
      </c>
      <c r="L72" s="4">
        <v>0</v>
      </c>
      <c r="M72" s="3">
        <v>0</v>
      </c>
      <c r="N72" t="s">
        <v>29</v>
      </c>
      <c r="O72" t="s">
        <v>650</v>
      </c>
      <c r="P72" t="s">
        <v>650</v>
      </c>
    </row>
    <row r="73" spans="1:16" x14ac:dyDescent="0.4">
      <c r="A73" s="2">
        <v>45846</v>
      </c>
      <c r="B73" t="s">
        <v>34</v>
      </c>
      <c r="C73" t="s">
        <v>649</v>
      </c>
      <c r="D73" s="3" t="e">
        <f t="shared" si="2"/>
        <v>#DIV/0!</v>
      </c>
      <c r="E73" s="3" t="str">
        <f t="shared" si="3"/>
        <v>PASS</v>
      </c>
      <c r="F73" t="s">
        <v>649</v>
      </c>
      <c r="G73" t="s">
        <v>649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3">
        <v>0</v>
      </c>
      <c r="N73" t="s">
        <v>29</v>
      </c>
      <c r="O73" t="s">
        <v>650</v>
      </c>
      <c r="P73" t="s">
        <v>650</v>
      </c>
    </row>
    <row r="74" spans="1:16" x14ac:dyDescent="0.4">
      <c r="A74" s="2">
        <v>45846</v>
      </c>
      <c r="B74" t="s">
        <v>35</v>
      </c>
      <c r="C74" t="s">
        <v>648</v>
      </c>
      <c r="D74" s="3" t="e">
        <f t="shared" si="2"/>
        <v>#DIV/0!</v>
      </c>
      <c r="E74" s="3" t="str">
        <f t="shared" si="3"/>
        <v>PASS</v>
      </c>
      <c r="F74" t="s">
        <v>648</v>
      </c>
      <c r="G74" t="s">
        <v>649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3">
        <v>0</v>
      </c>
      <c r="N74" t="s">
        <v>29</v>
      </c>
      <c r="O74" t="s">
        <v>650</v>
      </c>
      <c r="P74" t="s">
        <v>650</v>
      </c>
    </row>
    <row r="75" spans="1:16" x14ac:dyDescent="0.4">
      <c r="A75" s="2">
        <v>45846</v>
      </c>
      <c r="B75" t="s">
        <v>36</v>
      </c>
      <c r="C75" t="s">
        <v>648</v>
      </c>
      <c r="D75" s="3" t="e">
        <f t="shared" si="2"/>
        <v>#DIV/0!</v>
      </c>
      <c r="E75" s="3" t="str">
        <f t="shared" si="3"/>
        <v>PASS</v>
      </c>
      <c r="F75" t="s">
        <v>648</v>
      </c>
      <c r="G75" t="s">
        <v>649</v>
      </c>
      <c r="H75" s="3">
        <v>0</v>
      </c>
      <c r="I75" s="3">
        <v>0</v>
      </c>
      <c r="J75" s="3">
        <v>0</v>
      </c>
      <c r="K75" s="4">
        <v>0</v>
      </c>
      <c r="L75" s="4">
        <v>0</v>
      </c>
      <c r="M75" s="3">
        <v>0</v>
      </c>
      <c r="N75" t="s">
        <v>29</v>
      </c>
      <c r="O75" t="s">
        <v>650</v>
      </c>
      <c r="P75" t="s">
        <v>650</v>
      </c>
    </row>
    <row r="76" spans="1:16" x14ac:dyDescent="0.4">
      <c r="A76" s="2">
        <v>45846</v>
      </c>
      <c r="B76" t="s">
        <v>37</v>
      </c>
      <c r="C76" t="s">
        <v>648</v>
      </c>
      <c r="D76" s="3" t="e">
        <f t="shared" si="2"/>
        <v>#DIV/0!</v>
      </c>
      <c r="E76" s="3" t="str">
        <f t="shared" si="3"/>
        <v>PASS</v>
      </c>
      <c r="F76" t="s">
        <v>648</v>
      </c>
      <c r="G76" t="s">
        <v>649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3">
        <v>0</v>
      </c>
      <c r="N76" t="s">
        <v>29</v>
      </c>
      <c r="O76" t="s">
        <v>650</v>
      </c>
      <c r="P76" t="s">
        <v>650</v>
      </c>
    </row>
    <row r="77" spans="1:16" x14ac:dyDescent="0.4">
      <c r="A77" s="2">
        <v>45846</v>
      </c>
      <c r="B77" t="s">
        <v>38</v>
      </c>
      <c r="C77" t="s">
        <v>648</v>
      </c>
      <c r="D77" s="3" t="e">
        <f t="shared" si="2"/>
        <v>#DIV/0!</v>
      </c>
      <c r="E77" s="3" t="str">
        <f t="shared" si="3"/>
        <v>PASS</v>
      </c>
      <c r="F77" t="s">
        <v>648</v>
      </c>
      <c r="G77" t="s">
        <v>649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3">
        <v>0</v>
      </c>
      <c r="N77" t="s">
        <v>29</v>
      </c>
      <c r="O77" t="s">
        <v>650</v>
      </c>
      <c r="P77" t="s">
        <v>650</v>
      </c>
    </row>
    <row r="78" spans="1:16" x14ac:dyDescent="0.4">
      <c r="A78" s="2">
        <v>45846</v>
      </c>
      <c r="B78" t="s">
        <v>39</v>
      </c>
      <c r="C78" t="s">
        <v>648</v>
      </c>
      <c r="D78" s="3" t="e">
        <f t="shared" si="2"/>
        <v>#DIV/0!</v>
      </c>
      <c r="E78" s="3" t="str">
        <f t="shared" si="3"/>
        <v>PASS</v>
      </c>
      <c r="F78" t="s">
        <v>648</v>
      </c>
      <c r="G78" t="s">
        <v>649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3">
        <v>0</v>
      </c>
      <c r="N78" t="s">
        <v>29</v>
      </c>
      <c r="O78" t="s">
        <v>650</v>
      </c>
      <c r="P78" t="s">
        <v>650</v>
      </c>
    </row>
    <row r="79" spans="1:16" x14ac:dyDescent="0.4">
      <c r="A79" s="2">
        <v>45847</v>
      </c>
      <c r="B79" t="s">
        <v>27</v>
      </c>
      <c r="C79" t="s">
        <v>649</v>
      </c>
      <c r="D79" s="3" t="str">
        <f t="shared" si="2"/>
        <v>PASS</v>
      </c>
      <c r="E79" s="3" t="str">
        <f t="shared" si="3"/>
        <v>PASS</v>
      </c>
      <c r="F79" t="s">
        <v>649</v>
      </c>
      <c r="G79" t="s">
        <v>649</v>
      </c>
      <c r="H79" s="3">
        <v>55728246.5</v>
      </c>
      <c r="I79" s="3">
        <v>50234813.670000002</v>
      </c>
      <c r="J79" s="3">
        <v>3660.36</v>
      </c>
      <c r="K79" s="4">
        <v>2786412.3250000002</v>
      </c>
      <c r="L79" s="4">
        <v>0</v>
      </c>
      <c r="M79" s="3">
        <v>0</v>
      </c>
      <c r="N79" t="s">
        <v>29</v>
      </c>
      <c r="O79" t="s">
        <v>651</v>
      </c>
      <c r="P79" t="s">
        <v>652</v>
      </c>
    </row>
    <row r="80" spans="1:16" x14ac:dyDescent="0.4">
      <c r="A80" s="2">
        <v>45847</v>
      </c>
      <c r="B80" t="s">
        <v>30</v>
      </c>
      <c r="C80" t="s">
        <v>649</v>
      </c>
      <c r="D80" s="3" t="str">
        <f t="shared" si="2"/>
        <v>PASS</v>
      </c>
      <c r="E80" s="3" t="str">
        <f t="shared" si="3"/>
        <v>PASS</v>
      </c>
      <c r="F80" t="s">
        <v>649</v>
      </c>
      <c r="G80" t="s">
        <v>649</v>
      </c>
      <c r="H80" s="3">
        <v>34819587.170000002</v>
      </c>
      <c r="I80" s="3">
        <v>32834989.449999999</v>
      </c>
      <c r="J80" s="3">
        <v>2332.38</v>
      </c>
      <c r="K80" s="4">
        <v>1740979.3585000001</v>
      </c>
      <c r="L80" s="4">
        <v>0.20751399513453761</v>
      </c>
      <c r="M80" s="3">
        <v>3</v>
      </c>
      <c r="N80" t="s">
        <v>653</v>
      </c>
      <c r="O80" t="s">
        <v>654</v>
      </c>
      <c r="P80" t="s">
        <v>655</v>
      </c>
    </row>
    <row r="81" spans="1:16" x14ac:dyDescent="0.4">
      <c r="A81" s="2">
        <v>45847</v>
      </c>
      <c r="B81" t="s">
        <v>31</v>
      </c>
      <c r="C81" t="s">
        <v>649</v>
      </c>
      <c r="D81" s="3" t="str">
        <f t="shared" si="2"/>
        <v>PASS</v>
      </c>
      <c r="E81" s="3" t="str">
        <f t="shared" si="3"/>
        <v>PASS</v>
      </c>
      <c r="F81" t="s">
        <v>649</v>
      </c>
      <c r="G81" t="s">
        <v>649</v>
      </c>
      <c r="H81" s="3">
        <v>23807626.629999999</v>
      </c>
      <c r="I81" s="3">
        <v>21604846.449999999</v>
      </c>
      <c r="J81" s="3">
        <v>1552.97</v>
      </c>
      <c r="K81" s="4">
        <v>1190381.3315000001</v>
      </c>
      <c r="L81" s="4">
        <v>0.2051776193326488</v>
      </c>
      <c r="M81" s="3">
        <v>3</v>
      </c>
      <c r="N81" t="s">
        <v>656</v>
      </c>
      <c r="O81" t="s">
        <v>657</v>
      </c>
      <c r="P81" t="s">
        <v>658</v>
      </c>
    </row>
    <row r="82" spans="1:16" x14ac:dyDescent="0.4">
      <c r="A82" s="2">
        <v>45847</v>
      </c>
      <c r="B82" t="s">
        <v>32</v>
      </c>
      <c r="C82" t="s">
        <v>649</v>
      </c>
      <c r="D82" s="3" t="e">
        <f t="shared" si="2"/>
        <v>#DIV/0!</v>
      </c>
      <c r="E82" s="3" t="str">
        <f t="shared" si="3"/>
        <v>PASS</v>
      </c>
      <c r="F82" t="s">
        <v>649</v>
      </c>
      <c r="G82" t="s">
        <v>649</v>
      </c>
      <c r="H82" s="3">
        <v>0</v>
      </c>
      <c r="I82" s="3">
        <v>3308417546.6700001</v>
      </c>
      <c r="J82" s="3">
        <v>0</v>
      </c>
      <c r="K82" s="4">
        <v>0</v>
      </c>
      <c r="L82" s="4">
        <v>0</v>
      </c>
      <c r="M82" s="3">
        <v>207</v>
      </c>
      <c r="N82" t="s">
        <v>659</v>
      </c>
      <c r="O82" t="s">
        <v>650</v>
      </c>
      <c r="P82" t="s">
        <v>650</v>
      </c>
    </row>
    <row r="83" spans="1:16" x14ac:dyDescent="0.4">
      <c r="A83" s="2">
        <v>45847</v>
      </c>
      <c r="B83" t="s">
        <v>33</v>
      </c>
      <c r="C83" t="s">
        <v>649</v>
      </c>
      <c r="D83" s="3" t="str">
        <f t="shared" si="2"/>
        <v>PASS</v>
      </c>
      <c r="E83" s="3" t="str">
        <f t="shared" si="3"/>
        <v>PASS</v>
      </c>
      <c r="F83" t="s">
        <v>649</v>
      </c>
      <c r="G83" t="s">
        <v>649</v>
      </c>
      <c r="H83" s="3">
        <v>15451111.109999999</v>
      </c>
      <c r="I83" s="3">
        <v>13653770.380000001</v>
      </c>
      <c r="J83" s="3">
        <v>982.71</v>
      </c>
      <c r="K83" s="4">
        <v>772555.55550000002</v>
      </c>
      <c r="L83" s="4">
        <v>0.20495008443967699</v>
      </c>
      <c r="M83" s="3">
        <v>3</v>
      </c>
      <c r="N83" t="s">
        <v>660</v>
      </c>
      <c r="O83" t="s">
        <v>657</v>
      </c>
      <c r="P83" t="s">
        <v>658</v>
      </c>
    </row>
    <row r="84" spans="1:16" x14ac:dyDescent="0.4">
      <c r="A84" s="2">
        <v>45847</v>
      </c>
      <c r="B84" t="s">
        <v>34</v>
      </c>
      <c r="C84" t="s">
        <v>649</v>
      </c>
      <c r="D84" s="3" t="e">
        <f t="shared" si="2"/>
        <v>#DIV/0!</v>
      </c>
      <c r="E84" s="3" t="str">
        <f t="shared" si="3"/>
        <v>PASS</v>
      </c>
      <c r="F84" t="s">
        <v>649</v>
      </c>
      <c r="G84" t="s">
        <v>649</v>
      </c>
      <c r="H84" s="3">
        <v>0</v>
      </c>
      <c r="I84" s="3">
        <v>3308417546.6700001</v>
      </c>
      <c r="J84" s="3">
        <v>0</v>
      </c>
      <c r="K84" s="4">
        <v>0</v>
      </c>
      <c r="L84" s="4">
        <v>0</v>
      </c>
      <c r="M84" s="3">
        <v>207</v>
      </c>
      <c r="N84" t="s">
        <v>659</v>
      </c>
      <c r="O84" t="s">
        <v>650</v>
      </c>
      <c r="P84" t="s">
        <v>650</v>
      </c>
    </row>
    <row r="85" spans="1:16" x14ac:dyDescent="0.4">
      <c r="A85" s="2">
        <v>45847</v>
      </c>
      <c r="B85" t="s">
        <v>35</v>
      </c>
      <c r="C85" t="s">
        <v>649</v>
      </c>
      <c r="D85" s="3" t="str">
        <f t="shared" si="2"/>
        <v>PASS</v>
      </c>
      <c r="E85" s="3" t="str">
        <f t="shared" si="3"/>
        <v>PASS</v>
      </c>
      <c r="F85" t="s">
        <v>649</v>
      </c>
      <c r="G85" t="s">
        <v>649</v>
      </c>
      <c r="H85" s="3">
        <v>136853639.97</v>
      </c>
      <c r="I85" s="3">
        <v>124186444.58</v>
      </c>
      <c r="J85" s="3">
        <v>8644.7999999999993</v>
      </c>
      <c r="K85" s="4">
        <v>6842681.9985000007</v>
      </c>
      <c r="L85" s="4">
        <v>0.2116917106503638</v>
      </c>
      <c r="M85" s="3">
        <v>3</v>
      </c>
      <c r="N85" t="s">
        <v>661</v>
      </c>
      <c r="O85" t="s">
        <v>662</v>
      </c>
      <c r="P85" t="s">
        <v>663</v>
      </c>
    </row>
    <row r="86" spans="1:16" x14ac:dyDescent="0.4">
      <c r="A86" s="2">
        <v>45847</v>
      </c>
      <c r="B86" t="s">
        <v>36</v>
      </c>
      <c r="C86" t="s">
        <v>649</v>
      </c>
      <c r="D86" s="3" t="str">
        <f t="shared" si="2"/>
        <v>PASS</v>
      </c>
      <c r="E86" s="3" t="str">
        <f t="shared" si="3"/>
        <v>PASS</v>
      </c>
      <c r="F86" t="s">
        <v>649</v>
      </c>
      <c r="G86" t="s">
        <v>649</v>
      </c>
      <c r="H86" s="3">
        <v>102650184.27</v>
      </c>
      <c r="I86" s="3">
        <v>92181907.359999999</v>
      </c>
      <c r="J86" s="3">
        <v>6680</v>
      </c>
      <c r="K86" s="4">
        <v>5132509.2135000005</v>
      </c>
      <c r="L86" s="4">
        <v>0.20345078482046791</v>
      </c>
      <c r="M86" s="3">
        <v>3</v>
      </c>
      <c r="N86" t="s">
        <v>664</v>
      </c>
      <c r="O86" t="s">
        <v>665</v>
      </c>
      <c r="P86" t="s">
        <v>666</v>
      </c>
    </row>
    <row r="87" spans="1:16" x14ac:dyDescent="0.4">
      <c r="A87" s="2">
        <v>45847</v>
      </c>
      <c r="B87" t="s">
        <v>37</v>
      </c>
      <c r="C87" t="s">
        <v>649</v>
      </c>
      <c r="D87" s="3" t="str">
        <f t="shared" si="2"/>
        <v>PASS</v>
      </c>
      <c r="E87" s="3" t="str">
        <f t="shared" si="3"/>
        <v>PASS</v>
      </c>
      <c r="F87" t="s">
        <v>649</v>
      </c>
      <c r="G87" t="s">
        <v>649</v>
      </c>
      <c r="H87" s="3">
        <v>40535610.719999999</v>
      </c>
      <c r="I87" s="3">
        <v>34664871.590000004</v>
      </c>
      <c r="J87" s="3">
        <v>2517.75</v>
      </c>
      <c r="K87" s="4">
        <v>2026780.5360000001</v>
      </c>
      <c r="L87" s="4">
        <v>0.2029588352712057</v>
      </c>
      <c r="M87" s="3">
        <v>3</v>
      </c>
      <c r="N87" t="s">
        <v>667</v>
      </c>
      <c r="O87" t="s">
        <v>665</v>
      </c>
      <c r="P87" t="s">
        <v>668</v>
      </c>
    </row>
    <row r="88" spans="1:16" x14ac:dyDescent="0.4">
      <c r="A88" s="2">
        <v>45847</v>
      </c>
      <c r="B88" t="s">
        <v>38</v>
      </c>
      <c r="C88" t="s">
        <v>649</v>
      </c>
      <c r="D88" s="3" t="str">
        <f t="shared" si="2"/>
        <v>PASS</v>
      </c>
      <c r="E88" s="3" t="str">
        <f t="shared" si="3"/>
        <v>PASS</v>
      </c>
      <c r="F88" t="s">
        <v>649</v>
      </c>
      <c r="G88" t="s">
        <v>649</v>
      </c>
      <c r="H88" s="3">
        <v>49024745.530000001</v>
      </c>
      <c r="I88" s="3">
        <v>42575225.329999998</v>
      </c>
      <c r="J88" s="3">
        <v>2983.14</v>
      </c>
      <c r="K88" s="4">
        <v>2451237.2765000002</v>
      </c>
      <c r="L88" s="4">
        <v>0.21029968523124171</v>
      </c>
      <c r="M88" s="3">
        <v>3</v>
      </c>
      <c r="N88" t="s">
        <v>669</v>
      </c>
      <c r="O88" t="s">
        <v>670</v>
      </c>
      <c r="P88" t="s">
        <v>671</v>
      </c>
    </row>
    <row r="89" spans="1:16" x14ac:dyDescent="0.4">
      <c r="A89" s="2">
        <v>45847</v>
      </c>
      <c r="B89" t="s">
        <v>39</v>
      </c>
      <c r="C89" t="s">
        <v>649</v>
      </c>
      <c r="D89" s="3" t="str">
        <f t="shared" si="2"/>
        <v>PASS</v>
      </c>
      <c r="E89" s="3" t="str">
        <f t="shared" si="3"/>
        <v>PASS</v>
      </c>
      <c r="F89" t="s">
        <v>649</v>
      </c>
      <c r="G89" t="s">
        <v>649</v>
      </c>
      <c r="H89" s="3">
        <v>78888122.010000005</v>
      </c>
      <c r="I89" s="3">
        <v>70960704.340000004</v>
      </c>
      <c r="J89" s="3">
        <v>5066.8900000000003</v>
      </c>
      <c r="K89" s="4">
        <v>3944406.1005000011</v>
      </c>
      <c r="L89" s="4">
        <v>0.20638950399654049</v>
      </c>
      <c r="M89" s="3">
        <v>3</v>
      </c>
      <c r="N89" t="s">
        <v>672</v>
      </c>
      <c r="O89" t="s">
        <v>673</v>
      </c>
      <c r="P89" t="s">
        <v>674</v>
      </c>
    </row>
    <row r="90" spans="1:16" x14ac:dyDescent="0.4">
      <c r="A90" s="2">
        <v>45848</v>
      </c>
      <c r="B90" t="s">
        <v>27</v>
      </c>
      <c r="C90" t="s">
        <v>649</v>
      </c>
      <c r="D90" s="3" t="str">
        <f t="shared" si="2"/>
        <v>PASS</v>
      </c>
      <c r="E90" s="3" t="str">
        <f t="shared" si="3"/>
        <v>PASS</v>
      </c>
      <c r="F90" t="s">
        <v>649</v>
      </c>
      <c r="G90" t="s">
        <v>649</v>
      </c>
      <c r="H90" s="3">
        <v>55787421.93</v>
      </c>
      <c r="I90" s="3">
        <v>50384314.041000009</v>
      </c>
      <c r="J90" s="3">
        <v>3665.49</v>
      </c>
      <c r="K90" s="4">
        <v>2789371.0965</v>
      </c>
      <c r="L90" s="4">
        <v>0</v>
      </c>
      <c r="M90" s="3">
        <v>0</v>
      </c>
      <c r="N90" t="s">
        <v>29</v>
      </c>
      <c r="O90" t="s">
        <v>675</v>
      </c>
      <c r="P90" t="s">
        <v>676</v>
      </c>
    </row>
    <row r="91" spans="1:16" x14ac:dyDescent="0.4">
      <c r="A91" s="2">
        <v>45848</v>
      </c>
      <c r="B91" t="s">
        <v>30</v>
      </c>
      <c r="C91" t="s">
        <v>649</v>
      </c>
      <c r="D91" s="3" t="str">
        <f t="shared" si="2"/>
        <v>PASS</v>
      </c>
      <c r="E91" s="3" t="str">
        <f t="shared" si="3"/>
        <v>PASS</v>
      </c>
      <c r="F91" t="s">
        <v>649</v>
      </c>
      <c r="G91" t="s">
        <v>649</v>
      </c>
      <c r="H91" s="3">
        <v>34798134.640000001</v>
      </c>
      <c r="I91" s="3">
        <v>32910827.43</v>
      </c>
      <c r="J91" s="3">
        <v>2343.21</v>
      </c>
      <c r="K91" s="4">
        <v>1739906.7320000001</v>
      </c>
      <c r="L91" s="4">
        <v>0.2078741543622083</v>
      </c>
      <c r="M91" s="3">
        <v>3</v>
      </c>
      <c r="N91" t="s">
        <v>677</v>
      </c>
      <c r="O91" t="s">
        <v>673</v>
      </c>
      <c r="P91" t="s">
        <v>655</v>
      </c>
    </row>
    <row r="92" spans="1:16" x14ac:dyDescent="0.4">
      <c r="A92" s="2">
        <v>45848</v>
      </c>
      <c r="B92" t="s">
        <v>31</v>
      </c>
      <c r="C92" t="s">
        <v>649</v>
      </c>
      <c r="D92" s="3" t="str">
        <f t="shared" si="2"/>
        <v>PASS</v>
      </c>
      <c r="E92" s="3" t="str">
        <f t="shared" si="3"/>
        <v>PASS</v>
      </c>
      <c r="F92" t="s">
        <v>649</v>
      </c>
      <c r="G92" t="s">
        <v>649</v>
      </c>
      <c r="H92" s="3">
        <v>23779193.329999998</v>
      </c>
      <c r="I92" s="3">
        <v>21654727.41</v>
      </c>
      <c r="J92" s="3">
        <v>1559.81</v>
      </c>
      <c r="K92" s="4">
        <v>1188959.6665000001</v>
      </c>
      <c r="L92" s="4">
        <v>0.20566553190794681</v>
      </c>
      <c r="M92" s="3">
        <v>3</v>
      </c>
      <c r="N92" t="s">
        <v>678</v>
      </c>
      <c r="O92" t="s">
        <v>679</v>
      </c>
      <c r="P92" t="s">
        <v>658</v>
      </c>
    </row>
    <row r="93" spans="1:16" x14ac:dyDescent="0.4">
      <c r="A93" s="2">
        <v>45848</v>
      </c>
      <c r="B93" t="s">
        <v>32</v>
      </c>
      <c r="C93" t="s">
        <v>649</v>
      </c>
      <c r="D93" s="3" t="e">
        <f t="shared" si="2"/>
        <v>#DIV/0!</v>
      </c>
      <c r="E93" s="3" t="str">
        <f t="shared" si="3"/>
        <v>PASS</v>
      </c>
      <c r="F93" t="s">
        <v>649</v>
      </c>
      <c r="G93" t="s">
        <v>649</v>
      </c>
      <c r="H93" s="3">
        <v>0</v>
      </c>
      <c r="I93" s="3">
        <v>3314618965.8070002</v>
      </c>
      <c r="J93" s="3">
        <v>0</v>
      </c>
      <c r="K93" s="4">
        <v>0</v>
      </c>
      <c r="L93" s="4">
        <v>0</v>
      </c>
      <c r="M93" s="3">
        <v>207</v>
      </c>
      <c r="N93" t="s">
        <v>659</v>
      </c>
      <c r="O93" t="s">
        <v>650</v>
      </c>
      <c r="P93" t="s">
        <v>650</v>
      </c>
    </row>
    <row r="94" spans="1:16" x14ac:dyDescent="0.4">
      <c r="A94" s="2">
        <v>45848</v>
      </c>
      <c r="B94" t="s">
        <v>33</v>
      </c>
      <c r="C94" t="s">
        <v>649</v>
      </c>
      <c r="D94" s="3" t="str">
        <f t="shared" si="2"/>
        <v>PASS</v>
      </c>
      <c r="E94" s="3" t="str">
        <f t="shared" si="3"/>
        <v>PASS</v>
      </c>
      <c r="F94" t="s">
        <v>649</v>
      </c>
      <c r="G94" t="s">
        <v>649</v>
      </c>
      <c r="H94" s="3">
        <v>15433779.5</v>
      </c>
      <c r="I94" s="3">
        <v>13731568.982999999</v>
      </c>
      <c r="J94" s="3">
        <v>987.2</v>
      </c>
      <c r="K94" s="4">
        <v>771688.97500000009</v>
      </c>
      <c r="L94" s="4">
        <v>0.2061419320094377</v>
      </c>
      <c r="M94" s="3">
        <v>3</v>
      </c>
      <c r="N94" t="s">
        <v>680</v>
      </c>
      <c r="O94" t="s">
        <v>679</v>
      </c>
      <c r="P94" t="s">
        <v>674</v>
      </c>
    </row>
    <row r="95" spans="1:16" x14ac:dyDescent="0.4">
      <c r="A95" s="2">
        <v>45848</v>
      </c>
      <c r="B95" t="s">
        <v>34</v>
      </c>
      <c r="C95" t="s">
        <v>649</v>
      </c>
      <c r="D95" s="3" t="e">
        <f t="shared" si="2"/>
        <v>#DIV/0!</v>
      </c>
      <c r="E95" s="3" t="str">
        <f t="shared" si="3"/>
        <v>PASS</v>
      </c>
      <c r="F95" t="s">
        <v>649</v>
      </c>
      <c r="G95" t="s">
        <v>649</v>
      </c>
      <c r="H95" s="3">
        <v>0</v>
      </c>
      <c r="I95" s="3">
        <v>3314618965.8070002</v>
      </c>
      <c r="J95" s="3">
        <v>0</v>
      </c>
      <c r="K95" s="4">
        <v>0</v>
      </c>
      <c r="L95" s="4">
        <v>0</v>
      </c>
      <c r="M95" s="3">
        <v>207</v>
      </c>
      <c r="N95" t="s">
        <v>659</v>
      </c>
      <c r="O95" t="s">
        <v>650</v>
      </c>
      <c r="P95" t="s">
        <v>650</v>
      </c>
    </row>
    <row r="96" spans="1:16" x14ac:dyDescent="0.4">
      <c r="A96" s="2">
        <v>45848</v>
      </c>
      <c r="B96" t="s">
        <v>35</v>
      </c>
      <c r="C96" t="s">
        <v>649</v>
      </c>
      <c r="D96" s="3" t="str">
        <f t="shared" si="2"/>
        <v>PASS</v>
      </c>
      <c r="E96" s="3" t="str">
        <f t="shared" si="3"/>
        <v>PASS</v>
      </c>
      <c r="F96" t="s">
        <v>649</v>
      </c>
      <c r="G96" t="s">
        <v>649</v>
      </c>
      <c r="H96" s="3">
        <v>137008555.46000001</v>
      </c>
      <c r="I96" s="3">
        <v>124175710.955</v>
      </c>
      <c r="J96" s="3">
        <v>8686.0400000000009</v>
      </c>
      <c r="K96" s="4">
        <v>6850427.773000001</v>
      </c>
      <c r="L96" s="4">
        <v>0.21158718611422739</v>
      </c>
      <c r="M96" s="3">
        <v>3</v>
      </c>
      <c r="N96" t="s">
        <v>681</v>
      </c>
      <c r="O96" t="s">
        <v>682</v>
      </c>
      <c r="P96" t="s">
        <v>671</v>
      </c>
    </row>
    <row r="97" spans="1:16" x14ac:dyDescent="0.4">
      <c r="A97" s="2">
        <v>45848</v>
      </c>
      <c r="B97" t="s">
        <v>36</v>
      </c>
      <c r="C97" t="s">
        <v>649</v>
      </c>
      <c r="D97" s="3" t="str">
        <f t="shared" si="2"/>
        <v>PASS</v>
      </c>
      <c r="E97" s="3" t="str">
        <f t="shared" si="3"/>
        <v>PASS</v>
      </c>
      <c r="F97" t="s">
        <v>649</v>
      </c>
      <c r="G97" t="s">
        <v>649</v>
      </c>
      <c r="H97" s="3">
        <v>102496999.77</v>
      </c>
      <c r="I97" s="3">
        <v>92394849.839000002</v>
      </c>
      <c r="J97" s="3">
        <v>6708.84</v>
      </c>
      <c r="K97" s="4">
        <v>5124849.9885</v>
      </c>
      <c r="L97" s="4">
        <v>0.20400258506366689</v>
      </c>
      <c r="M97" s="3">
        <v>3</v>
      </c>
      <c r="N97" t="s">
        <v>683</v>
      </c>
      <c r="O97" t="s">
        <v>684</v>
      </c>
      <c r="P97" t="s">
        <v>666</v>
      </c>
    </row>
    <row r="98" spans="1:16" x14ac:dyDescent="0.4">
      <c r="A98" s="2">
        <v>45848</v>
      </c>
      <c r="B98" t="s">
        <v>37</v>
      </c>
      <c r="C98" t="s">
        <v>649</v>
      </c>
      <c r="D98" s="3" t="str">
        <f t="shared" si="2"/>
        <v>PASS</v>
      </c>
      <c r="E98" s="3" t="str">
        <f t="shared" si="3"/>
        <v>PASS</v>
      </c>
      <c r="F98" t="s">
        <v>649</v>
      </c>
      <c r="G98" t="s">
        <v>649</v>
      </c>
      <c r="H98" s="3">
        <v>40484563.039999999</v>
      </c>
      <c r="I98" s="3">
        <v>34744924.975000001</v>
      </c>
      <c r="J98" s="3">
        <v>2529.25</v>
      </c>
      <c r="K98" s="4">
        <v>2024228.152</v>
      </c>
      <c r="L98" s="4">
        <v>0.20346995062442971</v>
      </c>
      <c r="M98" s="3">
        <v>3</v>
      </c>
      <c r="N98" t="s">
        <v>685</v>
      </c>
      <c r="O98" t="s">
        <v>684</v>
      </c>
      <c r="P98" t="s">
        <v>666</v>
      </c>
    </row>
    <row r="99" spans="1:16" x14ac:dyDescent="0.4">
      <c r="A99" s="2">
        <v>45848</v>
      </c>
      <c r="B99" t="s">
        <v>38</v>
      </c>
      <c r="C99" t="s">
        <v>649</v>
      </c>
      <c r="D99" s="3" t="str">
        <f t="shared" si="2"/>
        <v>PASS</v>
      </c>
      <c r="E99" s="3" t="str">
        <f t="shared" si="3"/>
        <v>PASS</v>
      </c>
      <c r="F99" t="s">
        <v>649</v>
      </c>
      <c r="G99" t="s">
        <v>649</v>
      </c>
      <c r="H99" s="3">
        <v>49081790.68</v>
      </c>
      <c r="I99" s="3">
        <v>42673569.277000003</v>
      </c>
      <c r="J99" s="3">
        <v>2997.78</v>
      </c>
      <c r="K99" s="4">
        <v>2454089.534</v>
      </c>
      <c r="L99" s="4">
        <v>0.21068677128467381</v>
      </c>
      <c r="M99" s="3">
        <v>3</v>
      </c>
      <c r="N99" t="s">
        <v>686</v>
      </c>
      <c r="O99" t="s">
        <v>682</v>
      </c>
      <c r="P99" t="s">
        <v>687</v>
      </c>
    </row>
    <row r="100" spans="1:16" x14ac:dyDescent="0.4">
      <c r="A100" s="2">
        <v>45848</v>
      </c>
      <c r="B100" t="s">
        <v>39</v>
      </c>
      <c r="C100" t="s">
        <v>649</v>
      </c>
      <c r="D100" s="3" t="str">
        <f t="shared" si="2"/>
        <v>PASS</v>
      </c>
      <c r="E100" s="3" t="str">
        <f t="shared" si="3"/>
        <v>PASS</v>
      </c>
      <c r="F100" t="s">
        <v>649</v>
      </c>
      <c r="G100" t="s">
        <v>649</v>
      </c>
      <c r="H100" s="3">
        <v>78824433.579999998</v>
      </c>
      <c r="I100" s="3">
        <v>71082153.184</v>
      </c>
      <c r="J100" s="3">
        <v>5091.09</v>
      </c>
      <c r="K100" s="4">
        <v>3941221.679</v>
      </c>
      <c r="L100" s="4">
        <v>0.20667220323681271</v>
      </c>
      <c r="M100" s="3">
        <v>3</v>
      </c>
      <c r="N100" t="s">
        <v>688</v>
      </c>
      <c r="O100" t="s">
        <v>657</v>
      </c>
      <c r="P100" t="s">
        <v>674</v>
      </c>
    </row>
    <row r="101" spans="1:16" x14ac:dyDescent="0.4">
      <c r="A101" s="2">
        <v>45849</v>
      </c>
      <c r="B101" t="s">
        <v>27</v>
      </c>
      <c r="C101" t="s">
        <v>649</v>
      </c>
      <c r="D101" s="3" t="str">
        <f t="shared" si="2"/>
        <v>FAIL</v>
      </c>
      <c r="E101" s="3" t="str">
        <f t="shared" si="3"/>
        <v>PASS</v>
      </c>
      <c r="F101" t="s">
        <v>649</v>
      </c>
      <c r="G101" t="s">
        <v>649</v>
      </c>
      <c r="H101" s="3">
        <v>55580213.079999998</v>
      </c>
      <c r="I101" s="3">
        <v>0</v>
      </c>
      <c r="J101" s="3">
        <v>11008.56</v>
      </c>
      <c r="K101" s="4">
        <v>2779010.6540000001</v>
      </c>
      <c r="L101" s="4">
        <v>0</v>
      </c>
      <c r="M101" s="3">
        <v>0</v>
      </c>
      <c r="N101" t="s">
        <v>29</v>
      </c>
      <c r="O101" t="s">
        <v>650</v>
      </c>
      <c r="P101" t="s">
        <v>650</v>
      </c>
    </row>
    <row r="102" spans="1:16" x14ac:dyDescent="0.4">
      <c r="A102" s="2">
        <v>45849</v>
      </c>
      <c r="B102" t="s">
        <v>30</v>
      </c>
      <c r="C102" t="s">
        <v>649</v>
      </c>
      <c r="D102" s="3" t="str">
        <f t="shared" si="2"/>
        <v>FAIL</v>
      </c>
      <c r="E102" s="3" t="str">
        <f t="shared" si="3"/>
        <v>PASS</v>
      </c>
      <c r="F102" t="s">
        <v>649</v>
      </c>
      <c r="G102" t="s">
        <v>649</v>
      </c>
      <c r="H102" s="3">
        <v>34736933.549999997</v>
      </c>
      <c r="I102" s="3">
        <v>0</v>
      </c>
      <c r="J102" s="3">
        <v>7039.56</v>
      </c>
      <c r="K102" s="4">
        <v>1736846.6775</v>
      </c>
      <c r="L102" s="4">
        <v>0</v>
      </c>
      <c r="M102" s="3">
        <v>0</v>
      </c>
      <c r="N102" t="s">
        <v>29</v>
      </c>
      <c r="O102" t="s">
        <v>650</v>
      </c>
      <c r="P102" t="s">
        <v>650</v>
      </c>
    </row>
    <row r="103" spans="1:16" x14ac:dyDescent="0.4">
      <c r="A103" s="2">
        <v>45849</v>
      </c>
      <c r="B103" t="s">
        <v>31</v>
      </c>
      <c r="C103" t="s">
        <v>649</v>
      </c>
      <c r="D103" s="3" t="str">
        <f t="shared" si="2"/>
        <v>FAIL</v>
      </c>
      <c r="E103" s="3" t="str">
        <f t="shared" si="3"/>
        <v>PASS</v>
      </c>
      <c r="F103" t="s">
        <v>649</v>
      </c>
      <c r="G103" t="s">
        <v>649</v>
      </c>
      <c r="H103" s="3">
        <v>23746473.300000001</v>
      </c>
      <c r="I103" s="3">
        <v>0</v>
      </c>
      <c r="J103" s="3">
        <v>4683.03</v>
      </c>
      <c r="K103" s="4">
        <v>1187323.665</v>
      </c>
      <c r="L103" s="4">
        <v>0</v>
      </c>
      <c r="M103" s="3">
        <v>0</v>
      </c>
      <c r="N103" t="s">
        <v>29</v>
      </c>
      <c r="O103" t="s">
        <v>650</v>
      </c>
      <c r="P103" t="s">
        <v>650</v>
      </c>
    </row>
    <row r="104" spans="1:16" x14ac:dyDescent="0.4">
      <c r="A104" s="2">
        <v>45849</v>
      </c>
      <c r="B104" t="s">
        <v>32</v>
      </c>
      <c r="C104" t="s">
        <v>649</v>
      </c>
      <c r="D104" s="3" t="e">
        <f t="shared" si="2"/>
        <v>#DIV/0!</v>
      </c>
      <c r="E104" s="3" t="str">
        <f t="shared" si="3"/>
        <v>PASS</v>
      </c>
      <c r="F104" t="s">
        <v>649</v>
      </c>
      <c r="G104" t="s">
        <v>649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3">
        <v>0</v>
      </c>
      <c r="N104" t="s">
        <v>29</v>
      </c>
      <c r="O104" t="s">
        <v>650</v>
      </c>
      <c r="P104" t="s">
        <v>650</v>
      </c>
    </row>
    <row r="105" spans="1:16" x14ac:dyDescent="0.4">
      <c r="A105" s="2">
        <v>45849</v>
      </c>
      <c r="B105" t="s">
        <v>33</v>
      </c>
      <c r="C105" t="s">
        <v>649</v>
      </c>
      <c r="D105" s="3" t="str">
        <f t="shared" si="2"/>
        <v>FAIL</v>
      </c>
      <c r="E105" s="3" t="str">
        <f t="shared" si="3"/>
        <v>PASS</v>
      </c>
      <c r="F105" t="s">
        <v>649</v>
      </c>
      <c r="G105" t="s">
        <v>649</v>
      </c>
      <c r="H105" s="3">
        <v>15407775.539999999</v>
      </c>
      <c r="I105" s="3">
        <v>0</v>
      </c>
      <c r="J105" s="3">
        <v>2964.03</v>
      </c>
      <c r="K105" s="4">
        <v>770388.777</v>
      </c>
      <c r="L105" s="4">
        <v>0</v>
      </c>
      <c r="M105" s="3">
        <v>0</v>
      </c>
      <c r="N105" t="s">
        <v>29</v>
      </c>
      <c r="O105" t="s">
        <v>650</v>
      </c>
      <c r="P105" t="s">
        <v>650</v>
      </c>
    </row>
    <row r="106" spans="1:16" x14ac:dyDescent="0.4">
      <c r="A106" s="2">
        <v>45849</v>
      </c>
      <c r="B106" t="s">
        <v>34</v>
      </c>
      <c r="C106" t="s">
        <v>649</v>
      </c>
      <c r="D106" s="3" t="e">
        <f t="shared" si="2"/>
        <v>#DIV/0!</v>
      </c>
      <c r="E106" s="3" t="str">
        <f t="shared" si="3"/>
        <v>PASS</v>
      </c>
      <c r="F106" t="s">
        <v>649</v>
      </c>
      <c r="G106" t="s">
        <v>649</v>
      </c>
      <c r="H106" s="3">
        <v>0</v>
      </c>
      <c r="I106" s="3">
        <v>0</v>
      </c>
      <c r="J106" s="3">
        <v>0</v>
      </c>
      <c r="K106" s="4">
        <v>0</v>
      </c>
      <c r="L106" s="4">
        <v>0</v>
      </c>
      <c r="M106" s="3">
        <v>0</v>
      </c>
      <c r="N106" t="s">
        <v>29</v>
      </c>
      <c r="O106" t="s">
        <v>650</v>
      </c>
      <c r="P106" t="s">
        <v>650</v>
      </c>
    </row>
    <row r="107" spans="1:16" x14ac:dyDescent="0.4">
      <c r="A107" s="2">
        <v>45849</v>
      </c>
      <c r="B107" t="s">
        <v>35</v>
      </c>
      <c r="C107" t="s">
        <v>649</v>
      </c>
      <c r="D107" s="3" t="str">
        <f t="shared" si="2"/>
        <v>FAIL</v>
      </c>
      <c r="E107" s="3" t="str">
        <f t="shared" si="3"/>
        <v>PASS</v>
      </c>
      <c r="F107" t="s">
        <v>649</v>
      </c>
      <c r="G107" t="s">
        <v>649</v>
      </c>
      <c r="H107" s="3">
        <v>136775727.5</v>
      </c>
      <c r="I107" s="3">
        <v>0</v>
      </c>
      <c r="J107" s="3">
        <v>26089.98</v>
      </c>
      <c r="K107" s="4">
        <v>6838786.375</v>
      </c>
      <c r="L107" s="4">
        <v>0</v>
      </c>
      <c r="M107" s="3">
        <v>0</v>
      </c>
      <c r="N107" t="s">
        <v>29</v>
      </c>
      <c r="O107" t="s">
        <v>650</v>
      </c>
      <c r="P107" t="s">
        <v>650</v>
      </c>
    </row>
    <row r="108" spans="1:16" x14ac:dyDescent="0.4">
      <c r="A108" s="2">
        <v>45849</v>
      </c>
      <c r="B108" t="s">
        <v>36</v>
      </c>
      <c r="C108" t="s">
        <v>649</v>
      </c>
      <c r="D108" s="3" t="str">
        <f t="shared" si="2"/>
        <v>FAIL</v>
      </c>
      <c r="E108" s="3" t="str">
        <f t="shared" si="3"/>
        <v>PASS</v>
      </c>
      <c r="F108" t="s">
        <v>649</v>
      </c>
      <c r="G108" t="s">
        <v>649</v>
      </c>
      <c r="H108" s="3">
        <v>102363424.38</v>
      </c>
      <c r="I108" s="3">
        <v>0</v>
      </c>
      <c r="J108" s="3">
        <v>20135.37</v>
      </c>
      <c r="K108" s="4">
        <v>5118171.2190000014</v>
      </c>
      <c r="L108" s="4">
        <v>0</v>
      </c>
      <c r="M108" s="3">
        <v>0</v>
      </c>
      <c r="N108" t="s">
        <v>29</v>
      </c>
      <c r="O108" t="s">
        <v>650</v>
      </c>
      <c r="P108" t="s">
        <v>650</v>
      </c>
    </row>
    <row r="109" spans="1:16" x14ac:dyDescent="0.4">
      <c r="A109" s="2">
        <v>45849</v>
      </c>
      <c r="B109" t="s">
        <v>37</v>
      </c>
      <c r="C109" t="s">
        <v>649</v>
      </c>
      <c r="D109" s="3" t="str">
        <f t="shared" si="2"/>
        <v>FAIL</v>
      </c>
      <c r="E109" s="3" t="str">
        <f t="shared" si="3"/>
        <v>PASS</v>
      </c>
      <c r="F109" t="s">
        <v>649</v>
      </c>
      <c r="G109" t="s">
        <v>649</v>
      </c>
      <c r="H109" s="3">
        <v>40419449.509999998</v>
      </c>
      <c r="I109" s="3">
        <v>0</v>
      </c>
      <c r="J109" s="3">
        <v>7592.55</v>
      </c>
      <c r="K109" s="4">
        <v>2020972.4754999999</v>
      </c>
      <c r="L109" s="4">
        <v>0</v>
      </c>
      <c r="M109" s="3">
        <v>0</v>
      </c>
      <c r="N109" t="s">
        <v>29</v>
      </c>
      <c r="O109" t="s">
        <v>650</v>
      </c>
      <c r="P109" t="s">
        <v>650</v>
      </c>
    </row>
    <row r="110" spans="1:16" x14ac:dyDescent="0.4">
      <c r="A110" s="2">
        <v>45849</v>
      </c>
      <c r="B110" t="s">
        <v>38</v>
      </c>
      <c r="C110" t="s">
        <v>649</v>
      </c>
      <c r="D110" s="3" t="str">
        <f t="shared" si="2"/>
        <v>FAIL</v>
      </c>
      <c r="E110" s="3" t="str">
        <f t="shared" si="3"/>
        <v>PASS</v>
      </c>
      <c r="F110" t="s">
        <v>649</v>
      </c>
      <c r="G110" t="s">
        <v>649</v>
      </c>
      <c r="H110" s="3">
        <v>48989468.490000002</v>
      </c>
      <c r="I110" s="3">
        <v>0</v>
      </c>
      <c r="J110" s="3">
        <v>9005.1299999999992</v>
      </c>
      <c r="K110" s="4">
        <v>2449473.4245000002</v>
      </c>
      <c r="L110" s="4">
        <v>0</v>
      </c>
      <c r="M110" s="3">
        <v>0</v>
      </c>
      <c r="N110" t="s">
        <v>29</v>
      </c>
      <c r="O110" t="s">
        <v>650</v>
      </c>
      <c r="P110" t="s">
        <v>650</v>
      </c>
    </row>
    <row r="111" spans="1:16" x14ac:dyDescent="0.4">
      <c r="A111" s="2">
        <v>45849</v>
      </c>
      <c r="B111" t="s">
        <v>39</v>
      </c>
      <c r="C111" t="s">
        <v>649</v>
      </c>
      <c r="D111" s="3" t="str">
        <f t="shared" si="2"/>
        <v>FAIL</v>
      </c>
      <c r="E111" s="3" t="str">
        <f t="shared" si="3"/>
        <v>PASS</v>
      </c>
      <c r="F111" t="s">
        <v>649</v>
      </c>
      <c r="G111" t="s">
        <v>649</v>
      </c>
      <c r="H111" s="3">
        <v>78687938.969999999</v>
      </c>
      <c r="I111" s="3">
        <v>0</v>
      </c>
      <c r="J111" s="3">
        <v>15291.12</v>
      </c>
      <c r="K111" s="4">
        <v>3934396.9484999999</v>
      </c>
      <c r="L111" s="4">
        <v>0</v>
      </c>
      <c r="M111" s="3">
        <v>0</v>
      </c>
      <c r="N111" t="s">
        <v>29</v>
      </c>
      <c r="O111" t="s">
        <v>650</v>
      </c>
      <c r="P111" t="s">
        <v>650</v>
      </c>
    </row>
    <row r="112" spans="1:16" x14ac:dyDescent="0.4">
      <c r="A112" s="2">
        <v>45852</v>
      </c>
      <c r="B112" t="s">
        <v>27</v>
      </c>
      <c r="C112" t="s">
        <v>649</v>
      </c>
      <c r="D112" s="3" t="str">
        <f t="shared" si="2"/>
        <v>PASS</v>
      </c>
      <c r="E112" s="3" t="str">
        <f t="shared" si="3"/>
        <v>PASS</v>
      </c>
      <c r="F112" t="s">
        <v>649</v>
      </c>
      <c r="G112" t="s">
        <v>649</v>
      </c>
      <c r="H112" s="3">
        <v>55599519.789999999</v>
      </c>
      <c r="I112" s="3">
        <v>50151194.107000001</v>
      </c>
      <c r="J112" s="3">
        <v>3653.68</v>
      </c>
      <c r="K112" s="4">
        <v>2779975.9895000001</v>
      </c>
      <c r="L112" s="4">
        <v>0</v>
      </c>
      <c r="M112" s="3">
        <v>0</v>
      </c>
      <c r="N112" t="s">
        <v>29</v>
      </c>
      <c r="O112" t="s">
        <v>689</v>
      </c>
      <c r="P112" t="s">
        <v>690</v>
      </c>
    </row>
    <row r="113" spans="1:16" x14ac:dyDescent="0.4">
      <c r="A113" s="2">
        <v>45852</v>
      </c>
      <c r="B113" t="s">
        <v>30</v>
      </c>
      <c r="C113" t="s">
        <v>649</v>
      </c>
      <c r="D113" s="3" t="str">
        <f t="shared" si="2"/>
        <v>PASS</v>
      </c>
      <c r="E113" s="3" t="str">
        <f t="shared" si="3"/>
        <v>PASS</v>
      </c>
      <c r="F113" t="s">
        <v>649</v>
      </c>
      <c r="G113" t="s">
        <v>649</v>
      </c>
      <c r="H113" s="3">
        <v>34791885.159999996</v>
      </c>
      <c r="I113" s="3">
        <v>32633711.561999999</v>
      </c>
      <c r="J113" s="3">
        <v>2341.5700000000002</v>
      </c>
      <c r="K113" s="4">
        <v>1739594.2579999999</v>
      </c>
      <c r="L113" s="4">
        <v>0.2063352049268537</v>
      </c>
      <c r="M113" s="3">
        <v>3</v>
      </c>
      <c r="N113" t="s">
        <v>691</v>
      </c>
      <c r="O113" t="s">
        <v>665</v>
      </c>
      <c r="P113" t="s">
        <v>655</v>
      </c>
    </row>
    <row r="114" spans="1:16" x14ac:dyDescent="0.4">
      <c r="A114" s="2">
        <v>45852</v>
      </c>
      <c r="B114" t="s">
        <v>31</v>
      </c>
      <c r="C114" t="s">
        <v>649</v>
      </c>
      <c r="D114" s="3" t="str">
        <f t="shared" si="2"/>
        <v>PASS</v>
      </c>
      <c r="E114" s="3" t="str">
        <f t="shared" si="3"/>
        <v>PASS</v>
      </c>
      <c r="F114" t="s">
        <v>649</v>
      </c>
      <c r="G114" t="s">
        <v>649</v>
      </c>
      <c r="H114" s="3">
        <v>23779205.300000001</v>
      </c>
      <c r="I114" s="3">
        <v>21482134.451000001</v>
      </c>
      <c r="J114" s="3">
        <v>1558.29</v>
      </c>
      <c r="K114" s="4">
        <v>1188960.2649999999</v>
      </c>
      <c r="L114" s="4">
        <v>0.20410498373564839</v>
      </c>
      <c r="M114" s="3">
        <v>3</v>
      </c>
      <c r="N114" t="s">
        <v>692</v>
      </c>
      <c r="O114" t="s">
        <v>693</v>
      </c>
      <c r="P114" t="s">
        <v>674</v>
      </c>
    </row>
    <row r="115" spans="1:16" x14ac:dyDescent="0.4">
      <c r="A115" s="2">
        <v>45852</v>
      </c>
      <c r="B115" t="s">
        <v>32</v>
      </c>
      <c r="C115" t="s">
        <v>649</v>
      </c>
      <c r="D115" s="3" t="e">
        <f t="shared" si="2"/>
        <v>#DIV/0!</v>
      </c>
      <c r="E115" s="3" t="str">
        <f t="shared" si="3"/>
        <v>PASS</v>
      </c>
      <c r="F115" t="s">
        <v>649</v>
      </c>
      <c r="G115" t="s">
        <v>649</v>
      </c>
      <c r="H115" s="3">
        <v>0</v>
      </c>
      <c r="I115" s="3">
        <v>3526045523.3449988</v>
      </c>
      <c r="J115" s="3">
        <v>0</v>
      </c>
      <c r="K115" s="4">
        <v>0</v>
      </c>
      <c r="L115" s="4">
        <v>0</v>
      </c>
      <c r="M115" s="3">
        <v>207</v>
      </c>
      <c r="N115" t="s">
        <v>659</v>
      </c>
      <c r="O115" t="s">
        <v>650</v>
      </c>
      <c r="P115" t="s">
        <v>650</v>
      </c>
    </row>
    <row r="116" spans="1:16" x14ac:dyDescent="0.4">
      <c r="A116" s="2">
        <v>45852</v>
      </c>
      <c r="B116" t="s">
        <v>33</v>
      </c>
      <c r="C116" t="s">
        <v>649</v>
      </c>
      <c r="D116" s="3" t="str">
        <f t="shared" si="2"/>
        <v>PASS</v>
      </c>
      <c r="E116" s="3" t="str">
        <f t="shared" si="3"/>
        <v>PASS</v>
      </c>
      <c r="F116" t="s">
        <v>649</v>
      </c>
      <c r="G116" t="s">
        <v>649</v>
      </c>
      <c r="H116" s="3">
        <v>15428542.75</v>
      </c>
      <c r="I116" s="3">
        <v>13589456.832</v>
      </c>
      <c r="J116" s="3">
        <v>985.9</v>
      </c>
      <c r="K116" s="4">
        <v>771427.13750000007</v>
      </c>
      <c r="L116" s="4">
        <v>0.20409209091651129</v>
      </c>
      <c r="M116" s="3">
        <v>3</v>
      </c>
      <c r="N116" t="s">
        <v>692</v>
      </c>
      <c r="O116" t="s">
        <v>693</v>
      </c>
      <c r="P116" t="s">
        <v>674</v>
      </c>
    </row>
    <row r="117" spans="1:16" x14ac:dyDescent="0.4">
      <c r="A117" s="2">
        <v>45852</v>
      </c>
      <c r="B117" t="s">
        <v>34</v>
      </c>
      <c r="C117" t="s">
        <v>649</v>
      </c>
      <c r="D117" s="3" t="e">
        <f t="shared" si="2"/>
        <v>#DIV/0!</v>
      </c>
      <c r="E117" s="3" t="str">
        <f t="shared" si="3"/>
        <v>PASS</v>
      </c>
      <c r="F117" t="s">
        <v>649</v>
      </c>
      <c r="G117" t="s">
        <v>649</v>
      </c>
      <c r="H117" s="3">
        <v>0</v>
      </c>
      <c r="I117" s="3">
        <v>3526045523.3449988</v>
      </c>
      <c r="J117" s="3">
        <v>0</v>
      </c>
      <c r="K117" s="4">
        <v>0</v>
      </c>
      <c r="L117" s="4">
        <v>0</v>
      </c>
      <c r="M117" s="3">
        <v>207</v>
      </c>
      <c r="N117" t="s">
        <v>659</v>
      </c>
      <c r="O117" t="s">
        <v>650</v>
      </c>
      <c r="P117" t="s">
        <v>650</v>
      </c>
    </row>
    <row r="118" spans="1:16" x14ac:dyDescent="0.4">
      <c r="A118" s="2">
        <v>45852</v>
      </c>
      <c r="B118" t="s">
        <v>35</v>
      </c>
      <c r="C118" t="s">
        <v>649</v>
      </c>
      <c r="D118" s="3" t="str">
        <f t="shared" si="2"/>
        <v>PASS</v>
      </c>
      <c r="E118" s="3" t="str">
        <f t="shared" si="3"/>
        <v>PASS</v>
      </c>
      <c r="F118" t="s">
        <v>649</v>
      </c>
      <c r="G118" t="s">
        <v>649</v>
      </c>
      <c r="H118" s="3">
        <v>136970085.61000001</v>
      </c>
      <c r="I118" s="3">
        <v>123014660.09900001</v>
      </c>
      <c r="J118" s="3">
        <v>8677.86</v>
      </c>
      <c r="K118" s="4">
        <v>6848504.2805000013</v>
      </c>
      <c r="L118" s="4">
        <v>0.2098376861899007</v>
      </c>
      <c r="M118" s="3">
        <v>3</v>
      </c>
      <c r="N118" t="s">
        <v>694</v>
      </c>
      <c r="O118" t="s">
        <v>695</v>
      </c>
      <c r="P118" t="s">
        <v>673</v>
      </c>
    </row>
    <row r="119" spans="1:16" x14ac:dyDescent="0.4">
      <c r="A119" s="2">
        <v>45852</v>
      </c>
      <c r="B119" t="s">
        <v>36</v>
      </c>
      <c r="C119" t="s">
        <v>649</v>
      </c>
      <c r="D119" s="3" t="str">
        <f t="shared" si="2"/>
        <v>PASS</v>
      </c>
      <c r="E119" s="3" t="str">
        <f t="shared" si="3"/>
        <v>PASS</v>
      </c>
      <c r="F119" t="s">
        <v>649</v>
      </c>
      <c r="G119" t="s">
        <v>649</v>
      </c>
      <c r="H119" s="3">
        <v>102485674.81999999</v>
      </c>
      <c r="I119" s="3">
        <v>91610123.590999991</v>
      </c>
      <c r="J119" s="3">
        <v>6700.63</v>
      </c>
      <c r="K119" s="4">
        <v>5124283.7410000004</v>
      </c>
      <c r="L119" s="4">
        <v>0.20244925760700219</v>
      </c>
      <c r="M119" s="3">
        <v>3</v>
      </c>
      <c r="N119" t="s">
        <v>696</v>
      </c>
      <c r="O119" t="s">
        <v>697</v>
      </c>
      <c r="P119" t="s">
        <v>666</v>
      </c>
    </row>
    <row r="120" spans="1:16" x14ac:dyDescent="0.4">
      <c r="A120" s="2">
        <v>45852</v>
      </c>
      <c r="B120" t="s">
        <v>37</v>
      </c>
      <c r="C120" t="s">
        <v>649</v>
      </c>
      <c r="D120" s="3" t="str">
        <f t="shared" si="2"/>
        <v>PASS</v>
      </c>
      <c r="E120" s="3" t="str">
        <f t="shared" si="3"/>
        <v>PASS</v>
      </c>
      <c r="F120" t="s">
        <v>649</v>
      </c>
      <c r="G120" t="s">
        <v>649</v>
      </c>
      <c r="H120" s="3">
        <v>40465790.909999996</v>
      </c>
      <c r="I120" s="3">
        <v>34482602.887000002</v>
      </c>
      <c r="J120" s="3">
        <v>2525.5700000000002</v>
      </c>
      <c r="K120" s="4">
        <v>2023289.5455</v>
      </c>
      <c r="L120" s="4">
        <v>0.20210849005873069</v>
      </c>
      <c r="M120" s="3">
        <v>3</v>
      </c>
      <c r="N120" t="s">
        <v>698</v>
      </c>
      <c r="O120" t="s">
        <v>697</v>
      </c>
      <c r="P120" t="s">
        <v>666</v>
      </c>
    </row>
    <row r="121" spans="1:16" x14ac:dyDescent="0.4">
      <c r="A121" s="2">
        <v>45852</v>
      </c>
      <c r="B121" t="s">
        <v>38</v>
      </c>
      <c r="C121" t="s">
        <v>649</v>
      </c>
      <c r="D121" s="3" t="str">
        <f t="shared" si="2"/>
        <v>PASS</v>
      </c>
      <c r="E121" s="3" t="str">
        <f t="shared" si="3"/>
        <v>PASS</v>
      </c>
      <c r="F121" t="s">
        <v>649</v>
      </c>
      <c r="G121" t="s">
        <v>649</v>
      </c>
      <c r="H121" s="3">
        <v>49056498.590000004</v>
      </c>
      <c r="I121" s="3">
        <v>42346178.866999999</v>
      </c>
      <c r="J121" s="3">
        <v>2994.35</v>
      </c>
      <c r="K121" s="4">
        <v>2452824.9295000001</v>
      </c>
      <c r="L121" s="4">
        <v>0.20930250181609439</v>
      </c>
      <c r="M121" s="3">
        <v>3</v>
      </c>
      <c r="N121" t="s">
        <v>699</v>
      </c>
      <c r="O121" t="s">
        <v>695</v>
      </c>
      <c r="P121" t="s">
        <v>673</v>
      </c>
    </row>
    <row r="122" spans="1:16" x14ac:dyDescent="0.4">
      <c r="A122" s="2">
        <v>45852</v>
      </c>
      <c r="B122" t="s">
        <v>39</v>
      </c>
      <c r="C122" t="s">
        <v>649</v>
      </c>
      <c r="D122" s="3" t="str">
        <f t="shared" si="2"/>
        <v>PASS</v>
      </c>
      <c r="E122" s="3" t="str">
        <f t="shared" si="3"/>
        <v>PASS</v>
      </c>
      <c r="F122" t="s">
        <v>649</v>
      </c>
      <c r="G122" t="s">
        <v>649</v>
      </c>
      <c r="H122" s="3">
        <v>78794732.390000001</v>
      </c>
      <c r="I122" s="3">
        <v>70500860.592000008</v>
      </c>
      <c r="J122" s="3">
        <v>5086.0200000000004</v>
      </c>
      <c r="K122" s="4">
        <v>3939736.6195</v>
      </c>
      <c r="L122" s="4">
        <v>0.2051755689044196</v>
      </c>
      <c r="M122" s="3">
        <v>3</v>
      </c>
      <c r="N122" t="s">
        <v>700</v>
      </c>
      <c r="O122" t="s">
        <v>684</v>
      </c>
      <c r="P122" t="s">
        <v>674</v>
      </c>
    </row>
    <row r="123" spans="1:16" x14ac:dyDescent="0.4">
      <c r="A123" s="2">
        <v>45853</v>
      </c>
      <c r="B123" t="s">
        <v>27</v>
      </c>
      <c r="C123" t="s">
        <v>649</v>
      </c>
      <c r="D123" s="3" t="str">
        <f t="shared" si="2"/>
        <v>PASS</v>
      </c>
      <c r="E123" s="3" t="str">
        <f t="shared" si="3"/>
        <v>PASS</v>
      </c>
      <c r="F123" t="s">
        <v>649</v>
      </c>
      <c r="G123" t="s">
        <v>649</v>
      </c>
      <c r="H123" s="3">
        <v>54947598.159999996</v>
      </c>
      <c r="I123" s="3">
        <v>49528335.248000003</v>
      </c>
      <c r="J123" s="3">
        <v>3657.38</v>
      </c>
      <c r="K123" s="4">
        <v>2747379.9079999998</v>
      </c>
      <c r="L123" s="4">
        <v>0</v>
      </c>
      <c r="M123" s="3">
        <v>0</v>
      </c>
      <c r="N123" t="s">
        <v>29</v>
      </c>
      <c r="O123" t="s">
        <v>701</v>
      </c>
      <c r="P123" t="s">
        <v>702</v>
      </c>
    </row>
    <row r="124" spans="1:16" x14ac:dyDescent="0.4">
      <c r="A124" s="2">
        <v>45853</v>
      </c>
      <c r="B124" t="s">
        <v>30</v>
      </c>
      <c r="C124" t="s">
        <v>649</v>
      </c>
      <c r="D124" s="3" t="str">
        <f t="shared" si="2"/>
        <v>PASS</v>
      </c>
      <c r="E124" s="3" t="str">
        <f t="shared" si="3"/>
        <v>PASS</v>
      </c>
      <c r="F124" t="s">
        <v>649</v>
      </c>
      <c r="G124" t="s">
        <v>649</v>
      </c>
      <c r="H124" s="3">
        <v>34735284.490000002</v>
      </c>
      <c r="I124" s="3">
        <v>32695948.77</v>
      </c>
      <c r="J124" s="3">
        <v>2345.4699999999998</v>
      </c>
      <c r="K124" s="4">
        <v>1736764.2245</v>
      </c>
      <c r="L124" s="4">
        <v>0.21060293580401429</v>
      </c>
      <c r="M124" s="3">
        <v>3</v>
      </c>
      <c r="N124" t="s">
        <v>703</v>
      </c>
      <c r="O124" t="s">
        <v>693</v>
      </c>
      <c r="P124" t="s">
        <v>668</v>
      </c>
    </row>
    <row r="125" spans="1:16" x14ac:dyDescent="0.4">
      <c r="A125" s="2">
        <v>45853</v>
      </c>
      <c r="B125" t="s">
        <v>31</v>
      </c>
      <c r="C125" t="s">
        <v>649</v>
      </c>
      <c r="D125" s="3" t="str">
        <f t="shared" si="2"/>
        <v>PASS</v>
      </c>
      <c r="E125" s="3" t="str">
        <f t="shared" si="3"/>
        <v>PASS</v>
      </c>
      <c r="F125" t="s">
        <v>649</v>
      </c>
      <c r="G125" t="s">
        <v>649</v>
      </c>
      <c r="H125" s="3">
        <v>23750645.699999999</v>
      </c>
      <c r="I125" s="3">
        <v>21514625.578000002</v>
      </c>
      <c r="J125" s="3">
        <v>1560.65</v>
      </c>
      <c r="K125" s="4">
        <v>1187532.2849999999</v>
      </c>
      <c r="L125" s="4">
        <v>0.20823839134991071</v>
      </c>
      <c r="M125" s="3">
        <v>3</v>
      </c>
      <c r="N125" t="s">
        <v>704</v>
      </c>
      <c r="O125" t="s">
        <v>705</v>
      </c>
      <c r="P125" t="s">
        <v>706</v>
      </c>
    </row>
    <row r="126" spans="1:16" x14ac:dyDescent="0.4">
      <c r="A126" s="2">
        <v>45853</v>
      </c>
      <c r="B126" t="s">
        <v>32</v>
      </c>
      <c r="C126" t="s">
        <v>649</v>
      </c>
      <c r="D126" s="3" t="e">
        <f t="shared" si="2"/>
        <v>#DIV/0!</v>
      </c>
      <c r="E126" s="3" t="str">
        <f t="shared" si="3"/>
        <v>PASS</v>
      </c>
      <c r="F126" t="s">
        <v>649</v>
      </c>
      <c r="G126" t="s">
        <v>649</v>
      </c>
      <c r="H126" s="3">
        <v>0</v>
      </c>
      <c r="I126" s="3">
        <v>3532018945.7199998</v>
      </c>
      <c r="J126" s="3">
        <v>0</v>
      </c>
      <c r="K126" s="4">
        <v>0</v>
      </c>
      <c r="L126" s="4">
        <v>0</v>
      </c>
      <c r="M126" s="3">
        <v>207</v>
      </c>
      <c r="N126" t="s">
        <v>659</v>
      </c>
      <c r="O126" t="s">
        <v>650</v>
      </c>
      <c r="P126" t="s">
        <v>650</v>
      </c>
    </row>
    <row r="127" spans="1:16" x14ac:dyDescent="0.4">
      <c r="A127" s="2">
        <v>45853</v>
      </c>
      <c r="B127" t="s">
        <v>33</v>
      </c>
      <c r="C127" t="s">
        <v>649</v>
      </c>
      <c r="D127" s="3" t="str">
        <f t="shared" si="2"/>
        <v>PASS</v>
      </c>
      <c r="E127" s="3" t="str">
        <f t="shared" si="3"/>
        <v>PASS</v>
      </c>
      <c r="F127" t="s">
        <v>649</v>
      </c>
      <c r="G127" t="s">
        <v>649</v>
      </c>
      <c r="H127" s="3">
        <v>15405728.48</v>
      </c>
      <c r="I127" s="3">
        <v>13606466.343</v>
      </c>
      <c r="J127" s="3">
        <v>987.34</v>
      </c>
      <c r="K127" s="4">
        <v>770286.42400000012</v>
      </c>
      <c r="L127" s="4">
        <v>0.20829830530496299</v>
      </c>
      <c r="M127" s="3">
        <v>3</v>
      </c>
      <c r="N127" t="s">
        <v>704</v>
      </c>
      <c r="O127" t="s">
        <v>705</v>
      </c>
      <c r="P127" t="s">
        <v>706</v>
      </c>
    </row>
    <row r="128" spans="1:16" x14ac:dyDescent="0.4">
      <c r="A128" s="2">
        <v>45853</v>
      </c>
      <c r="B128" t="s">
        <v>34</v>
      </c>
      <c r="C128" t="s">
        <v>649</v>
      </c>
      <c r="D128" s="3" t="e">
        <f t="shared" si="2"/>
        <v>#DIV/0!</v>
      </c>
      <c r="E128" s="3" t="str">
        <f t="shared" si="3"/>
        <v>PASS</v>
      </c>
      <c r="F128" t="s">
        <v>649</v>
      </c>
      <c r="G128" t="s">
        <v>649</v>
      </c>
      <c r="H128" s="3">
        <v>0</v>
      </c>
      <c r="I128" s="3">
        <v>3532018945.7199998</v>
      </c>
      <c r="J128" s="3">
        <v>0</v>
      </c>
      <c r="K128" s="4">
        <v>0</v>
      </c>
      <c r="L128" s="4">
        <v>0</v>
      </c>
      <c r="M128" s="3">
        <v>207</v>
      </c>
      <c r="N128" t="s">
        <v>659</v>
      </c>
      <c r="O128" t="s">
        <v>650</v>
      </c>
      <c r="P128" t="s">
        <v>650</v>
      </c>
    </row>
    <row r="129" spans="1:16" x14ac:dyDescent="0.4">
      <c r="A129" s="2">
        <v>45853</v>
      </c>
      <c r="B129" t="s">
        <v>35</v>
      </c>
      <c r="C129" t="s">
        <v>649</v>
      </c>
      <c r="D129" s="3" t="str">
        <f t="shared" si="2"/>
        <v>PASS</v>
      </c>
      <c r="E129" s="3" t="str">
        <f t="shared" si="3"/>
        <v>PASS</v>
      </c>
      <c r="F129" t="s">
        <v>649</v>
      </c>
      <c r="G129" t="s">
        <v>649</v>
      </c>
      <c r="H129" s="3">
        <v>136768553.56999999</v>
      </c>
      <c r="I129" s="3">
        <v>123234842.53399999</v>
      </c>
      <c r="J129" s="3">
        <v>8691.4699999999993</v>
      </c>
      <c r="K129" s="4">
        <v>6838427.6785000004</v>
      </c>
      <c r="L129" s="4">
        <v>0.21416311660629869</v>
      </c>
      <c r="M129" s="3">
        <v>3</v>
      </c>
      <c r="N129" t="s">
        <v>707</v>
      </c>
      <c r="O129" t="s">
        <v>708</v>
      </c>
      <c r="P129" t="s">
        <v>679</v>
      </c>
    </row>
    <row r="130" spans="1:16" x14ac:dyDescent="0.4">
      <c r="A130" s="2">
        <v>45853</v>
      </c>
      <c r="B130" t="s">
        <v>36</v>
      </c>
      <c r="C130" t="s">
        <v>649</v>
      </c>
      <c r="D130" s="3" t="str">
        <f t="shared" ref="D130:D193" si="4">IF(I130/H130&gt;=0.5,"PASS","FAIL")</f>
        <v>PASS</v>
      </c>
      <c r="E130" s="3" t="str">
        <f t="shared" ref="E130:E193" si="5">IF(L130&lt;=0.5,"PASS","FAIL")</f>
        <v>PASS</v>
      </c>
      <c r="F130" t="s">
        <v>649</v>
      </c>
      <c r="G130" t="s">
        <v>649</v>
      </c>
      <c r="H130" s="3">
        <v>102367614.56</v>
      </c>
      <c r="I130" s="3">
        <v>91781794.440000013</v>
      </c>
      <c r="J130" s="3">
        <v>6709.39</v>
      </c>
      <c r="K130" s="4">
        <v>5118380.7280000001</v>
      </c>
      <c r="L130" s="4">
        <v>0.20653843092164481</v>
      </c>
      <c r="M130" s="3">
        <v>3</v>
      </c>
      <c r="N130" t="s">
        <v>709</v>
      </c>
      <c r="O130" t="s">
        <v>710</v>
      </c>
      <c r="P130" t="s">
        <v>711</v>
      </c>
    </row>
    <row r="131" spans="1:16" x14ac:dyDescent="0.4">
      <c r="A131" s="2">
        <v>45853</v>
      </c>
      <c r="B131" t="s">
        <v>37</v>
      </c>
      <c r="C131" t="s">
        <v>649</v>
      </c>
      <c r="D131" s="3" t="str">
        <f t="shared" si="4"/>
        <v>PASS</v>
      </c>
      <c r="E131" s="3" t="str">
        <f t="shared" si="5"/>
        <v>PASS</v>
      </c>
      <c r="F131" t="s">
        <v>649</v>
      </c>
      <c r="G131" t="s">
        <v>649</v>
      </c>
      <c r="H131" s="3">
        <v>40407677.479999997</v>
      </c>
      <c r="I131" s="3">
        <v>34531935.256999999</v>
      </c>
      <c r="J131" s="3">
        <v>2528.96</v>
      </c>
      <c r="K131" s="4">
        <v>2020383.8740000001</v>
      </c>
      <c r="L131" s="4">
        <v>0.2062716219711494</v>
      </c>
      <c r="M131" s="3">
        <v>3</v>
      </c>
      <c r="N131" t="s">
        <v>712</v>
      </c>
      <c r="O131" t="s">
        <v>710</v>
      </c>
      <c r="P131" t="s">
        <v>711</v>
      </c>
    </row>
    <row r="132" spans="1:16" x14ac:dyDescent="0.4">
      <c r="A132" s="2">
        <v>45853</v>
      </c>
      <c r="B132" t="s">
        <v>38</v>
      </c>
      <c r="C132" t="s">
        <v>649</v>
      </c>
      <c r="D132" s="3" t="str">
        <f t="shared" si="4"/>
        <v>PASS</v>
      </c>
      <c r="E132" s="3" t="str">
        <f t="shared" si="5"/>
        <v>PASS</v>
      </c>
      <c r="F132" t="s">
        <v>649</v>
      </c>
      <c r="G132" t="s">
        <v>649</v>
      </c>
      <c r="H132" s="3">
        <v>48975733.939999998</v>
      </c>
      <c r="I132" s="3">
        <v>42410982.079000004</v>
      </c>
      <c r="J132" s="3">
        <v>2999.04</v>
      </c>
      <c r="K132" s="4">
        <v>2448786.6970000002</v>
      </c>
      <c r="L132" s="4">
        <v>0.2136751578387476</v>
      </c>
      <c r="M132" s="3">
        <v>3</v>
      </c>
      <c r="N132" t="s">
        <v>713</v>
      </c>
      <c r="O132" t="s">
        <v>714</v>
      </c>
      <c r="P132" t="s">
        <v>679</v>
      </c>
    </row>
    <row r="133" spans="1:16" x14ac:dyDescent="0.4">
      <c r="A133" s="2">
        <v>45853</v>
      </c>
      <c r="B133" t="s">
        <v>39</v>
      </c>
      <c r="C133" t="s">
        <v>649</v>
      </c>
      <c r="D133" s="3" t="str">
        <f t="shared" si="4"/>
        <v>PASS</v>
      </c>
      <c r="E133" s="3" t="str">
        <f t="shared" si="5"/>
        <v>PASS</v>
      </c>
      <c r="F133" t="s">
        <v>649</v>
      </c>
      <c r="G133" t="s">
        <v>649</v>
      </c>
      <c r="H133" s="3">
        <v>78676402.310000002</v>
      </c>
      <c r="I133" s="3">
        <v>70613330.905999988</v>
      </c>
      <c r="J133" s="3">
        <v>5093.59</v>
      </c>
      <c r="K133" s="4">
        <v>3933820.1154999998</v>
      </c>
      <c r="L133" s="4">
        <v>0.20940563128933909</v>
      </c>
      <c r="M133" s="3">
        <v>3</v>
      </c>
      <c r="N133" t="s">
        <v>715</v>
      </c>
      <c r="O133" t="s">
        <v>697</v>
      </c>
      <c r="P133" t="s">
        <v>668</v>
      </c>
    </row>
    <row r="134" spans="1:16" x14ac:dyDescent="0.4">
      <c r="A134" s="2">
        <v>45854</v>
      </c>
      <c r="B134" t="s">
        <v>27</v>
      </c>
      <c r="C134" t="s">
        <v>649</v>
      </c>
      <c r="D134" s="3" t="str">
        <f t="shared" si="4"/>
        <v>PASS</v>
      </c>
      <c r="E134" s="3" t="str">
        <f t="shared" si="5"/>
        <v>PASS</v>
      </c>
      <c r="F134" t="s">
        <v>649</v>
      </c>
      <c r="G134" t="s">
        <v>649</v>
      </c>
      <c r="H134" s="3">
        <v>55101419.509999998</v>
      </c>
      <c r="I134" s="3">
        <v>49716857.655000001</v>
      </c>
      <c r="J134" s="3">
        <v>3609.78</v>
      </c>
      <c r="K134" s="4">
        <v>2755070.9755000002</v>
      </c>
      <c r="L134" s="4">
        <v>0</v>
      </c>
      <c r="M134" s="3">
        <v>0</v>
      </c>
      <c r="N134" t="s">
        <v>29</v>
      </c>
      <c r="O134" t="s">
        <v>716</v>
      </c>
      <c r="P134" t="s">
        <v>689</v>
      </c>
    </row>
    <row r="135" spans="1:16" x14ac:dyDescent="0.4">
      <c r="A135" s="2">
        <v>45854</v>
      </c>
      <c r="B135" t="s">
        <v>30</v>
      </c>
      <c r="C135" t="s">
        <v>649</v>
      </c>
      <c r="D135" s="3" t="str">
        <f t="shared" si="4"/>
        <v>PASS</v>
      </c>
      <c r="E135" s="3" t="str">
        <f t="shared" si="5"/>
        <v>PASS</v>
      </c>
      <c r="F135" t="s">
        <v>649</v>
      </c>
      <c r="G135" t="s">
        <v>649</v>
      </c>
      <c r="H135" s="3">
        <v>34828542.359999999</v>
      </c>
      <c r="I135" s="3">
        <v>32940889.824000001</v>
      </c>
      <c r="J135" s="3">
        <v>2341.19</v>
      </c>
      <c r="K135" s="4">
        <v>1741427.118</v>
      </c>
      <c r="L135" s="4">
        <v>0.211432643687991</v>
      </c>
      <c r="M135" s="3">
        <v>3</v>
      </c>
      <c r="N135" t="s">
        <v>717</v>
      </c>
      <c r="O135" t="s">
        <v>665</v>
      </c>
      <c r="P135" t="s">
        <v>655</v>
      </c>
    </row>
    <row r="136" spans="1:16" x14ac:dyDescent="0.4">
      <c r="A136" s="2">
        <v>45854</v>
      </c>
      <c r="B136" t="s">
        <v>31</v>
      </c>
      <c r="C136" t="s">
        <v>649</v>
      </c>
      <c r="D136" s="3" t="str">
        <f t="shared" si="4"/>
        <v>PASS</v>
      </c>
      <c r="E136" s="3" t="str">
        <f t="shared" si="5"/>
        <v>PASS</v>
      </c>
      <c r="F136" t="s">
        <v>649</v>
      </c>
      <c r="G136" t="s">
        <v>649</v>
      </c>
      <c r="H136" s="3">
        <v>23808224.370000001</v>
      </c>
      <c r="I136" s="3">
        <v>21673358.258000001</v>
      </c>
      <c r="J136" s="3">
        <v>1558.46</v>
      </c>
      <c r="K136" s="4">
        <v>1190411.2185</v>
      </c>
      <c r="L136" s="4">
        <v>0.2090758360185565</v>
      </c>
      <c r="M136" s="3">
        <v>3</v>
      </c>
      <c r="N136" t="s">
        <v>718</v>
      </c>
      <c r="O136" t="s">
        <v>693</v>
      </c>
      <c r="P136" t="s">
        <v>674</v>
      </c>
    </row>
    <row r="137" spans="1:16" x14ac:dyDescent="0.4">
      <c r="A137" s="2">
        <v>45854</v>
      </c>
      <c r="B137" t="s">
        <v>32</v>
      </c>
      <c r="C137" t="s">
        <v>649</v>
      </c>
      <c r="D137" s="3" t="e">
        <f t="shared" si="4"/>
        <v>#DIV/0!</v>
      </c>
      <c r="E137" s="3" t="str">
        <f t="shared" si="5"/>
        <v>PASS</v>
      </c>
      <c r="F137" t="s">
        <v>649</v>
      </c>
      <c r="G137" t="s">
        <v>649</v>
      </c>
      <c r="H137" s="3">
        <v>0</v>
      </c>
      <c r="I137" s="3">
        <v>3556786339.6360002</v>
      </c>
      <c r="J137" s="3">
        <v>0</v>
      </c>
      <c r="K137" s="4">
        <v>0</v>
      </c>
      <c r="L137" s="4">
        <v>0</v>
      </c>
      <c r="M137" s="3">
        <v>207</v>
      </c>
      <c r="N137" t="s">
        <v>659</v>
      </c>
      <c r="O137" t="s">
        <v>650</v>
      </c>
      <c r="P137" t="s">
        <v>650</v>
      </c>
    </row>
    <row r="138" spans="1:16" x14ac:dyDescent="0.4">
      <c r="A138" s="2">
        <v>45854</v>
      </c>
      <c r="B138" t="s">
        <v>33</v>
      </c>
      <c r="C138" t="s">
        <v>649</v>
      </c>
      <c r="D138" s="3" t="str">
        <f t="shared" si="4"/>
        <v>PASS</v>
      </c>
      <c r="E138" s="3" t="str">
        <f t="shared" si="5"/>
        <v>PASS</v>
      </c>
      <c r="F138" t="s">
        <v>649</v>
      </c>
      <c r="G138" t="s">
        <v>649</v>
      </c>
      <c r="H138" s="3">
        <v>15445946.17</v>
      </c>
      <c r="I138" s="3">
        <v>13693118.556</v>
      </c>
      <c r="J138" s="3">
        <v>985.61</v>
      </c>
      <c r="K138" s="4">
        <v>772297.30850000004</v>
      </c>
      <c r="L138" s="4">
        <v>0.20888076935079569</v>
      </c>
      <c r="M138" s="3">
        <v>3</v>
      </c>
      <c r="N138" t="s">
        <v>719</v>
      </c>
      <c r="O138" t="s">
        <v>693</v>
      </c>
      <c r="P138" t="s">
        <v>658</v>
      </c>
    </row>
    <row r="139" spans="1:16" x14ac:dyDescent="0.4">
      <c r="A139" s="2">
        <v>45854</v>
      </c>
      <c r="B139" t="s">
        <v>34</v>
      </c>
      <c r="C139" t="s">
        <v>649</v>
      </c>
      <c r="D139" s="3" t="e">
        <f t="shared" si="4"/>
        <v>#DIV/0!</v>
      </c>
      <c r="E139" s="3" t="str">
        <f t="shared" si="5"/>
        <v>PASS</v>
      </c>
      <c r="F139" t="s">
        <v>649</v>
      </c>
      <c r="G139" t="s">
        <v>649</v>
      </c>
      <c r="H139" s="3">
        <v>0</v>
      </c>
      <c r="I139" s="3">
        <v>3556786339.6360002</v>
      </c>
      <c r="J139" s="3">
        <v>0</v>
      </c>
      <c r="K139" s="4">
        <v>0</v>
      </c>
      <c r="L139" s="4">
        <v>0</v>
      </c>
      <c r="M139" s="3">
        <v>207</v>
      </c>
      <c r="N139" t="s">
        <v>659</v>
      </c>
      <c r="O139" t="s">
        <v>650</v>
      </c>
      <c r="P139" t="s">
        <v>650</v>
      </c>
    </row>
    <row r="140" spans="1:16" x14ac:dyDescent="0.4">
      <c r="A140" s="2">
        <v>45854</v>
      </c>
      <c r="B140" t="s">
        <v>35</v>
      </c>
      <c r="C140" t="s">
        <v>649</v>
      </c>
      <c r="D140" s="3" t="str">
        <f t="shared" si="4"/>
        <v>PASS</v>
      </c>
      <c r="E140" s="3" t="str">
        <f t="shared" si="5"/>
        <v>PASS</v>
      </c>
      <c r="F140" t="s">
        <v>649</v>
      </c>
      <c r="G140" t="s">
        <v>649</v>
      </c>
      <c r="H140" s="3">
        <v>137130234.97999999</v>
      </c>
      <c r="I140" s="3">
        <v>124166585.586</v>
      </c>
      <c r="J140" s="3">
        <v>8676.2099999999991</v>
      </c>
      <c r="K140" s="4">
        <v>6856511.7489999998</v>
      </c>
      <c r="L140" s="4">
        <v>0.2149843591285435</v>
      </c>
      <c r="M140" s="3">
        <v>3</v>
      </c>
      <c r="N140" t="s">
        <v>720</v>
      </c>
      <c r="O140" t="s">
        <v>714</v>
      </c>
      <c r="P140" t="s">
        <v>673</v>
      </c>
    </row>
    <row r="141" spans="1:16" x14ac:dyDescent="0.4">
      <c r="A141" s="2">
        <v>45854</v>
      </c>
      <c r="B141" t="s">
        <v>36</v>
      </c>
      <c r="C141" t="s">
        <v>649</v>
      </c>
      <c r="D141" s="3" t="str">
        <f t="shared" si="4"/>
        <v>PASS</v>
      </c>
      <c r="E141" s="3" t="str">
        <f t="shared" si="5"/>
        <v>PASS</v>
      </c>
      <c r="F141" t="s">
        <v>649</v>
      </c>
      <c r="G141" t="s">
        <v>649</v>
      </c>
      <c r="H141" s="3">
        <v>102607783.69</v>
      </c>
      <c r="I141" s="3">
        <v>92467747.210999995</v>
      </c>
      <c r="J141" s="3">
        <v>6700.33</v>
      </c>
      <c r="K141" s="4">
        <v>5130389.1845000004</v>
      </c>
      <c r="L141" s="4">
        <v>0.2074090139819339</v>
      </c>
      <c r="M141" s="3">
        <v>3</v>
      </c>
      <c r="N141" t="s">
        <v>721</v>
      </c>
      <c r="O141" t="s">
        <v>697</v>
      </c>
      <c r="P141" t="s">
        <v>666</v>
      </c>
    </row>
    <row r="142" spans="1:16" x14ac:dyDescent="0.4">
      <c r="A142" s="2">
        <v>45854</v>
      </c>
      <c r="B142" t="s">
        <v>37</v>
      </c>
      <c r="C142" t="s">
        <v>649</v>
      </c>
      <c r="D142" s="3" t="str">
        <f t="shared" si="4"/>
        <v>PASS</v>
      </c>
      <c r="E142" s="3" t="str">
        <f t="shared" si="5"/>
        <v>PASS</v>
      </c>
      <c r="F142" t="s">
        <v>649</v>
      </c>
      <c r="G142" t="s">
        <v>649</v>
      </c>
      <c r="H142" s="3">
        <v>40514381.219999999</v>
      </c>
      <c r="I142" s="3">
        <v>34766116.891999997</v>
      </c>
      <c r="J142" s="3">
        <v>2524.5500000000002</v>
      </c>
      <c r="K142" s="4">
        <v>2025719.061</v>
      </c>
      <c r="L142" s="4">
        <v>0.206900418555688</v>
      </c>
      <c r="M142" s="3">
        <v>3</v>
      </c>
      <c r="N142" t="s">
        <v>722</v>
      </c>
      <c r="O142" t="s">
        <v>705</v>
      </c>
      <c r="P142" t="s">
        <v>666</v>
      </c>
    </row>
    <row r="143" spans="1:16" x14ac:dyDescent="0.4">
      <c r="A143" s="2">
        <v>45854</v>
      </c>
      <c r="B143" t="s">
        <v>38</v>
      </c>
      <c r="C143" t="s">
        <v>649</v>
      </c>
      <c r="D143" s="3" t="str">
        <f t="shared" si="4"/>
        <v>PASS</v>
      </c>
      <c r="E143" s="3" t="str">
        <f t="shared" si="5"/>
        <v>PASS</v>
      </c>
      <c r="F143" t="s">
        <v>649</v>
      </c>
      <c r="G143" t="s">
        <v>649</v>
      </c>
      <c r="H143" s="3">
        <v>49107279.079999998</v>
      </c>
      <c r="I143" s="3">
        <v>42698191.006999999</v>
      </c>
      <c r="J143" s="3">
        <v>2992.96</v>
      </c>
      <c r="K143" s="4">
        <v>2455363.9539999999</v>
      </c>
      <c r="L143" s="4">
        <v>0.21430372697991429</v>
      </c>
      <c r="M143" s="3">
        <v>3</v>
      </c>
      <c r="N143" t="s">
        <v>723</v>
      </c>
      <c r="O143" t="s">
        <v>724</v>
      </c>
      <c r="P143" t="s">
        <v>657</v>
      </c>
    </row>
    <row r="144" spans="1:16" x14ac:dyDescent="0.4">
      <c r="A144" s="2">
        <v>45854</v>
      </c>
      <c r="B144" t="s">
        <v>39</v>
      </c>
      <c r="C144" t="s">
        <v>649</v>
      </c>
      <c r="D144" s="3" t="str">
        <f t="shared" si="4"/>
        <v>PASS</v>
      </c>
      <c r="E144" s="3" t="str">
        <f t="shared" si="5"/>
        <v>PASS</v>
      </c>
      <c r="F144" t="s">
        <v>649</v>
      </c>
      <c r="G144" t="s">
        <v>649</v>
      </c>
      <c r="H144" s="3">
        <v>78891840.799999997</v>
      </c>
      <c r="I144" s="3">
        <v>71090525.217999995</v>
      </c>
      <c r="J144" s="3">
        <v>5084.63</v>
      </c>
      <c r="K144" s="4">
        <v>3944592.04</v>
      </c>
      <c r="L144" s="4">
        <v>0.2100327208352066</v>
      </c>
      <c r="M144" s="3">
        <v>3</v>
      </c>
      <c r="N144" t="s">
        <v>725</v>
      </c>
      <c r="O144" t="s">
        <v>684</v>
      </c>
      <c r="P144" t="s">
        <v>674</v>
      </c>
    </row>
    <row r="145" spans="1:16" x14ac:dyDescent="0.4">
      <c r="A145" s="2">
        <v>45855</v>
      </c>
      <c r="B145" t="s">
        <v>27</v>
      </c>
      <c r="C145" t="s">
        <v>649</v>
      </c>
      <c r="D145" s="3" t="str">
        <f t="shared" si="4"/>
        <v>PASS</v>
      </c>
      <c r="E145" s="3" t="str">
        <f t="shared" si="5"/>
        <v>PASS</v>
      </c>
      <c r="F145" t="s">
        <v>649</v>
      </c>
      <c r="G145" t="s">
        <v>649</v>
      </c>
      <c r="H145" s="3">
        <v>55242924.799999997</v>
      </c>
      <c r="I145" s="3">
        <v>50040553.119999997</v>
      </c>
      <c r="J145" s="3">
        <v>3620.69</v>
      </c>
      <c r="K145" s="4">
        <v>2762146.24</v>
      </c>
      <c r="L145" s="4">
        <v>0</v>
      </c>
      <c r="M145" s="3">
        <v>0</v>
      </c>
      <c r="N145" t="s">
        <v>29</v>
      </c>
      <c r="O145" t="s">
        <v>726</v>
      </c>
      <c r="P145" t="s">
        <v>675</v>
      </c>
    </row>
    <row r="146" spans="1:16" x14ac:dyDescent="0.4">
      <c r="A146" s="2">
        <v>45855</v>
      </c>
      <c r="B146" t="s">
        <v>30</v>
      </c>
      <c r="C146" t="s">
        <v>649</v>
      </c>
      <c r="D146" s="3" t="str">
        <f t="shared" si="4"/>
        <v>PASS</v>
      </c>
      <c r="E146" s="3" t="str">
        <f t="shared" si="5"/>
        <v>PASS</v>
      </c>
      <c r="F146" t="s">
        <v>649</v>
      </c>
      <c r="G146" t="s">
        <v>649</v>
      </c>
      <c r="H146" s="3">
        <v>34897319.880000003</v>
      </c>
      <c r="I146" s="3">
        <v>33063128.379999999</v>
      </c>
      <c r="J146" s="3">
        <v>2347.79</v>
      </c>
      <c r="K146" s="4">
        <v>1744865.9939999999</v>
      </c>
      <c r="L146" s="4">
        <v>0.21257863200103319</v>
      </c>
      <c r="M146" s="3">
        <v>3</v>
      </c>
      <c r="N146" t="s">
        <v>727</v>
      </c>
      <c r="O146" t="s">
        <v>728</v>
      </c>
      <c r="P146" t="s">
        <v>684</v>
      </c>
    </row>
    <row r="147" spans="1:16" x14ac:dyDescent="0.4">
      <c r="A147" s="2">
        <v>45855</v>
      </c>
      <c r="B147" t="s">
        <v>31</v>
      </c>
      <c r="C147" t="s">
        <v>649</v>
      </c>
      <c r="D147" s="3" t="str">
        <f t="shared" si="4"/>
        <v>PASS</v>
      </c>
      <c r="E147" s="3" t="str">
        <f t="shared" si="5"/>
        <v>PASS</v>
      </c>
      <c r="F147" t="s">
        <v>649</v>
      </c>
      <c r="G147" t="s">
        <v>649</v>
      </c>
      <c r="H147" s="3">
        <v>23840865.23</v>
      </c>
      <c r="I147" s="3">
        <v>21753789.559999999</v>
      </c>
      <c r="J147" s="3">
        <v>1562.53</v>
      </c>
      <c r="K147" s="4">
        <v>1192043.2615</v>
      </c>
      <c r="L147" s="4">
        <v>0.21033714080564889</v>
      </c>
      <c r="M147" s="3">
        <v>3</v>
      </c>
      <c r="N147" t="s">
        <v>729</v>
      </c>
      <c r="O147" t="s">
        <v>693</v>
      </c>
      <c r="P147" t="s">
        <v>730</v>
      </c>
    </row>
    <row r="148" spans="1:16" x14ac:dyDescent="0.4">
      <c r="A148" s="2">
        <v>45855</v>
      </c>
      <c r="B148" t="s">
        <v>32</v>
      </c>
      <c r="C148" t="s">
        <v>649</v>
      </c>
      <c r="D148" s="3" t="e">
        <f t="shared" si="4"/>
        <v>#DIV/0!</v>
      </c>
      <c r="E148" s="3" t="str">
        <f t="shared" si="5"/>
        <v>PASS</v>
      </c>
      <c r="F148" t="s">
        <v>649</v>
      </c>
      <c r="G148" t="s">
        <v>649</v>
      </c>
      <c r="H148" s="3">
        <v>0</v>
      </c>
      <c r="I148" s="3">
        <v>3569052139.4400001</v>
      </c>
      <c r="J148" s="3">
        <v>0</v>
      </c>
      <c r="K148" s="4">
        <v>0</v>
      </c>
      <c r="L148" s="4">
        <v>0</v>
      </c>
      <c r="M148" s="3">
        <v>207</v>
      </c>
      <c r="N148" t="s">
        <v>659</v>
      </c>
      <c r="O148" t="s">
        <v>650</v>
      </c>
      <c r="P148" t="s">
        <v>650</v>
      </c>
    </row>
    <row r="149" spans="1:16" x14ac:dyDescent="0.4">
      <c r="A149" s="2">
        <v>45855</v>
      </c>
      <c r="B149" t="s">
        <v>33</v>
      </c>
      <c r="C149" t="s">
        <v>649</v>
      </c>
      <c r="D149" s="3" t="str">
        <f t="shared" si="4"/>
        <v>PASS</v>
      </c>
      <c r="E149" s="3" t="str">
        <f t="shared" si="5"/>
        <v>PASS</v>
      </c>
      <c r="F149" t="s">
        <v>649</v>
      </c>
      <c r="G149" t="s">
        <v>649</v>
      </c>
      <c r="H149" s="3">
        <v>15464614.029999999</v>
      </c>
      <c r="I149" s="3">
        <v>13743899.470000001</v>
      </c>
      <c r="J149" s="3">
        <v>988.49</v>
      </c>
      <c r="K149" s="4">
        <v>773230.70149999997</v>
      </c>
      <c r="L149" s="4">
        <v>0.21017143822786921</v>
      </c>
      <c r="M149" s="3">
        <v>3</v>
      </c>
      <c r="N149" t="s">
        <v>731</v>
      </c>
      <c r="O149" t="s">
        <v>693</v>
      </c>
      <c r="P149" t="s">
        <v>730</v>
      </c>
    </row>
    <row r="150" spans="1:16" x14ac:dyDescent="0.4">
      <c r="A150" s="2">
        <v>45855</v>
      </c>
      <c r="B150" t="s">
        <v>34</v>
      </c>
      <c r="C150" t="s">
        <v>649</v>
      </c>
      <c r="D150" s="3" t="e">
        <f t="shared" si="4"/>
        <v>#DIV/0!</v>
      </c>
      <c r="E150" s="3" t="str">
        <f t="shared" si="5"/>
        <v>PASS</v>
      </c>
      <c r="F150" t="s">
        <v>649</v>
      </c>
      <c r="G150" t="s">
        <v>649</v>
      </c>
      <c r="H150" s="3">
        <v>0</v>
      </c>
      <c r="I150" s="3">
        <v>3569052139.4400001</v>
      </c>
      <c r="J150" s="3">
        <v>0</v>
      </c>
      <c r="K150" s="4">
        <v>0</v>
      </c>
      <c r="L150" s="4">
        <v>0</v>
      </c>
      <c r="M150" s="3">
        <v>207</v>
      </c>
      <c r="N150" t="s">
        <v>659</v>
      </c>
      <c r="O150" t="s">
        <v>650</v>
      </c>
      <c r="P150" t="s">
        <v>650</v>
      </c>
    </row>
    <row r="151" spans="1:16" x14ac:dyDescent="0.4">
      <c r="A151" s="2">
        <v>45855</v>
      </c>
      <c r="B151" t="s">
        <v>35</v>
      </c>
      <c r="C151" t="s">
        <v>649</v>
      </c>
      <c r="D151" s="3" t="str">
        <f t="shared" si="4"/>
        <v>PASS</v>
      </c>
      <c r="E151" s="3" t="str">
        <f t="shared" si="5"/>
        <v>PASS</v>
      </c>
      <c r="F151" t="s">
        <v>649</v>
      </c>
      <c r="G151" t="s">
        <v>649</v>
      </c>
      <c r="H151" s="3">
        <v>137350114.94999999</v>
      </c>
      <c r="I151" s="3">
        <v>124627292.7</v>
      </c>
      <c r="J151" s="3">
        <v>8701.84</v>
      </c>
      <c r="K151" s="4">
        <v>6867505.7474999996</v>
      </c>
      <c r="L151" s="4">
        <v>0.2162127823213085</v>
      </c>
      <c r="M151" s="3">
        <v>3</v>
      </c>
      <c r="N151" t="s">
        <v>732</v>
      </c>
      <c r="O151" t="s">
        <v>724</v>
      </c>
      <c r="P151" t="s">
        <v>657</v>
      </c>
    </row>
    <row r="152" spans="1:16" x14ac:dyDescent="0.4">
      <c r="A152" s="2">
        <v>45855</v>
      </c>
      <c r="B152" t="s">
        <v>36</v>
      </c>
      <c r="C152" t="s">
        <v>649</v>
      </c>
      <c r="D152" s="3" t="str">
        <f t="shared" si="4"/>
        <v>PASS</v>
      </c>
      <c r="E152" s="3" t="str">
        <f t="shared" si="5"/>
        <v>PASS</v>
      </c>
      <c r="F152" t="s">
        <v>649</v>
      </c>
      <c r="G152" t="s">
        <v>649</v>
      </c>
      <c r="H152" s="3">
        <v>102708196.01000001</v>
      </c>
      <c r="I152" s="3">
        <v>92810847.570000008</v>
      </c>
      <c r="J152" s="3">
        <v>6717.28</v>
      </c>
      <c r="K152" s="4">
        <v>5135409.8005000008</v>
      </c>
      <c r="L152" s="4">
        <v>0.20875029364936001</v>
      </c>
      <c r="M152" s="3">
        <v>3</v>
      </c>
      <c r="N152" t="s">
        <v>733</v>
      </c>
      <c r="O152" t="s">
        <v>705</v>
      </c>
      <c r="P152" t="s">
        <v>734</v>
      </c>
    </row>
    <row r="153" spans="1:16" x14ac:dyDescent="0.4">
      <c r="A153" s="2">
        <v>45855</v>
      </c>
      <c r="B153" t="s">
        <v>37</v>
      </c>
      <c r="C153" t="s">
        <v>649</v>
      </c>
      <c r="D153" s="3" t="str">
        <f t="shared" si="4"/>
        <v>PASS</v>
      </c>
      <c r="E153" s="3" t="str">
        <f t="shared" si="5"/>
        <v>PASS</v>
      </c>
      <c r="F153" t="s">
        <v>649</v>
      </c>
      <c r="G153" t="s">
        <v>649</v>
      </c>
      <c r="H153" s="3">
        <v>40561608.82</v>
      </c>
      <c r="I153" s="3">
        <v>34895109.520000003</v>
      </c>
      <c r="J153" s="3">
        <v>2532.12</v>
      </c>
      <c r="K153" s="4">
        <v>2028080.4410000001</v>
      </c>
      <c r="L153" s="4">
        <v>0.20818244743486281</v>
      </c>
      <c r="M153" s="3">
        <v>3</v>
      </c>
      <c r="N153" t="s">
        <v>735</v>
      </c>
      <c r="O153" t="s">
        <v>705</v>
      </c>
      <c r="P153" t="s">
        <v>734</v>
      </c>
    </row>
    <row r="154" spans="1:16" x14ac:dyDescent="0.4">
      <c r="A154" s="2">
        <v>45855</v>
      </c>
      <c r="B154" t="s">
        <v>38</v>
      </c>
      <c r="C154" t="s">
        <v>649</v>
      </c>
      <c r="D154" s="3" t="str">
        <f t="shared" si="4"/>
        <v>PASS</v>
      </c>
      <c r="E154" s="3" t="str">
        <f t="shared" si="5"/>
        <v>PASS</v>
      </c>
      <c r="F154" t="s">
        <v>649</v>
      </c>
      <c r="G154" t="s">
        <v>649</v>
      </c>
      <c r="H154" s="3">
        <v>49190522.280000001</v>
      </c>
      <c r="I154" s="3">
        <v>42856577.659999996</v>
      </c>
      <c r="J154" s="3">
        <v>3002.29</v>
      </c>
      <c r="K154" s="4">
        <v>2459526.1140000001</v>
      </c>
      <c r="L154" s="4">
        <v>0.21548983256486751</v>
      </c>
      <c r="M154" s="3">
        <v>3</v>
      </c>
      <c r="N154" t="s">
        <v>736</v>
      </c>
      <c r="O154" t="s">
        <v>737</v>
      </c>
      <c r="P154" t="s">
        <v>657</v>
      </c>
    </row>
    <row r="155" spans="1:16" x14ac:dyDescent="0.4">
      <c r="A155" s="2">
        <v>45855</v>
      </c>
      <c r="B155" t="s">
        <v>39</v>
      </c>
      <c r="C155" t="s">
        <v>649</v>
      </c>
      <c r="D155" s="3" t="str">
        <f t="shared" si="4"/>
        <v>PASS</v>
      </c>
      <c r="E155" s="3" t="str">
        <f t="shared" si="5"/>
        <v>PASS</v>
      </c>
      <c r="F155" t="s">
        <v>649</v>
      </c>
      <c r="G155" t="s">
        <v>649</v>
      </c>
      <c r="H155" s="3">
        <v>79015994.519999996</v>
      </c>
      <c r="I155" s="3">
        <v>71354266.919999987</v>
      </c>
      <c r="J155" s="3">
        <v>5099.8999999999996</v>
      </c>
      <c r="K155" s="4">
        <v>3950799.7259999998</v>
      </c>
      <c r="L155" s="4">
        <v>0.21124698214584831</v>
      </c>
      <c r="M155" s="3">
        <v>3</v>
      </c>
      <c r="N155" t="s">
        <v>738</v>
      </c>
      <c r="O155" t="s">
        <v>693</v>
      </c>
      <c r="P155" t="s">
        <v>711</v>
      </c>
    </row>
    <row r="156" spans="1:16" x14ac:dyDescent="0.4">
      <c r="A156" s="2">
        <v>45856</v>
      </c>
      <c r="B156" t="s">
        <v>27</v>
      </c>
      <c r="C156" t="s">
        <v>649</v>
      </c>
      <c r="D156" s="3" t="str">
        <f t="shared" si="4"/>
        <v>PASS</v>
      </c>
      <c r="E156" s="3" t="str">
        <f t="shared" si="5"/>
        <v>PASS</v>
      </c>
      <c r="F156" t="s">
        <v>649</v>
      </c>
      <c r="G156" t="s">
        <v>649</v>
      </c>
      <c r="H156" s="3">
        <v>55318246.640000001</v>
      </c>
      <c r="I156" s="3">
        <v>50058719.090000004</v>
      </c>
      <c r="J156" s="3">
        <v>10892.1</v>
      </c>
      <c r="K156" s="4">
        <v>2765912.3319999999</v>
      </c>
      <c r="L156" s="4">
        <v>0</v>
      </c>
      <c r="M156" s="3">
        <v>0</v>
      </c>
      <c r="N156" t="s">
        <v>29</v>
      </c>
      <c r="O156" t="s">
        <v>701</v>
      </c>
      <c r="P156" t="s">
        <v>675</v>
      </c>
    </row>
    <row r="157" spans="1:16" x14ac:dyDescent="0.4">
      <c r="A157" s="2">
        <v>45856</v>
      </c>
      <c r="B157" t="s">
        <v>30</v>
      </c>
      <c r="C157" t="s">
        <v>649</v>
      </c>
      <c r="D157" s="3" t="str">
        <f t="shared" si="4"/>
        <v>PASS</v>
      </c>
      <c r="E157" s="3" t="str">
        <f t="shared" si="5"/>
        <v>PASS</v>
      </c>
      <c r="F157" t="s">
        <v>649</v>
      </c>
      <c r="G157" t="s">
        <v>649</v>
      </c>
      <c r="H157" s="3">
        <v>34885590.460000001</v>
      </c>
      <c r="I157" s="3">
        <v>33029624.190000001</v>
      </c>
      <c r="J157" s="3">
        <v>7057.86</v>
      </c>
      <c r="K157" s="4">
        <v>1744279.523</v>
      </c>
      <c r="L157" s="4">
        <v>0.21252749256698569</v>
      </c>
      <c r="M157" s="3">
        <v>3</v>
      </c>
      <c r="N157" t="s">
        <v>739</v>
      </c>
      <c r="O157" t="s">
        <v>740</v>
      </c>
      <c r="P157" t="s">
        <v>684</v>
      </c>
    </row>
    <row r="158" spans="1:16" x14ac:dyDescent="0.4">
      <c r="A158" s="2">
        <v>45856</v>
      </c>
      <c r="B158" t="s">
        <v>31</v>
      </c>
      <c r="C158" t="s">
        <v>649</v>
      </c>
      <c r="D158" s="3" t="str">
        <f t="shared" si="4"/>
        <v>PASS</v>
      </c>
      <c r="E158" s="3" t="str">
        <f t="shared" si="5"/>
        <v>PASS</v>
      </c>
      <c r="F158" t="s">
        <v>649</v>
      </c>
      <c r="G158" t="s">
        <v>649</v>
      </c>
      <c r="H158" s="3">
        <v>23831275.920000002</v>
      </c>
      <c r="I158" s="3">
        <v>21731736.620000001</v>
      </c>
      <c r="J158" s="3">
        <v>4694.34</v>
      </c>
      <c r="K158" s="4">
        <v>1191563.7960000001</v>
      </c>
      <c r="L158" s="4">
        <v>0.2103040106430642</v>
      </c>
      <c r="M158" s="3">
        <v>3</v>
      </c>
      <c r="N158" t="s">
        <v>741</v>
      </c>
      <c r="O158" t="s">
        <v>693</v>
      </c>
      <c r="P158" t="s">
        <v>706</v>
      </c>
    </row>
    <row r="159" spans="1:16" x14ac:dyDescent="0.4">
      <c r="A159" s="2">
        <v>45856</v>
      </c>
      <c r="B159" t="s">
        <v>32</v>
      </c>
      <c r="C159" t="s">
        <v>649</v>
      </c>
      <c r="D159" s="3" t="e">
        <f t="shared" si="4"/>
        <v>#DIV/0!</v>
      </c>
      <c r="E159" s="3" t="str">
        <f t="shared" si="5"/>
        <v>PASS</v>
      </c>
      <c r="F159" t="s">
        <v>649</v>
      </c>
      <c r="G159" t="s">
        <v>649</v>
      </c>
      <c r="H159" s="3">
        <v>0</v>
      </c>
      <c r="I159" s="3">
        <v>3565699925.2799988</v>
      </c>
      <c r="J159" s="3">
        <v>0</v>
      </c>
      <c r="K159" s="4">
        <v>0</v>
      </c>
      <c r="L159" s="4">
        <v>0</v>
      </c>
      <c r="M159" s="3">
        <v>207</v>
      </c>
      <c r="N159" t="s">
        <v>659</v>
      </c>
      <c r="O159" t="s">
        <v>650</v>
      </c>
      <c r="P159" t="s">
        <v>650</v>
      </c>
    </row>
    <row r="160" spans="1:16" x14ac:dyDescent="0.4">
      <c r="A160" s="2">
        <v>45856</v>
      </c>
      <c r="B160" t="s">
        <v>33</v>
      </c>
      <c r="C160" t="s">
        <v>649</v>
      </c>
      <c r="D160" s="3" t="str">
        <f t="shared" si="4"/>
        <v>PASS</v>
      </c>
      <c r="E160" s="3" t="str">
        <f t="shared" si="5"/>
        <v>PASS</v>
      </c>
      <c r="F160" t="s">
        <v>649</v>
      </c>
      <c r="G160" t="s">
        <v>649</v>
      </c>
      <c r="H160" s="3">
        <v>15460794.34</v>
      </c>
      <c r="I160" s="3">
        <v>13729960.560000001</v>
      </c>
      <c r="J160" s="3">
        <v>2969.34</v>
      </c>
      <c r="K160" s="4">
        <v>773039.71700000006</v>
      </c>
      <c r="L160" s="4">
        <v>0.21010365893472971</v>
      </c>
      <c r="M160" s="3">
        <v>3</v>
      </c>
      <c r="N160" t="s">
        <v>742</v>
      </c>
      <c r="O160" t="s">
        <v>697</v>
      </c>
      <c r="P160" t="s">
        <v>706</v>
      </c>
    </row>
    <row r="161" spans="1:16" x14ac:dyDescent="0.4">
      <c r="A161" s="2">
        <v>45856</v>
      </c>
      <c r="B161" t="s">
        <v>34</v>
      </c>
      <c r="C161" t="s">
        <v>649</v>
      </c>
      <c r="D161" s="3" t="e">
        <f t="shared" si="4"/>
        <v>#DIV/0!</v>
      </c>
      <c r="E161" s="3" t="str">
        <f t="shared" si="5"/>
        <v>PASS</v>
      </c>
      <c r="F161" t="s">
        <v>649</v>
      </c>
      <c r="G161" t="s">
        <v>649</v>
      </c>
      <c r="H161" s="3">
        <v>0</v>
      </c>
      <c r="I161" s="3">
        <v>3565699925.2799988</v>
      </c>
      <c r="J161" s="3">
        <v>0</v>
      </c>
      <c r="K161" s="4">
        <v>0</v>
      </c>
      <c r="L161" s="4">
        <v>0</v>
      </c>
      <c r="M161" s="3">
        <v>207</v>
      </c>
      <c r="N161" t="s">
        <v>659</v>
      </c>
      <c r="O161" t="s">
        <v>650</v>
      </c>
      <c r="P161" t="s">
        <v>650</v>
      </c>
    </row>
    <row r="162" spans="1:16" x14ac:dyDescent="0.4">
      <c r="A162" s="2">
        <v>45856</v>
      </c>
      <c r="B162" t="s">
        <v>35</v>
      </c>
      <c r="C162" t="s">
        <v>649</v>
      </c>
      <c r="D162" s="3" t="str">
        <f t="shared" si="4"/>
        <v>PASS</v>
      </c>
      <c r="E162" s="3" t="str">
        <f t="shared" si="5"/>
        <v>PASS</v>
      </c>
      <c r="F162" t="s">
        <v>649</v>
      </c>
      <c r="G162" t="s">
        <v>649</v>
      </c>
      <c r="H162" s="3">
        <v>137320890.16999999</v>
      </c>
      <c r="I162" s="3">
        <v>124500916.59</v>
      </c>
      <c r="J162" s="3">
        <v>26151.51</v>
      </c>
      <c r="K162" s="4">
        <v>6866044.5085000005</v>
      </c>
      <c r="L162" s="4">
        <v>0.21613511234576041</v>
      </c>
      <c r="M162" s="3">
        <v>3</v>
      </c>
      <c r="N162" t="s">
        <v>743</v>
      </c>
      <c r="O162" t="s">
        <v>744</v>
      </c>
      <c r="P162" t="s">
        <v>657</v>
      </c>
    </row>
    <row r="163" spans="1:16" x14ac:dyDescent="0.4">
      <c r="A163" s="2">
        <v>45856</v>
      </c>
      <c r="B163" t="s">
        <v>36</v>
      </c>
      <c r="C163" t="s">
        <v>649</v>
      </c>
      <c r="D163" s="3" t="str">
        <f t="shared" si="4"/>
        <v>PASS</v>
      </c>
      <c r="E163" s="3" t="str">
        <f t="shared" si="5"/>
        <v>PASS</v>
      </c>
      <c r="F163" t="s">
        <v>649</v>
      </c>
      <c r="G163" t="s">
        <v>649</v>
      </c>
      <c r="H163" s="3">
        <v>102700777.92</v>
      </c>
      <c r="I163" s="3">
        <v>92716746.569999993</v>
      </c>
      <c r="J163" s="3">
        <v>20172.240000000002</v>
      </c>
      <c r="K163" s="4">
        <v>5135038.8960000006</v>
      </c>
      <c r="L163" s="4">
        <v>0.20864120878723491</v>
      </c>
      <c r="M163" s="3">
        <v>3</v>
      </c>
      <c r="N163" t="s">
        <v>745</v>
      </c>
      <c r="O163" t="s">
        <v>705</v>
      </c>
      <c r="P163" t="s">
        <v>711</v>
      </c>
    </row>
    <row r="164" spans="1:16" x14ac:dyDescent="0.4">
      <c r="A164" s="2">
        <v>45856</v>
      </c>
      <c r="B164" t="s">
        <v>37</v>
      </c>
      <c r="C164" t="s">
        <v>649</v>
      </c>
      <c r="D164" s="3" t="str">
        <f t="shared" si="4"/>
        <v>PASS</v>
      </c>
      <c r="E164" s="3" t="str">
        <f t="shared" si="5"/>
        <v>PASS</v>
      </c>
      <c r="F164" t="s">
        <v>649</v>
      </c>
      <c r="G164" t="s">
        <v>649</v>
      </c>
      <c r="H164" s="3">
        <v>40560421.240000002</v>
      </c>
      <c r="I164" s="3">
        <v>34859680.869999997</v>
      </c>
      <c r="J164" s="3">
        <v>7606.08</v>
      </c>
      <c r="K164" s="4">
        <v>2028021.0619999999</v>
      </c>
      <c r="L164" s="4">
        <v>0.20806406213621431</v>
      </c>
      <c r="M164" s="3">
        <v>3</v>
      </c>
      <c r="N164" t="s">
        <v>746</v>
      </c>
      <c r="O164" t="s">
        <v>705</v>
      </c>
      <c r="P164" t="s">
        <v>711</v>
      </c>
    </row>
    <row r="165" spans="1:16" x14ac:dyDescent="0.4">
      <c r="A165" s="2">
        <v>45856</v>
      </c>
      <c r="B165" t="s">
        <v>38</v>
      </c>
      <c r="C165" t="s">
        <v>649</v>
      </c>
      <c r="D165" s="3" t="str">
        <f t="shared" si="4"/>
        <v>PASS</v>
      </c>
      <c r="E165" s="3" t="str">
        <f t="shared" si="5"/>
        <v>PASS</v>
      </c>
      <c r="F165" t="s">
        <v>649</v>
      </c>
      <c r="G165" t="s">
        <v>649</v>
      </c>
      <c r="H165" s="3">
        <v>49180956.75</v>
      </c>
      <c r="I165" s="3">
        <v>42813133.390000001</v>
      </c>
      <c r="J165" s="3">
        <v>9024.36</v>
      </c>
      <c r="K165" s="4">
        <v>2459047.8374999999</v>
      </c>
      <c r="L165" s="4">
        <v>0.21540971615820459</v>
      </c>
      <c r="M165" s="3">
        <v>3</v>
      </c>
      <c r="N165" t="s">
        <v>747</v>
      </c>
      <c r="O165" t="s">
        <v>748</v>
      </c>
      <c r="P165" t="s">
        <v>657</v>
      </c>
    </row>
    <row r="166" spans="1:16" x14ac:dyDescent="0.4">
      <c r="A166" s="2">
        <v>45856</v>
      </c>
      <c r="B166" t="s">
        <v>39</v>
      </c>
      <c r="C166" t="s">
        <v>649</v>
      </c>
      <c r="D166" s="3" t="str">
        <f t="shared" si="4"/>
        <v>PASS</v>
      </c>
      <c r="E166" s="3" t="str">
        <f t="shared" si="5"/>
        <v>PASS</v>
      </c>
      <c r="F166" t="s">
        <v>649</v>
      </c>
      <c r="G166" t="s">
        <v>649</v>
      </c>
      <c r="H166" s="3">
        <v>78992388.469999999</v>
      </c>
      <c r="I166" s="3">
        <v>71281918.189999998</v>
      </c>
      <c r="J166" s="3">
        <v>15325.62</v>
      </c>
      <c r="K166" s="4">
        <v>3949619.4235</v>
      </c>
      <c r="L166" s="4">
        <v>0.21119054989810071</v>
      </c>
      <c r="M166" s="3">
        <v>3</v>
      </c>
      <c r="N166" t="s">
        <v>749</v>
      </c>
      <c r="O166" t="s">
        <v>693</v>
      </c>
      <c r="P166" t="s">
        <v>668</v>
      </c>
    </row>
    <row r="167" spans="1:16" x14ac:dyDescent="0.4">
      <c r="A167" s="2">
        <v>45859</v>
      </c>
      <c r="B167" t="s">
        <v>27</v>
      </c>
      <c r="C167" t="s">
        <v>649</v>
      </c>
      <c r="D167" s="3" t="str">
        <f t="shared" si="4"/>
        <v>PASS</v>
      </c>
      <c r="E167" s="3" t="str">
        <f t="shared" si="5"/>
        <v>PASS</v>
      </c>
      <c r="F167" t="s">
        <v>649</v>
      </c>
      <c r="G167" t="s">
        <v>649</v>
      </c>
      <c r="H167" s="3">
        <v>55216439.420000002</v>
      </c>
      <c r="I167" s="3">
        <v>50326458.236000001</v>
      </c>
      <c r="J167" s="3">
        <v>3635.37</v>
      </c>
      <c r="K167" s="4">
        <v>2760821.9709999999</v>
      </c>
      <c r="L167" s="4">
        <v>0</v>
      </c>
      <c r="M167" s="3">
        <v>0</v>
      </c>
      <c r="N167" t="s">
        <v>29</v>
      </c>
      <c r="O167" t="s">
        <v>716</v>
      </c>
      <c r="P167" t="s">
        <v>750</v>
      </c>
    </row>
    <row r="168" spans="1:16" x14ac:dyDescent="0.4">
      <c r="A168" s="2">
        <v>45859</v>
      </c>
      <c r="B168" t="s">
        <v>30</v>
      </c>
      <c r="C168" t="s">
        <v>649</v>
      </c>
      <c r="D168" s="3" t="str">
        <f t="shared" si="4"/>
        <v>PASS</v>
      </c>
      <c r="E168" s="3" t="str">
        <f t="shared" si="5"/>
        <v>PASS</v>
      </c>
      <c r="F168" t="s">
        <v>649</v>
      </c>
      <c r="G168" t="s">
        <v>649</v>
      </c>
      <c r="H168" s="3">
        <v>34956461.579999998</v>
      </c>
      <c r="I168" s="3">
        <v>33167357.868999999</v>
      </c>
      <c r="J168" s="3">
        <v>2351.25</v>
      </c>
      <c r="K168" s="4">
        <v>1747823.0789999999</v>
      </c>
      <c r="L168" s="4">
        <v>0.21167685195160971</v>
      </c>
      <c r="M168" s="3">
        <v>3</v>
      </c>
      <c r="N168" t="s">
        <v>751</v>
      </c>
      <c r="O168" t="s">
        <v>665</v>
      </c>
      <c r="P168" t="s">
        <v>740</v>
      </c>
    </row>
    <row r="169" spans="1:16" x14ac:dyDescent="0.4">
      <c r="A169" s="2">
        <v>45859</v>
      </c>
      <c r="B169" t="s">
        <v>31</v>
      </c>
      <c r="C169" t="s">
        <v>649</v>
      </c>
      <c r="D169" s="3" t="str">
        <f t="shared" si="4"/>
        <v>PASS</v>
      </c>
      <c r="E169" s="3" t="str">
        <f t="shared" si="5"/>
        <v>PASS</v>
      </c>
      <c r="F169" t="s">
        <v>649</v>
      </c>
      <c r="G169" t="s">
        <v>649</v>
      </c>
      <c r="H169" s="3">
        <v>23876842.84</v>
      </c>
      <c r="I169" s="3">
        <v>21809876.215999998</v>
      </c>
      <c r="J169" s="3">
        <v>1563.75</v>
      </c>
      <c r="K169" s="4">
        <v>1193842.142</v>
      </c>
      <c r="L169" s="4">
        <v>0.20953139153391251</v>
      </c>
      <c r="M169" s="3">
        <v>3</v>
      </c>
      <c r="N169" t="s">
        <v>752</v>
      </c>
      <c r="O169" t="s">
        <v>753</v>
      </c>
      <c r="P169" t="s">
        <v>730</v>
      </c>
    </row>
    <row r="170" spans="1:16" x14ac:dyDescent="0.4">
      <c r="A170" s="2">
        <v>45859</v>
      </c>
      <c r="B170" t="s">
        <v>32</v>
      </c>
      <c r="C170" t="s">
        <v>649</v>
      </c>
      <c r="D170" s="3" t="e">
        <f t="shared" si="4"/>
        <v>#DIV/0!</v>
      </c>
      <c r="E170" s="3" t="str">
        <f t="shared" si="5"/>
        <v>PASS</v>
      </c>
      <c r="F170" t="s">
        <v>649</v>
      </c>
      <c r="G170" t="s">
        <v>649</v>
      </c>
      <c r="H170" s="3">
        <v>0</v>
      </c>
      <c r="I170" s="3">
        <v>3268066896.7750001</v>
      </c>
      <c r="J170" s="3">
        <v>0</v>
      </c>
      <c r="K170" s="4">
        <v>0</v>
      </c>
      <c r="L170" s="4">
        <v>0</v>
      </c>
      <c r="M170" s="3">
        <v>207</v>
      </c>
      <c r="N170" t="s">
        <v>659</v>
      </c>
      <c r="O170" t="s">
        <v>650</v>
      </c>
      <c r="P170" t="s">
        <v>650</v>
      </c>
    </row>
    <row r="171" spans="1:16" x14ac:dyDescent="0.4">
      <c r="A171" s="2">
        <v>45859</v>
      </c>
      <c r="B171" t="s">
        <v>33</v>
      </c>
      <c r="C171" t="s">
        <v>649</v>
      </c>
      <c r="D171" s="3" t="str">
        <f t="shared" si="4"/>
        <v>PASS</v>
      </c>
      <c r="E171" s="3" t="str">
        <f t="shared" si="5"/>
        <v>PASS</v>
      </c>
      <c r="F171" t="s">
        <v>649</v>
      </c>
      <c r="G171" t="s">
        <v>649</v>
      </c>
      <c r="H171" s="3">
        <v>15489836.689999999</v>
      </c>
      <c r="I171" s="3">
        <v>13782690.998</v>
      </c>
      <c r="J171" s="3">
        <v>989.28</v>
      </c>
      <c r="K171" s="4">
        <v>774491.8345</v>
      </c>
      <c r="L171" s="4">
        <v>0.20937670509780851</v>
      </c>
      <c r="M171" s="3">
        <v>3</v>
      </c>
      <c r="N171" t="s">
        <v>754</v>
      </c>
      <c r="O171" t="s">
        <v>753</v>
      </c>
      <c r="P171" t="s">
        <v>730</v>
      </c>
    </row>
    <row r="172" spans="1:16" x14ac:dyDescent="0.4">
      <c r="A172" s="2">
        <v>45859</v>
      </c>
      <c r="B172" t="s">
        <v>34</v>
      </c>
      <c r="C172" t="s">
        <v>649</v>
      </c>
      <c r="D172" s="3" t="e">
        <f t="shared" si="4"/>
        <v>#DIV/0!</v>
      </c>
      <c r="E172" s="3" t="str">
        <f t="shared" si="5"/>
        <v>PASS</v>
      </c>
      <c r="F172" t="s">
        <v>649</v>
      </c>
      <c r="G172" t="s">
        <v>649</v>
      </c>
      <c r="H172" s="3">
        <v>0</v>
      </c>
      <c r="I172" s="3">
        <v>3268066896.7750001</v>
      </c>
      <c r="J172" s="3">
        <v>0</v>
      </c>
      <c r="K172" s="4">
        <v>0</v>
      </c>
      <c r="L172" s="4">
        <v>0</v>
      </c>
      <c r="M172" s="3">
        <v>207</v>
      </c>
      <c r="N172" t="s">
        <v>659</v>
      </c>
      <c r="O172" t="s">
        <v>650</v>
      </c>
      <c r="P172" t="s">
        <v>650</v>
      </c>
    </row>
    <row r="173" spans="1:16" x14ac:dyDescent="0.4">
      <c r="A173" s="2">
        <v>45859</v>
      </c>
      <c r="B173" t="s">
        <v>35</v>
      </c>
      <c r="C173" t="s">
        <v>649</v>
      </c>
      <c r="D173" s="3" t="str">
        <f t="shared" si="4"/>
        <v>PASS</v>
      </c>
      <c r="E173" s="3" t="str">
        <f t="shared" si="5"/>
        <v>PASS</v>
      </c>
      <c r="F173" t="s">
        <v>649</v>
      </c>
      <c r="G173" t="s">
        <v>649</v>
      </c>
      <c r="H173" s="3">
        <v>137595285.30000001</v>
      </c>
      <c r="I173" s="3">
        <v>124872106.624</v>
      </c>
      <c r="J173" s="3">
        <v>8713.15</v>
      </c>
      <c r="K173" s="4">
        <v>6879764.2650000006</v>
      </c>
      <c r="L173" s="4">
        <v>0.21523385229040881</v>
      </c>
      <c r="M173" s="3">
        <v>3</v>
      </c>
      <c r="N173" t="s">
        <v>755</v>
      </c>
      <c r="O173" t="s">
        <v>673</v>
      </c>
      <c r="P173" t="s">
        <v>744</v>
      </c>
    </row>
    <row r="174" spans="1:16" x14ac:dyDescent="0.4">
      <c r="A174" s="2">
        <v>45859</v>
      </c>
      <c r="B174" t="s">
        <v>36</v>
      </c>
      <c r="C174" t="s">
        <v>649</v>
      </c>
      <c r="D174" s="3" t="str">
        <f t="shared" si="4"/>
        <v>PASS</v>
      </c>
      <c r="E174" s="3" t="str">
        <f t="shared" si="5"/>
        <v>PASS</v>
      </c>
      <c r="F174" t="s">
        <v>649</v>
      </c>
      <c r="G174" t="s">
        <v>649</v>
      </c>
      <c r="H174" s="3">
        <v>102882373.98</v>
      </c>
      <c r="I174" s="3">
        <v>93005935.585999995</v>
      </c>
      <c r="J174" s="3">
        <v>6722.08</v>
      </c>
      <c r="K174" s="4">
        <v>5144118.699000001</v>
      </c>
      <c r="L174" s="4">
        <v>0.20783624337627671</v>
      </c>
      <c r="M174" s="3">
        <v>3</v>
      </c>
      <c r="N174" t="s">
        <v>756</v>
      </c>
      <c r="O174" t="s">
        <v>757</v>
      </c>
      <c r="P174" t="s">
        <v>734</v>
      </c>
    </row>
    <row r="175" spans="1:16" x14ac:dyDescent="0.4">
      <c r="A175" s="2">
        <v>45859</v>
      </c>
      <c r="B175" t="s">
        <v>37</v>
      </c>
      <c r="C175" t="s">
        <v>649</v>
      </c>
      <c r="D175" s="3" t="str">
        <f t="shared" si="4"/>
        <v>PASS</v>
      </c>
      <c r="E175" s="3" t="str">
        <f t="shared" si="5"/>
        <v>PASS</v>
      </c>
      <c r="F175" t="s">
        <v>649</v>
      </c>
      <c r="G175" t="s">
        <v>649</v>
      </c>
      <c r="H175" s="3">
        <v>40640201.759999998</v>
      </c>
      <c r="I175" s="3">
        <v>34996450.255000003</v>
      </c>
      <c r="J175" s="3">
        <v>2534.73</v>
      </c>
      <c r="K175" s="4">
        <v>2032010.088</v>
      </c>
      <c r="L175" s="4">
        <v>0.20738157255254269</v>
      </c>
      <c r="M175" s="3">
        <v>3</v>
      </c>
      <c r="N175" t="s">
        <v>758</v>
      </c>
      <c r="O175" t="s">
        <v>759</v>
      </c>
      <c r="P175" t="s">
        <v>734</v>
      </c>
    </row>
    <row r="176" spans="1:16" x14ac:dyDescent="0.4">
      <c r="A176" s="2">
        <v>45859</v>
      </c>
      <c r="B176" t="s">
        <v>38</v>
      </c>
      <c r="C176" t="s">
        <v>649</v>
      </c>
      <c r="D176" s="3" t="str">
        <f t="shared" si="4"/>
        <v>PASS</v>
      </c>
      <c r="E176" s="3" t="str">
        <f t="shared" si="5"/>
        <v>PASS</v>
      </c>
      <c r="F176" t="s">
        <v>649</v>
      </c>
      <c r="G176" t="s">
        <v>649</v>
      </c>
      <c r="H176" s="3">
        <v>49284490.960000001</v>
      </c>
      <c r="I176" s="3">
        <v>42951814.871000007</v>
      </c>
      <c r="J176" s="3">
        <v>3006.77</v>
      </c>
      <c r="K176" s="4">
        <v>2464224.548</v>
      </c>
      <c r="L176" s="4">
        <v>0.21463041271001551</v>
      </c>
      <c r="M176" s="3">
        <v>3</v>
      </c>
      <c r="N176" t="s">
        <v>760</v>
      </c>
      <c r="O176" t="s">
        <v>657</v>
      </c>
      <c r="P176" t="s">
        <v>748</v>
      </c>
    </row>
    <row r="177" spans="1:16" x14ac:dyDescent="0.4">
      <c r="A177" s="2">
        <v>45859</v>
      </c>
      <c r="B177" t="s">
        <v>39</v>
      </c>
      <c r="C177" t="s">
        <v>649</v>
      </c>
      <c r="D177" s="3" t="str">
        <f t="shared" si="4"/>
        <v>PASS</v>
      </c>
      <c r="E177" s="3" t="str">
        <f t="shared" si="5"/>
        <v>PASS</v>
      </c>
      <c r="F177" t="s">
        <v>649</v>
      </c>
      <c r="G177" t="s">
        <v>649</v>
      </c>
      <c r="H177" s="3">
        <v>79154239.280000001</v>
      </c>
      <c r="I177" s="3">
        <v>71543928.640000015</v>
      </c>
      <c r="J177" s="3">
        <v>5105.72</v>
      </c>
      <c r="K177" s="4">
        <v>3957711.9640000002</v>
      </c>
      <c r="L177" s="4">
        <v>0.21044743043517361</v>
      </c>
      <c r="M177" s="3">
        <v>3</v>
      </c>
      <c r="N177" t="s">
        <v>761</v>
      </c>
      <c r="O177" t="s">
        <v>684</v>
      </c>
      <c r="P177" t="s">
        <v>762</v>
      </c>
    </row>
    <row r="178" spans="1:16" x14ac:dyDescent="0.4">
      <c r="A178" s="2">
        <v>45860</v>
      </c>
      <c r="B178" t="s">
        <v>27</v>
      </c>
      <c r="C178" t="s">
        <v>649</v>
      </c>
      <c r="D178" s="3" t="str">
        <f t="shared" si="4"/>
        <v>PASS</v>
      </c>
      <c r="E178" s="3" t="str">
        <f t="shared" si="5"/>
        <v>PASS</v>
      </c>
      <c r="F178" t="s">
        <v>649</v>
      </c>
      <c r="G178" t="s">
        <v>649</v>
      </c>
      <c r="H178" s="3">
        <v>55875916.729999997</v>
      </c>
      <c r="I178" s="3">
        <v>50511206.226000004</v>
      </c>
      <c r="J178" s="3">
        <v>3627.26</v>
      </c>
      <c r="K178" s="4">
        <v>2793795.8365000002</v>
      </c>
      <c r="L178" s="4">
        <v>0</v>
      </c>
      <c r="M178" s="3">
        <v>0</v>
      </c>
      <c r="N178" t="s">
        <v>29</v>
      </c>
      <c r="O178" t="s">
        <v>763</v>
      </c>
      <c r="P178" t="s">
        <v>675</v>
      </c>
    </row>
    <row r="179" spans="1:16" x14ac:dyDescent="0.4">
      <c r="A179" s="2">
        <v>45860</v>
      </c>
      <c r="B179" t="s">
        <v>30</v>
      </c>
      <c r="C179" t="s">
        <v>649</v>
      </c>
      <c r="D179" s="3" t="str">
        <f t="shared" si="4"/>
        <v>PASS</v>
      </c>
      <c r="E179" s="3" t="str">
        <f t="shared" si="5"/>
        <v>PASS</v>
      </c>
      <c r="F179" t="s">
        <v>649</v>
      </c>
      <c r="G179" t="s">
        <v>649</v>
      </c>
      <c r="H179" s="3">
        <v>34938997.82</v>
      </c>
      <c r="I179" s="3">
        <v>32874827.471000001</v>
      </c>
      <c r="J179" s="3">
        <v>2356.2399999999998</v>
      </c>
      <c r="K179" s="4">
        <v>1746949.8910000001</v>
      </c>
      <c r="L179" s="4">
        <v>0.20920669756089719</v>
      </c>
      <c r="M179" s="3">
        <v>3</v>
      </c>
      <c r="N179" t="s">
        <v>764</v>
      </c>
      <c r="O179" t="s">
        <v>684</v>
      </c>
      <c r="P179" t="s">
        <v>668</v>
      </c>
    </row>
    <row r="180" spans="1:16" x14ac:dyDescent="0.4">
      <c r="A180" s="2">
        <v>45860</v>
      </c>
      <c r="B180" t="s">
        <v>31</v>
      </c>
      <c r="C180" t="s">
        <v>649</v>
      </c>
      <c r="D180" s="3" t="str">
        <f t="shared" si="4"/>
        <v>PASS</v>
      </c>
      <c r="E180" s="3" t="str">
        <f t="shared" si="5"/>
        <v>PASS</v>
      </c>
      <c r="F180" t="s">
        <v>649</v>
      </c>
      <c r="G180" t="s">
        <v>649</v>
      </c>
      <c r="H180" s="3">
        <v>23867579.609999999</v>
      </c>
      <c r="I180" s="3">
        <v>21635257.441</v>
      </c>
      <c r="J180" s="3">
        <v>1566.73</v>
      </c>
      <c r="K180" s="4">
        <v>1193378.9805000001</v>
      </c>
      <c r="L180" s="4">
        <v>0.20706372610270399</v>
      </c>
      <c r="M180" s="3">
        <v>3</v>
      </c>
      <c r="N180" t="s">
        <v>765</v>
      </c>
      <c r="O180" t="s">
        <v>697</v>
      </c>
      <c r="P180" t="s">
        <v>706</v>
      </c>
    </row>
    <row r="181" spans="1:16" x14ac:dyDescent="0.4">
      <c r="A181" s="2">
        <v>45860</v>
      </c>
      <c r="B181" t="s">
        <v>32</v>
      </c>
      <c r="C181" t="s">
        <v>649</v>
      </c>
      <c r="D181" s="3" t="e">
        <f t="shared" si="4"/>
        <v>#DIV/0!</v>
      </c>
      <c r="E181" s="3" t="str">
        <f t="shared" si="5"/>
        <v>PASS</v>
      </c>
      <c r="F181" t="s">
        <v>649</v>
      </c>
      <c r="G181" t="s">
        <v>649</v>
      </c>
      <c r="H181" s="3">
        <v>0</v>
      </c>
      <c r="I181" s="3">
        <v>3205855676.2589998</v>
      </c>
      <c r="J181" s="3">
        <v>0</v>
      </c>
      <c r="K181" s="4">
        <v>0</v>
      </c>
      <c r="L181" s="4">
        <v>0</v>
      </c>
      <c r="M181" s="3">
        <v>207</v>
      </c>
      <c r="N181" t="s">
        <v>659</v>
      </c>
      <c r="O181" t="s">
        <v>650</v>
      </c>
      <c r="P181" t="s">
        <v>650</v>
      </c>
    </row>
    <row r="182" spans="1:16" x14ac:dyDescent="0.4">
      <c r="A182" s="2">
        <v>45860</v>
      </c>
      <c r="B182" t="s">
        <v>33</v>
      </c>
      <c r="C182" t="s">
        <v>649</v>
      </c>
      <c r="D182" s="3" t="str">
        <f t="shared" si="4"/>
        <v>PASS</v>
      </c>
      <c r="E182" s="3" t="str">
        <f t="shared" si="5"/>
        <v>PASS</v>
      </c>
      <c r="F182" t="s">
        <v>649</v>
      </c>
      <c r="G182" t="s">
        <v>649</v>
      </c>
      <c r="H182" s="3">
        <v>15485520.210000001</v>
      </c>
      <c r="I182" s="3">
        <v>13678210.846000001</v>
      </c>
      <c r="J182" s="3">
        <v>991.44</v>
      </c>
      <c r="K182" s="4">
        <v>774276.01050000009</v>
      </c>
      <c r="L182" s="4">
        <v>0.206887555010698</v>
      </c>
      <c r="M182" s="3">
        <v>3</v>
      </c>
      <c r="N182" t="s">
        <v>766</v>
      </c>
      <c r="O182" t="s">
        <v>697</v>
      </c>
      <c r="P182" t="s">
        <v>706</v>
      </c>
    </row>
    <row r="183" spans="1:16" x14ac:dyDescent="0.4">
      <c r="A183" s="2">
        <v>45860</v>
      </c>
      <c r="B183" t="s">
        <v>34</v>
      </c>
      <c r="C183" t="s">
        <v>649</v>
      </c>
      <c r="D183" s="3" t="e">
        <f t="shared" si="4"/>
        <v>#DIV/0!</v>
      </c>
      <c r="E183" s="3" t="str">
        <f t="shared" si="5"/>
        <v>PASS</v>
      </c>
      <c r="F183" t="s">
        <v>649</v>
      </c>
      <c r="G183" t="s">
        <v>649</v>
      </c>
      <c r="H183" s="3">
        <v>0</v>
      </c>
      <c r="I183" s="3">
        <v>3205855676.2589998</v>
      </c>
      <c r="J183" s="3">
        <v>0</v>
      </c>
      <c r="K183" s="4">
        <v>0</v>
      </c>
      <c r="L183" s="4">
        <v>0</v>
      </c>
      <c r="M183" s="3">
        <v>207</v>
      </c>
      <c r="N183" t="s">
        <v>659</v>
      </c>
      <c r="O183" t="s">
        <v>650</v>
      </c>
      <c r="P183" t="s">
        <v>650</v>
      </c>
    </row>
    <row r="184" spans="1:16" x14ac:dyDescent="0.4">
      <c r="A184" s="2">
        <v>45860</v>
      </c>
      <c r="B184" t="s">
        <v>35</v>
      </c>
      <c r="C184" t="s">
        <v>649</v>
      </c>
      <c r="D184" s="3" t="str">
        <f t="shared" si="4"/>
        <v>PASS</v>
      </c>
      <c r="E184" s="3" t="str">
        <f t="shared" si="5"/>
        <v>PASS</v>
      </c>
      <c r="F184" t="s">
        <v>649</v>
      </c>
      <c r="G184" t="s">
        <v>649</v>
      </c>
      <c r="H184" s="3">
        <v>137553621.34</v>
      </c>
      <c r="I184" s="3">
        <v>123925628.31</v>
      </c>
      <c r="J184" s="3">
        <v>8732.75</v>
      </c>
      <c r="K184" s="4">
        <v>6877681.0670000007</v>
      </c>
      <c r="L184" s="4">
        <v>0.2126813899744196</v>
      </c>
      <c r="M184" s="3">
        <v>3</v>
      </c>
      <c r="N184" t="s">
        <v>767</v>
      </c>
      <c r="O184" t="s">
        <v>748</v>
      </c>
      <c r="P184" t="s">
        <v>657</v>
      </c>
    </row>
    <row r="185" spans="1:16" x14ac:dyDescent="0.4">
      <c r="A185" s="2">
        <v>45860</v>
      </c>
      <c r="B185" t="s">
        <v>36</v>
      </c>
      <c r="C185" t="s">
        <v>649</v>
      </c>
      <c r="D185" s="3" t="str">
        <f t="shared" si="4"/>
        <v>PASS</v>
      </c>
      <c r="E185" s="3" t="str">
        <f t="shared" si="5"/>
        <v>PASS</v>
      </c>
      <c r="F185" t="s">
        <v>649</v>
      </c>
      <c r="G185" t="s">
        <v>649</v>
      </c>
      <c r="H185" s="3">
        <v>102849408.63</v>
      </c>
      <c r="I185" s="3">
        <v>92289949.315999985</v>
      </c>
      <c r="J185" s="3">
        <v>6735.01</v>
      </c>
      <c r="K185" s="4">
        <v>5142470.4314999999</v>
      </c>
      <c r="L185" s="4">
        <v>0.20537335229516149</v>
      </c>
      <c r="M185" s="3">
        <v>3</v>
      </c>
      <c r="N185" t="s">
        <v>768</v>
      </c>
      <c r="O185" t="s">
        <v>705</v>
      </c>
      <c r="P185" t="s">
        <v>730</v>
      </c>
    </row>
    <row r="186" spans="1:16" x14ac:dyDescent="0.4">
      <c r="A186" s="2">
        <v>45860</v>
      </c>
      <c r="B186" t="s">
        <v>37</v>
      </c>
      <c r="C186" t="s">
        <v>649</v>
      </c>
      <c r="D186" s="3" t="str">
        <f t="shared" si="4"/>
        <v>PASS</v>
      </c>
      <c r="E186" s="3" t="str">
        <f t="shared" si="5"/>
        <v>PASS</v>
      </c>
      <c r="F186" t="s">
        <v>649</v>
      </c>
      <c r="G186" t="s">
        <v>649</v>
      </c>
      <c r="H186" s="3">
        <v>40629855.560000002</v>
      </c>
      <c r="I186" s="3">
        <v>34728198.207999997</v>
      </c>
      <c r="J186" s="3">
        <v>2540.25</v>
      </c>
      <c r="K186" s="4">
        <v>2031492.7779999999</v>
      </c>
      <c r="L186" s="4">
        <v>0.20491182133231839</v>
      </c>
      <c r="M186" s="3">
        <v>3</v>
      </c>
      <c r="N186" t="s">
        <v>769</v>
      </c>
      <c r="O186" t="s">
        <v>705</v>
      </c>
      <c r="P186" t="s">
        <v>730</v>
      </c>
    </row>
    <row r="187" spans="1:16" x14ac:dyDescent="0.4">
      <c r="A187" s="2">
        <v>45860</v>
      </c>
      <c r="B187" t="s">
        <v>38</v>
      </c>
      <c r="C187" t="s">
        <v>649</v>
      </c>
      <c r="D187" s="3" t="str">
        <f t="shared" si="4"/>
        <v>PASS</v>
      </c>
      <c r="E187" s="3" t="str">
        <f t="shared" si="5"/>
        <v>PASS</v>
      </c>
      <c r="F187" t="s">
        <v>649</v>
      </c>
      <c r="G187" t="s">
        <v>649</v>
      </c>
      <c r="H187" s="3">
        <v>48287877.990000002</v>
      </c>
      <c r="I187" s="3">
        <v>37700223.188000001</v>
      </c>
      <c r="J187" s="3">
        <v>3014.04</v>
      </c>
      <c r="K187" s="4">
        <v>2414393.8994999998</v>
      </c>
      <c r="L187" s="4">
        <v>0.1329849863207957</v>
      </c>
      <c r="M187" s="3">
        <v>2</v>
      </c>
      <c r="N187" t="s">
        <v>770</v>
      </c>
      <c r="O187" t="s">
        <v>771</v>
      </c>
      <c r="P187" t="s">
        <v>772</v>
      </c>
    </row>
    <row r="188" spans="1:16" x14ac:dyDescent="0.4">
      <c r="A188" s="2">
        <v>45860</v>
      </c>
      <c r="B188" t="s">
        <v>39</v>
      </c>
      <c r="C188" t="s">
        <v>649</v>
      </c>
      <c r="D188" s="3" t="str">
        <f t="shared" si="4"/>
        <v>PASS</v>
      </c>
      <c r="E188" s="3" t="str">
        <f t="shared" si="5"/>
        <v>PASS</v>
      </c>
      <c r="F188" t="s">
        <v>649</v>
      </c>
      <c r="G188" t="s">
        <v>649</v>
      </c>
      <c r="H188" s="3">
        <v>79132529.489999995</v>
      </c>
      <c r="I188" s="3">
        <v>70997403.512999997</v>
      </c>
      <c r="J188" s="3">
        <v>5117.42</v>
      </c>
      <c r="K188" s="4">
        <v>3956626.4745</v>
      </c>
      <c r="L188" s="4">
        <v>0.2079437482843195</v>
      </c>
      <c r="M188" s="3">
        <v>3</v>
      </c>
      <c r="N188" t="s">
        <v>773</v>
      </c>
      <c r="O188" t="s">
        <v>693</v>
      </c>
      <c r="P188" t="s">
        <v>706</v>
      </c>
    </row>
    <row r="189" spans="1:16" x14ac:dyDescent="0.4">
      <c r="A189" s="2">
        <v>45861</v>
      </c>
      <c r="B189" t="s">
        <v>27</v>
      </c>
      <c r="C189" t="s">
        <v>649</v>
      </c>
      <c r="D189" s="3" t="str">
        <f t="shared" si="4"/>
        <v>PASS</v>
      </c>
      <c r="E189" s="3" t="str">
        <f t="shared" si="5"/>
        <v>PASS</v>
      </c>
      <c r="F189" t="s">
        <v>649</v>
      </c>
      <c r="G189" t="s">
        <v>649</v>
      </c>
      <c r="H189" s="3">
        <v>55854512.740000002</v>
      </c>
      <c r="I189" s="3">
        <v>50672832.251000002</v>
      </c>
      <c r="J189" s="3">
        <v>3674.87</v>
      </c>
      <c r="K189" s="4">
        <v>2792725.6370000001</v>
      </c>
      <c r="L189" s="4">
        <v>0</v>
      </c>
      <c r="M189" s="3">
        <v>0</v>
      </c>
      <c r="N189" t="s">
        <v>29</v>
      </c>
      <c r="O189" t="s">
        <v>774</v>
      </c>
      <c r="P189" t="s">
        <v>750</v>
      </c>
    </row>
    <row r="190" spans="1:16" x14ac:dyDescent="0.4">
      <c r="A190" s="2">
        <v>45861</v>
      </c>
      <c r="B190" t="s">
        <v>30</v>
      </c>
      <c r="C190" t="s">
        <v>649</v>
      </c>
      <c r="D190" s="3" t="str">
        <f t="shared" si="4"/>
        <v>PASS</v>
      </c>
      <c r="E190" s="3" t="str">
        <f t="shared" si="5"/>
        <v>PASS</v>
      </c>
      <c r="F190" t="s">
        <v>649</v>
      </c>
      <c r="G190" t="s">
        <v>649</v>
      </c>
      <c r="H190" s="3">
        <v>35063414.520000003</v>
      </c>
      <c r="I190" s="3">
        <v>32925483.714000002</v>
      </c>
      <c r="J190" s="3">
        <v>2362.04</v>
      </c>
      <c r="K190" s="4">
        <v>1753170.726</v>
      </c>
      <c r="L190" s="4">
        <v>0.2080738932963877</v>
      </c>
      <c r="M190" s="3">
        <v>3</v>
      </c>
      <c r="N190" t="s">
        <v>775</v>
      </c>
      <c r="O190" t="s">
        <v>684</v>
      </c>
      <c r="P190" t="s">
        <v>666</v>
      </c>
    </row>
    <row r="191" spans="1:16" x14ac:dyDescent="0.4">
      <c r="A191" s="2">
        <v>45861</v>
      </c>
      <c r="B191" t="s">
        <v>31</v>
      </c>
      <c r="C191" t="s">
        <v>649</v>
      </c>
      <c r="D191" s="3" t="str">
        <f t="shared" si="4"/>
        <v>PASS</v>
      </c>
      <c r="E191" s="3" t="str">
        <f t="shared" si="5"/>
        <v>PASS</v>
      </c>
      <c r="F191" t="s">
        <v>649</v>
      </c>
      <c r="G191" t="s">
        <v>649</v>
      </c>
      <c r="H191" s="3">
        <v>23930144.469999999</v>
      </c>
      <c r="I191" s="3">
        <v>21660867.175000001</v>
      </c>
      <c r="J191" s="3">
        <v>1565.94</v>
      </c>
      <c r="K191" s="4">
        <v>1196507.2235000001</v>
      </c>
      <c r="L191" s="4">
        <v>0.20613365145798929</v>
      </c>
      <c r="M191" s="3">
        <v>3</v>
      </c>
      <c r="N191" t="s">
        <v>776</v>
      </c>
      <c r="O191" t="s">
        <v>693</v>
      </c>
      <c r="P191" t="s">
        <v>706</v>
      </c>
    </row>
    <row r="192" spans="1:16" x14ac:dyDescent="0.4">
      <c r="A192" s="2">
        <v>45861</v>
      </c>
      <c r="B192" t="s">
        <v>32</v>
      </c>
      <c r="C192" t="s">
        <v>649</v>
      </c>
      <c r="D192" s="3" t="e">
        <f t="shared" si="4"/>
        <v>#DIV/0!</v>
      </c>
      <c r="E192" s="3" t="str">
        <f t="shared" si="5"/>
        <v>PASS</v>
      </c>
      <c r="F192" t="s">
        <v>649</v>
      </c>
      <c r="G192" t="s">
        <v>649</v>
      </c>
      <c r="H192" s="3">
        <v>0</v>
      </c>
      <c r="I192" s="3">
        <v>3206743176.933001</v>
      </c>
      <c r="J192" s="3">
        <v>0</v>
      </c>
      <c r="K192" s="4">
        <v>0</v>
      </c>
      <c r="L192" s="4">
        <v>0</v>
      </c>
      <c r="M192" s="3">
        <v>207</v>
      </c>
      <c r="N192" t="s">
        <v>659</v>
      </c>
      <c r="O192" t="s">
        <v>650</v>
      </c>
      <c r="P192" t="s">
        <v>650</v>
      </c>
    </row>
    <row r="193" spans="1:16" x14ac:dyDescent="0.4">
      <c r="A193" s="2">
        <v>45861</v>
      </c>
      <c r="B193" t="s">
        <v>33</v>
      </c>
      <c r="C193" t="s">
        <v>649</v>
      </c>
      <c r="D193" s="3" t="str">
        <f t="shared" si="4"/>
        <v>PASS</v>
      </c>
      <c r="E193" s="3" t="str">
        <f t="shared" si="5"/>
        <v>PASS</v>
      </c>
      <c r="F193" t="s">
        <v>649</v>
      </c>
      <c r="G193" t="s">
        <v>649</v>
      </c>
      <c r="H193" s="3">
        <v>15528165.380000001</v>
      </c>
      <c r="I193" s="3">
        <v>13708680.733999999</v>
      </c>
      <c r="J193" s="3">
        <v>991.05</v>
      </c>
      <c r="K193" s="4">
        <v>776408.26900000009</v>
      </c>
      <c r="L193" s="4">
        <v>0.20591492739845399</v>
      </c>
      <c r="M193" s="3">
        <v>3</v>
      </c>
      <c r="N193" t="s">
        <v>777</v>
      </c>
      <c r="O193" t="s">
        <v>697</v>
      </c>
      <c r="P193" t="s">
        <v>706</v>
      </c>
    </row>
    <row r="194" spans="1:16" x14ac:dyDescent="0.4">
      <c r="A194" s="2">
        <v>45861</v>
      </c>
      <c r="B194" t="s">
        <v>34</v>
      </c>
      <c r="C194" t="s">
        <v>649</v>
      </c>
      <c r="D194" s="3" t="e">
        <f t="shared" ref="D194:D257" si="6">IF(I194/H194&gt;=0.5,"PASS","FAIL")</f>
        <v>#DIV/0!</v>
      </c>
      <c r="E194" s="3" t="str">
        <f t="shared" ref="E194:E257" si="7">IF(L194&lt;=0.5,"PASS","FAIL")</f>
        <v>PASS</v>
      </c>
      <c r="F194" t="s">
        <v>649</v>
      </c>
      <c r="G194" t="s">
        <v>649</v>
      </c>
      <c r="H194" s="3">
        <v>0</v>
      </c>
      <c r="I194" s="3">
        <v>3206743176.933001</v>
      </c>
      <c r="J194" s="3">
        <v>0</v>
      </c>
      <c r="K194" s="4">
        <v>0</v>
      </c>
      <c r="L194" s="4">
        <v>0</v>
      </c>
      <c r="M194" s="3">
        <v>207</v>
      </c>
      <c r="N194" t="s">
        <v>659</v>
      </c>
      <c r="O194" t="s">
        <v>650</v>
      </c>
      <c r="P194" t="s">
        <v>650</v>
      </c>
    </row>
    <row r="195" spans="1:16" x14ac:dyDescent="0.4">
      <c r="A195" s="2">
        <v>45861</v>
      </c>
      <c r="B195" t="s">
        <v>35</v>
      </c>
      <c r="C195" t="s">
        <v>649</v>
      </c>
      <c r="D195" s="3" t="str">
        <f t="shared" si="6"/>
        <v>PASS</v>
      </c>
      <c r="E195" s="3" t="str">
        <f t="shared" si="7"/>
        <v>PASS</v>
      </c>
      <c r="F195" t="s">
        <v>649</v>
      </c>
      <c r="G195" t="s">
        <v>649</v>
      </c>
      <c r="H195" s="3">
        <v>137996542.68000001</v>
      </c>
      <c r="I195" s="3">
        <v>124111255.543</v>
      </c>
      <c r="J195" s="3">
        <v>8729.09</v>
      </c>
      <c r="K195" s="4">
        <v>6899827.1340000005</v>
      </c>
      <c r="L195" s="4">
        <v>0.21156185689784451</v>
      </c>
      <c r="M195" s="3">
        <v>3</v>
      </c>
      <c r="N195" t="s">
        <v>778</v>
      </c>
      <c r="O195" t="s">
        <v>744</v>
      </c>
      <c r="P195" t="s">
        <v>657</v>
      </c>
    </row>
    <row r="196" spans="1:16" x14ac:dyDescent="0.4">
      <c r="A196" s="2">
        <v>45861</v>
      </c>
      <c r="B196" t="s">
        <v>36</v>
      </c>
      <c r="C196" t="s">
        <v>649</v>
      </c>
      <c r="D196" s="3" t="str">
        <f t="shared" si="6"/>
        <v>PASS</v>
      </c>
      <c r="E196" s="3" t="str">
        <f t="shared" si="7"/>
        <v>PASS</v>
      </c>
      <c r="F196" t="s">
        <v>649</v>
      </c>
      <c r="G196" t="s">
        <v>649</v>
      </c>
      <c r="H196" s="3">
        <v>103083110.14</v>
      </c>
      <c r="I196" s="3">
        <v>92427768.088</v>
      </c>
      <c r="J196" s="3">
        <v>6732.13</v>
      </c>
      <c r="K196" s="4">
        <v>5154155.5070000002</v>
      </c>
      <c r="L196" s="4">
        <v>0.2045294582842834</v>
      </c>
      <c r="M196" s="3">
        <v>3</v>
      </c>
      <c r="N196" t="s">
        <v>779</v>
      </c>
      <c r="O196" t="s">
        <v>705</v>
      </c>
      <c r="P196" t="s">
        <v>711</v>
      </c>
    </row>
    <row r="197" spans="1:16" x14ac:dyDescent="0.4">
      <c r="A197" s="2">
        <v>45861</v>
      </c>
      <c r="B197" t="s">
        <v>37</v>
      </c>
      <c r="C197" t="s">
        <v>649</v>
      </c>
      <c r="D197" s="3" t="str">
        <f t="shared" si="6"/>
        <v>PASS</v>
      </c>
      <c r="E197" s="3" t="str">
        <f t="shared" si="7"/>
        <v>PASS</v>
      </c>
      <c r="F197" t="s">
        <v>649</v>
      </c>
      <c r="G197" t="s">
        <v>649</v>
      </c>
      <c r="H197" s="3">
        <v>40728119.039999999</v>
      </c>
      <c r="I197" s="3">
        <v>34782970.681000002</v>
      </c>
      <c r="J197" s="3">
        <v>2539.31</v>
      </c>
      <c r="K197" s="4">
        <v>2036405.952</v>
      </c>
      <c r="L197" s="4">
        <v>0.20401113094022361</v>
      </c>
      <c r="M197" s="3">
        <v>3</v>
      </c>
      <c r="N197" t="s">
        <v>780</v>
      </c>
      <c r="O197" t="s">
        <v>705</v>
      </c>
      <c r="P197" t="s">
        <v>711</v>
      </c>
    </row>
    <row r="198" spans="1:16" x14ac:dyDescent="0.4">
      <c r="A198" s="2">
        <v>45861</v>
      </c>
      <c r="B198" t="s">
        <v>38</v>
      </c>
      <c r="C198" t="s">
        <v>649</v>
      </c>
      <c r="D198" s="3" t="str">
        <f t="shared" si="6"/>
        <v>PASS</v>
      </c>
      <c r="E198" s="3" t="str">
        <f t="shared" si="7"/>
        <v>PASS</v>
      </c>
      <c r="F198" t="s">
        <v>649</v>
      </c>
      <c r="G198" t="s">
        <v>649</v>
      </c>
      <c r="H198" s="3">
        <v>48426770.460000001</v>
      </c>
      <c r="I198" s="3">
        <v>37761618.116999999</v>
      </c>
      <c r="J198" s="3">
        <v>3012.81</v>
      </c>
      <c r="K198" s="4">
        <v>2421338.523</v>
      </c>
      <c r="L198" s="4">
        <v>0.1324465085460553</v>
      </c>
      <c r="M198" s="3">
        <v>2</v>
      </c>
      <c r="N198" t="s">
        <v>781</v>
      </c>
      <c r="O198" t="s">
        <v>771</v>
      </c>
      <c r="P198" t="s">
        <v>782</v>
      </c>
    </row>
    <row r="199" spans="1:16" x14ac:dyDescent="0.4">
      <c r="A199" s="2">
        <v>45861</v>
      </c>
      <c r="B199" t="s">
        <v>39</v>
      </c>
      <c r="C199" t="s">
        <v>649</v>
      </c>
      <c r="D199" s="3" t="str">
        <f t="shared" si="6"/>
        <v>PASS</v>
      </c>
      <c r="E199" s="3" t="str">
        <f t="shared" si="7"/>
        <v>PASS</v>
      </c>
      <c r="F199" t="s">
        <v>649</v>
      </c>
      <c r="G199" t="s">
        <v>649</v>
      </c>
      <c r="H199" s="3">
        <v>79390717.519999996</v>
      </c>
      <c r="I199" s="3">
        <v>71110352.909999996</v>
      </c>
      <c r="J199" s="3">
        <v>5117.75</v>
      </c>
      <c r="K199" s="4">
        <v>3969535.8760000002</v>
      </c>
      <c r="L199" s="4">
        <v>0.20685340618268361</v>
      </c>
      <c r="M199" s="3">
        <v>3</v>
      </c>
      <c r="N199" t="s">
        <v>783</v>
      </c>
      <c r="O199" t="s">
        <v>693</v>
      </c>
      <c r="P199" t="s">
        <v>668</v>
      </c>
    </row>
    <row r="200" spans="1:16" x14ac:dyDescent="0.4">
      <c r="A200" s="2">
        <v>45862</v>
      </c>
      <c r="B200" t="s">
        <v>27</v>
      </c>
      <c r="C200" t="s">
        <v>649</v>
      </c>
      <c r="D200" s="3" t="str">
        <f t="shared" si="6"/>
        <v>PASS</v>
      </c>
      <c r="E200" s="3" t="str">
        <f t="shared" si="7"/>
        <v>PASS</v>
      </c>
      <c r="F200" t="s">
        <v>649</v>
      </c>
      <c r="G200" t="s">
        <v>649</v>
      </c>
      <c r="H200" s="3">
        <v>55676257.229999997</v>
      </c>
      <c r="I200" s="3">
        <v>51014882.211999997</v>
      </c>
      <c r="J200" s="3">
        <v>3673.05</v>
      </c>
      <c r="K200" s="4">
        <v>2783812.8615000001</v>
      </c>
      <c r="L200" s="4">
        <v>0</v>
      </c>
      <c r="M200" s="3">
        <v>0</v>
      </c>
      <c r="N200" t="s">
        <v>29</v>
      </c>
      <c r="O200" t="s">
        <v>784</v>
      </c>
      <c r="P200" t="s">
        <v>750</v>
      </c>
    </row>
    <row r="201" spans="1:16" x14ac:dyDescent="0.4">
      <c r="A201" s="2">
        <v>45862</v>
      </c>
      <c r="B201" t="s">
        <v>30</v>
      </c>
      <c r="C201" t="s">
        <v>649</v>
      </c>
      <c r="D201" s="3" t="str">
        <f t="shared" si="6"/>
        <v>PASS</v>
      </c>
      <c r="E201" s="3" t="str">
        <f t="shared" si="7"/>
        <v>PASS</v>
      </c>
      <c r="F201" t="s">
        <v>649</v>
      </c>
      <c r="G201" t="s">
        <v>649</v>
      </c>
      <c r="H201" s="3">
        <v>35079621.640000001</v>
      </c>
      <c r="I201" s="3">
        <v>33172409.447000001</v>
      </c>
      <c r="J201" s="3">
        <v>2362.98</v>
      </c>
      <c r="K201" s="4">
        <v>1753981.0819999999</v>
      </c>
      <c r="L201" s="4">
        <v>0.21074280687643901</v>
      </c>
      <c r="M201" s="3">
        <v>3</v>
      </c>
      <c r="N201" t="s">
        <v>785</v>
      </c>
      <c r="O201" t="s">
        <v>786</v>
      </c>
      <c r="P201" t="s">
        <v>679</v>
      </c>
    </row>
    <row r="202" spans="1:16" x14ac:dyDescent="0.4">
      <c r="A202" s="2">
        <v>45862</v>
      </c>
      <c r="B202" t="s">
        <v>31</v>
      </c>
      <c r="C202" t="s">
        <v>649</v>
      </c>
      <c r="D202" s="3" t="str">
        <f t="shared" si="6"/>
        <v>PASS</v>
      </c>
      <c r="E202" s="3" t="str">
        <f t="shared" si="7"/>
        <v>PASS</v>
      </c>
      <c r="F202" t="s">
        <v>649</v>
      </c>
      <c r="G202" t="s">
        <v>649</v>
      </c>
      <c r="H202" s="3">
        <v>23938557.890000001</v>
      </c>
      <c r="I202" s="3">
        <v>21831127.682</v>
      </c>
      <c r="J202" s="3">
        <v>1570.39</v>
      </c>
      <c r="K202" s="4">
        <v>1196927.8944999999</v>
      </c>
      <c r="L202" s="4">
        <v>0.20880038647103791</v>
      </c>
      <c r="M202" s="3">
        <v>3</v>
      </c>
      <c r="N202" t="s">
        <v>787</v>
      </c>
      <c r="O202" t="s">
        <v>684</v>
      </c>
      <c r="P202" t="s">
        <v>674</v>
      </c>
    </row>
    <row r="203" spans="1:16" x14ac:dyDescent="0.4">
      <c r="A203" s="2">
        <v>45862</v>
      </c>
      <c r="B203" t="s">
        <v>32</v>
      </c>
      <c r="C203" t="s">
        <v>649</v>
      </c>
      <c r="D203" s="3" t="e">
        <f t="shared" si="6"/>
        <v>#DIV/0!</v>
      </c>
      <c r="E203" s="3" t="str">
        <f t="shared" si="7"/>
        <v>PASS</v>
      </c>
      <c r="F203" t="s">
        <v>649</v>
      </c>
      <c r="G203" t="s">
        <v>649</v>
      </c>
      <c r="H203" s="3">
        <v>0</v>
      </c>
      <c r="I203" s="3">
        <v>3230239016.7119999</v>
      </c>
      <c r="J203" s="3">
        <v>0</v>
      </c>
      <c r="K203" s="4">
        <v>0</v>
      </c>
      <c r="L203" s="4">
        <v>0</v>
      </c>
      <c r="M203" s="3">
        <v>207</v>
      </c>
      <c r="N203" t="s">
        <v>659</v>
      </c>
      <c r="O203" t="s">
        <v>650</v>
      </c>
      <c r="P203" t="s">
        <v>650</v>
      </c>
    </row>
    <row r="204" spans="1:16" x14ac:dyDescent="0.4">
      <c r="A204" s="2">
        <v>45862</v>
      </c>
      <c r="B204" t="s">
        <v>33</v>
      </c>
      <c r="C204" t="s">
        <v>649</v>
      </c>
      <c r="D204" s="3" t="str">
        <f t="shared" si="6"/>
        <v>PASS</v>
      </c>
      <c r="E204" s="3" t="str">
        <f t="shared" si="7"/>
        <v>PASS</v>
      </c>
      <c r="F204" t="s">
        <v>649</v>
      </c>
      <c r="G204" t="s">
        <v>649</v>
      </c>
      <c r="H204" s="3">
        <v>15533477.439999999</v>
      </c>
      <c r="I204" s="3">
        <v>13801989.060000001</v>
      </c>
      <c r="J204" s="3">
        <v>994.08</v>
      </c>
      <c r="K204" s="4">
        <v>776673.87199999997</v>
      </c>
      <c r="L204" s="4">
        <v>0.2085789710867095</v>
      </c>
      <c r="M204" s="3">
        <v>3</v>
      </c>
      <c r="N204" t="s">
        <v>788</v>
      </c>
      <c r="O204" t="s">
        <v>684</v>
      </c>
      <c r="P204" t="s">
        <v>674</v>
      </c>
    </row>
    <row r="205" spans="1:16" x14ac:dyDescent="0.4">
      <c r="A205" s="2">
        <v>45862</v>
      </c>
      <c r="B205" t="s">
        <v>34</v>
      </c>
      <c r="C205" t="s">
        <v>649</v>
      </c>
      <c r="D205" s="3" t="e">
        <f t="shared" si="6"/>
        <v>#DIV/0!</v>
      </c>
      <c r="E205" s="3" t="str">
        <f t="shared" si="7"/>
        <v>PASS</v>
      </c>
      <c r="F205" t="s">
        <v>649</v>
      </c>
      <c r="G205" t="s">
        <v>649</v>
      </c>
      <c r="H205" s="3">
        <v>0</v>
      </c>
      <c r="I205" s="3">
        <v>3230239016.7119999</v>
      </c>
      <c r="J205" s="3">
        <v>0</v>
      </c>
      <c r="K205" s="4">
        <v>0</v>
      </c>
      <c r="L205" s="4">
        <v>0</v>
      </c>
      <c r="M205" s="3">
        <v>207</v>
      </c>
      <c r="N205" t="s">
        <v>659</v>
      </c>
      <c r="O205" t="s">
        <v>650</v>
      </c>
      <c r="P205" t="s">
        <v>650</v>
      </c>
    </row>
    <row r="206" spans="1:16" x14ac:dyDescent="0.4">
      <c r="A206" s="2">
        <v>45862</v>
      </c>
      <c r="B206" t="s">
        <v>35</v>
      </c>
      <c r="C206" t="s">
        <v>649</v>
      </c>
      <c r="D206" s="3" t="str">
        <f t="shared" si="6"/>
        <v>PASS</v>
      </c>
      <c r="E206" s="3" t="str">
        <f t="shared" si="7"/>
        <v>PASS</v>
      </c>
      <c r="F206" t="s">
        <v>649</v>
      </c>
      <c r="G206" t="s">
        <v>649</v>
      </c>
      <c r="H206" s="3">
        <v>138057713.55000001</v>
      </c>
      <c r="I206" s="3">
        <v>125047369.79899999</v>
      </c>
      <c r="J206" s="3">
        <v>8760.7000000000007</v>
      </c>
      <c r="K206" s="4">
        <v>6902885.6775000012</v>
      </c>
      <c r="L206" s="4">
        <v>0.21427356744140569</v>
      </c>
      <c r="M206" s="3">
        <v>3</v>
      </c>
      <c r="N206" t="s">
        <v>789</v>
      </c>
      <c r="O206" t="s">
        <v>790</v>
      </c>
      <c r="P206" t="s">
        <v>673</v>
      </c>
    </row>
    <row r="207" spans="1:16" x14ac:dyDescent="0.4">
      <c r="A207" s="2">
        <v>45862</v>
      </c>
      <c r="B207" t="s">
        <v>36</v>
      </c>
      <c r="C207" t="s">
        <v>649</v>
      </c>
      <c r="D207" s="3" t="str">
        <f t="shared" si="6"/>
        <v>PASS</v>
      </c>
      <c r="E207" s="3" t="str">
        <f t="shared" si="7"/>
        <v>PASS</v>
      </c>
      <c r="F207" t="s">
        <v>649</v>
      </c>
      <c r="G207" t="s">
        <v>649</v>
      </c>
      <c r="H207" s="3">
        <v>103108796.25</v>
      </c>
      <c r="I207" s="3">
        <v>93125312.055999994</v>
      </c>
      <c r="J207" s="3">
        <v>6748.67</v>
      </c>
      <c r="K207" s="4">
        <v>5155439.8125</v>
      </c>
      <c r="L207" s="4">
        <v>0.20719879566903451</v>
      </c>
      <c r="M207" s="3">
        <v>3</v>
      </c>
      <c r="N207" t="s">
        <v>791</v>
      </c>
      <c r="O207" t="s">
        <v>693</v>
      </c>
      <c r="P207" t="s">
        <v>666</v>
      </c>
    </row>
    <row r="208" spans="1:16" x14ac:dyDescent="0.4">
      <c r="A208" s="2">
        <v>45862</v>
      </c>
      <c r="B208" t="s">
        <v>37</v>
      </c>
      <c r="C208" t="s">
        <v>649</v>
      </c>
      <c r="D208" s="3" t="str">
        <f t="shared" si="6"/>
        <v>PASS</v>
      </c>
      <c r="E208" s="3" t="str">
        <f t="shared" si="7"/>
        <v>PASS</v>
      </c>
      <c r="F208" t="s">
        <v>649</v>
      </c>
      <c r="G208" t="s">
        <v>649</v>
      </c>
      <c r="H208" s="3">
        <v>40735885.759999998</v>
      </c>
      <c r="I208" s="3">
        <v>35042553.596000001</v>
      </c>
      <c r="J208" s="3">
        <v>2546.2800000000002</v>
      </c>
      <c r="K208" s="4">
        <v>2036794.2879999999</v>
      </c>
      <c r="L208" s="4">
        <v>0.20668504255248671</v>
      </c>
      <c r="M208" s="3">
        <v>3</v>
      </c>
      <c r="N208" t="s">
        <v>792</v>
      </c>
      <c r="O208" t="s">
        <v>697</v>
      </c>
      <c r="P208" t="s">
        <v>666</v>
      </c>
    </row>
    <row r="209" spans="1:16" x14ac:dyDescent="0.4">
      <c r="A209" s="2">
        <v>45862</v>
      </c>
      <c r="B209" t="s">
        <v>38</v>
      </c>
      <c r="C209" t="s">
        <v>649</v>
      </c>
      <c r="D209" s="3" t="str">
        <f t="shared" si="6"/>
        <v>PASS</v>
      </c>
      <c r="E209" s="3" t="str">
        <f t="shared" si="7"/>
        <v>PASS</v>
      </c>
      <c r="F209" t="s">
        <v>649</v>
      </c>
      <c r="G209" t="s">
        <v>649</v>
      </c>
      <c r="H209" s="3">
        <v>43724613.07</v>
      </c>
      <c r="I209" s="3">
        <v>38041448.745999999</v>
      </c>
      <c r="J209" s="3">
        <v>3022.7</v>
      </c>
      <c r="K209" s="4">
        <v>2186230.6535</v>
      </c>
      <c r="L209" s="4">
        <v>0.21311241055266761</v>
      </c>
      <c r="M209" s="3">
        <v>3</v>
      </c>
      <c r="N209" t="s">
        <v>793</v>
      </c>
      <c r="O209" t="s">
        <v>744</v>
      </c>
      <c r="P209" t="s">
        <v>673</v>
      </c>
    </row>
    <row r="210" spans="1:16" x14ac:dyDescent="0.4">
      <c r="A210" s="2">
        <v>45862</v>
      </c>
      <c r="B210" t="s">
        <v>39</v>
      </c>
      <c r="C210" t="s">
        <v>649</v>
      </c>
      <c r="D210" s="3" t="str">
        <f t="shared" si="6"/>
        <v>PASS</v>
      </c>
      <c r="E210" s="3" t="str">
        <f t="shared" si="7"/>
        <v>PASS</v>
      </c>
      <c r="F210" t="s">
        <v>649</v>
      </c>
      <c r="G210" t="s">
        <v>649</v>
      </c>
      <c r="H210" s="3">
        <v>79418594.75</v>
      </c>
      <c r="I210" s="3">
        <v>71640085.829999998</v>
      </c>
      <c r="J210" s="3">
        <v>5133.18</v>
      </c>
      <c r="K210" s="4">
        <v>3970929.7374999998</v>
      </c>
      <c r="L210" s="4">
        <v>0.20952836780952</v>
      </c>
      <c r="M210" s="3">
        <v>3</v>
      </c>
      <c r="N210" t="s">
        <v>794</v>
      </c>
      <c r="O210" t="s">
        <v>665</v>
      </c>
      <c r="P210" t="s">
        <v>674</v>
      </c>
    </row>
    <row r="211" spans="1:16" x14ac:dyDescent="0.4">
      <c r="A211" s="2">
        <v>45863</v>
      </c>
      <c r="B211" t="s">
        <v>27</v>
      </c>
      <c r="C211" t="s">
        <v>649</v>
      </c>
      <c r="D211" s="3" t="str">
        <f t="shared" si="6"/>
        <v>PASS</v>
      </c>
      <c r="E211" s="3" t="str">
        <f t="shared" si="7"/>
        <v>PASS</v>
      </c>
      <c r="F211" t="s">
        <v>649</v>
      </c>
      <c r="G211" t="s">
        <v>649</v>
      </c>
      <c r="H211" s="3">
        <v>55739047.219999999</v>
      </c>
      <c r="I211" s="3">
        <v>50938237.5</v>
      </c>
      <c r="J211" s="3">
        <v>10979.52</v>
      </c>
      <c r="K211" s="4">
        <v>2786952.361</v>
      </c>
      <c r="L211" s="4">
        <v>0</v>
      </c>
      <c r="M211" s="3">
        <v>0</v>
      </c>
      <c r="N211" t="s">
        <v>29</v>
      </c>
      <c r="O211" t="s">
        <v>795</v>
      </c>
      <c r="P211" t="s">
        <v>675</v>
      </c>
    </row>
    <row r="212" spans="1:16" x14ac:dyDescent="0.4">
      <c r="A212" s="2">
        <v>45863</v>
      </c>
      <c r="B212" t="s">
        <v>30</v>
      </c>
      <c r="C212" t="s">
        <v>649</v>
      </c>
      <c r="D212" s="3" t="str">
        <f t="shared" si="6"/>
        <v>PASS</v>
      </c>
      <c r="E212" s="3" t="str">
        <f t="shared" si="7"/>
        <v>PASS</v>
      </c>
      <c r="F212" t="s">
        <v>649</v>
      </c>
      <c r="G212" t="s">
        <v>649</v>
      </c>
      <c r="H212" s="3">
        <v>35167181.890000001</v>
      </c>
      <c r="I212" s="3">
        <v>33240551.379999999</v>
      </c>
      <c r="J212" s="3">
        <v>7091.94</v>
      </c>
      <c r="K212" s="4">
        <v>1758359.0944999999</v>
      </c>
      <c r="L212" s="4">
        <v>0.21194775874241301</v>
      </c>
      <c r="M212" s="3">
        <v>3</v>
      </c>
      <c r="N212" t="s">
        <v>796</v>
      </c>
      <c r="O212" t="s">
        <v>748</v>
      </c>
      <c r="P212" t="s">
        <v>665</v>
      </c>
    </row>
    <row r="213" spans="1:16" x14ac:dyDescent="0.4">
      <c r="A213" s="2">
        <v>45863</v>
      </c>
      <c r="B213" t="s">
        <v>31</v>
      </c>
      <c r="C213" t="s">
        <v>649</v>
      </c>
      <c r="D213" s="3" t="str">
        <f t="shared" si="6"/>
        <v>PASS</v>
      </c>
      <c r="E213" s="3" t="str">
        <f t="shared" si="7"/>
        <v>PASS</v>
      </c>
      <c r="F213" t="s">
        <v>649</v>
      </c>
      <c r="G213" t="s">
        <v>649</v>
      </c>
      <c r="H213" s="3">
        <v>23986864.170000002</v>
      </c>
      <c r="I213" s="3">
        <v>21875707.690000001</v>
      </c>
      <c r="J213" s="3">
        <v>4712.67</v>
      </c>
      <c r="K213" s="4">
        <v>1199343.2084999999</v>
      </c>
      <c r="L213" s="4">
        <v>0.21008968435392891</v>
      </c>
      <c r="M213" s="3">
        <v>3</v>
      </c>
      <c r="N213" t="s">
        <v>797</v>
      </c>
      <c r="O213" t="s">
        <v>684</v>
      </c>
      <c r="P213" t="s">
        <v>674</v>
      </c>
    </row>
    <row r="214" spans="1:16" x14ac:dyDescent="0.4">
      <c r="A214" s="2">
        <v>45863</v>
      </c>
      <c r="B214" t="s">
        <v>32</v>
      </c>
      <c r="C214" t="s">
        <v>649</v>
      </c>
      <c r="D214" s="3" t="e">
        <f t="shared" si="6"/>
        <v>#DIV/0!</v>
      </c>
      <c r="E214" s="3" t="str">
        <f t="shared" si="7"/>
        <v>PASS</v>
      </c>
      <c r="F214" t="s">
        <v>649</v>
      </c>
      <c r="G214" t="s">
        <v>649</v>
      </c>
      <c r="H214" s="3">
        <v>0</v>
      </c>
      <c r="I214" s="3">
        <v>3231907459.2800012</v>
      </c>
      <c r="J214" s="3">
        <v>0</v>
      </c>
      <c r="K214" s="4">
        <v>0</v>
      </c>
      <c r="L214" s="4">
        <v>0</v>
      </c>
      <c r="M214" s="3">
        <v>207</v>
      </c>
      <c r="N214" t="s">
        <v>659</v>
      </c>
      <c r="O214" t="s">
        <v>650</v>
      </c>
      <c r="P214" t="s">
        <v>650</v>
      </c>
    </row>
    <row r="215" spans="1:16" x14ac:dyDescent="0.4">
      <c r="A215" s="2">
        <v>45863</v>
      </c>
      <c r="B215" t="s">
        <v>33</v>
      </c>
      <c r="C215" t="s">
        <v>649</v>
      </c>
      <c r="D215" s="3" t="str">
        <f t="shared" si="6"/>
        <v>PASS</v>
      </c>
      <c r="E215" s="3" t="str">
        <f t="shared" si="7"/>
        <v>PASS</v>
      </c>
      <c r="F215" t="s">
        <v>649</v>
      </c>
      <c r="G215" t="s">
        <v>649</v>
      </c>
      <c r="H215" s="3">
        <v>15564960.35</v>
      </c>
      <c r="I215" s="3">
        <v>13832790.449999999</v>
      </c>
      <c r="J215" s="3">
        <v>2983.17</v>
      </c>
      <c r="K215" s="4">
        <v>778248.01750000007</v>
      </c>
      <c r="L215" s="4">
        <v>0.20985316313424501</v>
      </c>
      <c r="M215" s="3">
        <v>3</v>
      </c>
      <c r="N215" t="s">
        <v>798</v>
      </c>
      <c r="O215" t="s">
        <v>684</v>
      </c>
      <c r="P215" t="s">
        <v>674</v>
      </c>
    </row>
    <row r="216" spans="1:16" x14ac:dyDescent="0.4">
      <c r="A216" s="2">
        <v>45863</v>
      </c>
      <c r="B216" t="s">
        <v>34</v>
      </c>
      <c r="C216" t="s">
        <v>649</v>
      </c>
      <c r="D216" s="3" t="e">
        <f t="shared" si="6"/>
        <v>#DIV/0!</v>
      </c>
      <c r="E216" s="3" t="str">
        <f t="shared" si="7"/>
        <v>PASS</v>
      </c>
      <c r="F216" t="s">
        <v>649</v>
      </c>
      <c r="G216" t="s">
        <v>649</v>
      </c>
      <c r="H216" s="3">
        <v>0</v>
      </c>
      <c r="I216" s="3">
        <v>3231907459.2800012</v>
      </c>
      <c r="J216" s="3">
        <v>0</v>
      </c>
      <c r="K216" s="4">
        <v>0</v>
      </c>
      <c r="L216" s="4">
        <v>0</v>
      </c>
      <c r="M216" s="3">
        <v>207</v>
      </c>
      <c r="N216" t="s">
        <v>659</v>
      </c>
      <c r="O216" t="s">
        <v>650</v>
      </c>
      <c r="P216" t="s">
        <v>650</v>
      </c>
    </row>
    <row r="217" spans="1:16" x14ac:dyDescent="0.4">
      <c r="A217" s="2">
        <v>45863</v>
      </c>
      <c r="B217" t="s">
        <v>35</v>
      </c>
      <c r="C217" t="s">
        <v>649</v>
      </c>
      <c r="D217" s="3" t="str">
        <f t="shared" si="6"/>
        <v>PASS</v>
      </c>
      <c r="E217" s="3" t="str">
        <f t="shared" si="7"/>
        <v>PASS</v>
      </c>
      <c r="F217" t="s">
        <v>649</v>
      </c>
      <c r="G217" t="s">
        <v>649</v>
      </c>
      <c r="H217" s="3">
        <v>138374029.58000001</v>
      </c>
      <c r="I217" s="3">
        <v>125302147.15000001</v>
      </c>
      <c r="J217" s="3">
        <v>26293.5</v>
      </c>
      <c r="K217" s="4">
        <v>6918701.4790000012</v>
      </c>
      <c r="L217" s="4">
        <v>0.21551341745770861</v>
      </c>
      <c r="M217" s="3">
        <v>3</v>
      </c>
      <c r="N217" t="s">
        <v>799</v>
      </c>
      <c r="O217" t="s">
        <v>800</v>
      </c>
      <c r="P217" t="s">
        <v>673</v>
      </c>
    </row>
    <row r="218" spans="1:16" x14ac:dyDescent="0.4">
      <c r="A218" s="2">
        <v>45863</v>
      </c>
      <c r="B218" t="s">
        <v>36</v>
      </c>
      <c r="C218" t="s">
        <v>649</v>
      </c>
      <c r="D218" s="3" t="str">
        <f t="shared" si="6"/>
        <v>PASS</v>
      </c>
      <c r="E218" s="3" t="str">
        <f t="shared" si="7"/>
        <v>PASS</v>
      </c>
      <c r="F218" t="s">
        <v>649</v>
      </c>
      <c r="G218" t="s">
        <v>649</v>
      </c>
      <c r="H218" s="3">
        <v>103298680.42</v>
      </c>
      <c r="I218" s="3">
        <v>93315715.739999995</v>
      </c>
      <c r="J218" s="3">
        <v>20250.12</v>
      </c>
      <c r="K218" s="4">
        <v>5164934.0210000006</v>
      </c>
      <c r="L218" s="4">
        <v>0.20851797614012041</v>
      </c>
      <c r="M218" s="3">
        <v>3</v>
      </c>
      <c r="N218" t="s">
        <v>801</v>
      </c>
      <c r="O218" t="s">
        <v>693</v>
      </c>
      <c r="P218" t="s">
        <v>658</v>
      </c>
    </row>
    <row r="219" spans="1:16" x14ac:dyDescent="0.4">
      <c r="A219" s="2">
        <v>45863</v>
      </c>
      <c r="B219" t="s">
        <v>37</v>
      </c>
      <c r="C219" t="s">
        <v>649</v>
      </c>
      <c r="D219" s="3" t="str">
        <f t="shared" si="6"/>
        <v>PASS</v>
      </c>
      <c r="E219" s="3" t="str">
        <f t="shared" si="7"/>
        <v>PASS</v>
      </c>
      <c r="F219" t="s">
        <v>649</v>
      </c>
      <c r="G219" t="s">
        <v>649</v>
      </c>
      <c r="H219" s="3">
        <v>40813568.289999999</v>
      </c>
      <c r="I219" s="3">
        <v>35118582.020000003</v>
      </c>
      <c r="J219" s="3">
        <v>7639.98</v>
      </c>
      <c r="K219" s="4">
        <v>2040678.4145</v>
      </c>
      <c r="L219" s="4">
        <v>0.20796529519986329</v>
      </c>
      <c r="M219" s="3">
        <v>3</v>
      </c>
      <c r="N219" t="s">
        <v>802</v>
      </c>
      <c r="O219" t="s">
        <v>697</v>
      </c>
      <c r="P219" t="s">
        <v>658</v>
      </c>
    </row>
    <row r="220" spans="1:16" x14ac:dyDescent="0.4">
      <c r="A220" s="2">
        <v>45863</v>
      </c>
      <c r="B220" t="s">
        <v>38</v>
      </c>
      <c r="C220" t="s">
        <v>649</v>
      </c>
      <c r="D220" s="3" t="str">
        <f t="shared" si="6"/>
        <v>PASS</v>
      </c>
      <c r="E220" s="3" t="str">
        <f t="shared" si="7"/>
        <v>PASS</v>
      </c>
      <c r="F220" t="s">
        <v>649</v>
      </c>
      <c r="G220" t="s">
        <v>649</v>
      </c>
      <c r="H220" s="3">
        <v>43825012.810000002</v>
      </c>
      <c r="I220" s="3">
        <v>38126333.479999997</v>
      </c>
      <c r="J220" s="3">
        <v>8043.27</v>
      </c>
      <c r="K220" s="4">
        <v>2191250.6405000002</v>
      </c>
      <c r="L220" s="4">
        <v>0.21432469666195761</v>
      </c>
      <c r="M220" s="3">
        <v>3</v>
      </c>
      <c r="N220" t="s">
        <v>803</v>
      </c>
      <c r="O220" t="s">
        <v>790</v>
      </c>
      <c r="P220" t="s">
        <v>657</v>
      </c>
    </row>
    <row r="221" spans="1:16" x14ac:dyDescent="0.4">
      <c r="A221" s="2">
        <v>45863</v>
      </c>
      <c r="B221" t="s">
        <v>39</v>
      </c>
      <c r="C221" t="s">
        <v>649</v>
      </c>
      <c r="D221" s="3" t="str">
        <f t="shared" si="6"/>
        <v>PASS</v>
      </c>
      <c r="E221" s="3" t="str">
        <f t="shared" si="7"/>
        <v>PASS</v>
      </c>
      <c r="F221" t="s">
        <v>649</v>
      </c>
      <c r="G221" t="s">
        <v>649</v>
      </c>
      <c r="H221" s="3">
        <v>79603132.969999999</v>
      </c>
      <c r="I221" s="3">
        <v>71799300.829999998</v>
      </c>
      <c r="J221" s="3">
        <v>15404.49</v>
      </c>
      <c r="K221" s="4">
        <v>3980156.6485000001</v>
      </c>
      <c r="L221" s="4">
        <v>0.21074343345675051</v>
      </c>
      <c r="M221" s="3">
        <v>3</v>
      </c>
      <c r="N221" t="s">
        <v>804</v>
      </c>
      <c r="O221" t="s">
        <v>786</v>
      </c>
      <c r="P221" t="s">
        <v>684</v>
      </c>
    </row>
    <row r="222" spans="1:16" x14ac:dyDescent="0.4">
      <c r="A222" s="2">
        <v>45866</v>
      </c>
      <c r="B222" t="s">
        <v>27</v>
      </c>
      <c r="C222" t="s">
        <v>649</v>
      </c>
      <c r="D222" s="3" t="str">
        <f t="shared" si="6"/>
        <v>PASS</v>
      </c>
      <c r="E222" s="3" t="str">
        <f t="shared" si="7"/>
        <v>PASS</v>
      </c>
      <c r="F222" t="s">
        <v>649</v>
      </c>
      <c r="G222" t="s">
        <v>649</v>
      </c>
      <c r="H222" s="3">
        <v>55651241.159999996</v>
      </c>
      <c r="I222" s="3">
        <v>50674969.659999996</v>
      </c>
      <c r="J222" s="3">
        <v>3663.6</v>
      </c>
      <c r="K222" s="4">
        <v>2782562.0580000002</v>
      </c>
      <c r="L222" s="4">
        <v>0</v>
      </c>
      <c r="M222" s="3">
        <v>0</v>
      </c>
      <c r="N222" t="s">
        <v>29</v>
      </c>
      <c r="O222" t="s">
        <v>805</v>
      </c>
      <c r="P222" t="s">
        <v>806</v>
      </c>
    </row>
    <row r="223" spans="1:16" x14ac:dyDescent="0.4">
      <c r="A223" s="2">
        <v>45866</v>
      </c>
      <c r="B223" t="s">
        <v>30</v>
      </c>
      <c r="C223" t="s">
        <v>649</v>
      </c>
      <c r="D223" s="3" t="str">
        <f t="shared" si="6"/>
        <v>PASS</v>
      </c>
      <c r="E223" s="3" t="str">
        <f t="shared" si="7"/>
        <v>PASS</v>
      </c>
      <c r="F223" t="s">
        <v>649</v>
      </c>
      <c r="G223" t="s">
        <v>649</v>
      </c>
      <c r="H223" s="3">
        <v>35177957.039999999</v>
      </c>
      <c r="I223" s="3">
        <v>33175195.390000001</v>
      </c>
      <c r="J223" s="3">
        <v>2369.84</v>
      </c>
      <c r="K223" s="4">
        <v>1758897.852</v>
      </c>
      <c r="L223" s="4">
        <v>0.2112534427880115</v>
      </c>
      <c r="M223" s="3">
        <v>3</v>
      </c>
      <c r="N223" t="s">
        <v>807</v>
      </c>
      <c r="O223" t="s">
        <v>744</v>
      </c>
      <c r="P223" t="s">
        <v>665</v>
      </c>
    </row>
    <row r="224" spans="1:16" x14ac:dyDescent="0.4">
      <c r="A224" s="2">
        <v>45866</v>
      </c>
      <c r="B224" t="s">
        <v>31</v>
      </c>
      <c r="C224" t="s">
        <v>649</v>
      </c>
      <c r="D224" s="3" t="str">
        <f t="shared" si="6"/>
        <v>PASS</v>
      </c>
      <c r="E224" s="3" t="str">
        <f t="shared" si="7"/>
        <v>PASS</v>
      </c>
      <c r="F224" t="s">
        <v>649</v>
      </c>
      <c r="G224" t="s">
        <v>649</v>
      </c>
      <c r="H224" s="3">
        <v>23991191.260000002</v>
      </c>
      <c r="I224" s="3">
        <v>21800315.899999999</v>
      </c>
      <c r="J224" s="3">
        <v>1574.06</v>
      </c>
      <c r="K224" s="4">
        <v>1199559.5630000001</v>
      </c>
      <c r="L224" s="4">
        <v>0.20936250893753591</v>
      </c>
      <c r="M224" s="3">
        <v>3</v>
      </c>
      <c r="N224" t="s">
        <v>808</v>
      </c>
      <c r="O224" t="s">
        <v>684</v>
      </c>
      <c r="P224" t="s">
        <v>809</v>
      </c>
    </row>
    <row r="225" spans="1:16" x14ac:dyDescent="0.4">
      <c r="A225" s="2">
        <v>45866</v>
      </c>
      <c r="B225" t="s">
        <v>32</v>
      </c>
      <c r="C225" t="s">
        <v>649</v>
      </c>
      <c r="D225" s="3" t="str">
        <f t="shared" si="6"/>
        <v>PASS</v>
      </c>
      <c r="E225" s="3" t="str">
        <f t="shared" si="7"/>
        <v>FAIL</v>
      </c>
      <c r="F225" t="s">
        <v>649</v>
      </c>
      <c r="G225" t="s">
        <v>649</v>
      </c>
      <c r="H225" s="3">
        <v>24547957.16</v>
      </c>
      <c r="I225" s="3">
        <v>3284201478.3000002</v>
      </c>
      <c r="J225" s="3">
        <v>2.2000000000000002</v>
      </c>
      <c r="K225" s="4">
        <v>1227397.858</v>
      </c>
      <c r="L225" s="4">
        <v>157.92541224637441</v>
      </c>
      <c r="M225" s="3">
        <v>100</v>
      </c>
      <c r="N225" t="s">
        <v>810</v>
      </c>
      <c r="O225" t="s">
        <v>811</v>
      </c>
      <c r="P225" t="s">
        <v>812</v>
      </c>
    </row>
    <row r="226" spans="1:16" x14ac:dyDescent="0.4">
      <c r="A226" s="2">
        <v>45866</v>
      </c>
      <c r="B226" t="s">
        <v>33</v>
      </c>
      <c r="C226" t="s">
        <v>649</v>
      </c>
      <c r="D226" s="3" t="str">
        <f t="shared" si="6"/>
        <v>PASS</v>
      </c>
      <c r="E226" s="3" t="str">
        <f t="shared" si="7"/>
        <v>PASS</v>
      </c>
      <c r="F226" t="s">
        <v>649</v>
      </c>
      <c r="G226" t="s">
        <v>649</v>
      </c>
      <c r="H226" s="3">
        <v>15570220.92</v>
      </c>
      <c r="I226" s="3">
        <v>13812500.199999999</v>
      </c>
      <c r="J226" s="3">
        <v>996.46</v>
      </c>
      <c r="K226" s="4">
        <v>778511.04600000009</v>
      </c>
      <c r="L226" s="4">
        <v>0.20934020699660799</v>
      </c>
      <c r="M226" s="3">
        <v>3</v>
      </c>
      <c r="N226" t="s">
        <v>808</v>
      </c>
      <c r="O226" t="s">
        <v>684</v>
      </c>
      <c r="P226" t="s">
        <v>809</v>
      </c>
    </row>
    <row r="227" spans="1:16" x14ac:dyDescent="0.4">
      <c r="A227" s="2">
        <v>45866</v>
      </c>
      <c r="B227" t="s">
        <v>34</v>
      </c>
      <c r="C227" t="s">
        <v>649</v>
      </c>
      <c r="D227" s="3" t="str">
        <f t="shared" si="6"/>
        <v>PASS</v>
      </c>
      <c r="E227" s="3" t="str">
        <f t="shared" si="7"/>
        <v>FAIL</v>
      </c>
      <c r="F227" t="s">
        <v>649</v>
      </c>
      <c r="G227" t="s">
        <v>649</v>
      </c>
      <c r="H227" s="3">
        <v>166579068.12</v>
      </c>
      <c r="I227" s="3">
        <v>3284201478.3000002</v>
      </c>
      <c r="J227" s="3">
        <v>10773.2</v>
      </c>
      <c r="K227" s="4">
        <v>8328953.4060000004</v>
      </c>
      <c r="L227" s="4">
        <v>22.211301590781591</v>
      </c>
      <c r="M227" s="3">
        <v>84</v>
      </c>
      <c r="N227" t="s">
        <v>813</v>
      </c>
      <c r="O227" t="s">
        <v>814</v>
      </c>
      <c r="P227" t="s">
        <v>815</v>
      </c>
    </row>
    <row r="228" spans="1:16" x14ac:dyDescent="0.4">
      <c r="A228" s="2">
        <v>45866</v>
      </c>
      <c r="B228" t="s">
        <v>35</v>
      </c>
      <c r="C228" t="s">
        <v>649</v>
      </c>
      <c r="D228" s="3" t="str">
        <f t="shared" si="6"/>
        <v>PASS</v>
      </c>
      <c r="E228" s="3" t="str">
        <f t="shared" si="7"/>
        <v>PASS</v>
      </c>
      <c r="F228" t="s">
        <v>649</v>
      </c>
      <c r="G228" t="s">
        <v>649</v>
      </c>
      <c r="H228" s="3">
        <v>138431396.83000001</v>
      </c>
      <c r="I228" s="3">
        <v>124963222.06</v>
      </c>
      <c r="J228" s="3">
        <v>8785.6200000000008</v>
      </c>
      <c r="K228" s="4">
        <v>6921569.841500001</v>
      </c>
      <c r="L228" s="4">
        <v>0.21475289102863679</v>
      </c>
      <c r="M228" s="3">
        <v>3</v>
      </c>
      <c r="N228" t="s">
        <v>816</v>
      </c>
      <c r="O228" t="s">
        <v>728</v>
      </c>
      <c r="P228" t="s">
        <v>673</v>
      </c>
    </row>
    <row r="229" spans="1:16" x14ac:dyDescent="0.4">
      <c r="A229" s="2">
        <v>45866</v>
      </c>
      <c r="B229" t="s">
        <v>36</v>
      </c>
      <c r="C229" t="s">
        <v>649</v>
      </c>
      <c r="D229" s="3" t="str">
        <f t="shared" si="6"/>
        <v>PASS</v>
      </c>
      <c r="E229" s="3" t="str">
        <f t="shared" si="7"/>
        <v>PASS</v>
      </c>
      <c r="F229" t="s">
        <v>649</v>
      </c>
      <c r="G229" t="s">
        <v>649</v>
      </c>
      <c r="H229" s="3">
        <v>103329545.06999999</v>
      </c>
      <c r="I229" s="3">
        <v>93081512.480000004</v>
      </c>
      <c r="J229" s="3">
        <v>6762.4</v>
      </c>
      <c r="K229" s="4">
        <v>5166477.2534999996</v>
      </c>
      <c r="L229" s="4">
        <v>0.20783930849261259</v>
      </c>
      <c r="M229" s="3">
        <v>3</v>
      </c>
      <c r="N229" t="s">
        <v>817</v>
      </c>
      <c r="O229" t="s">
        <v>697</v>
      </c>
      <c r="P229" t="s">
        <v>655</v>
      </c>
    </row>
    <row r="230" spans="1:16" x14ac:dyDescent="0.4">
      <c r="A230" s="2">
        <v>45866</v>
      </c>
      <c r="B230" t="s">
        <v>37</v>
      </c>
      <c r="C230" t="s">
        <v>649</v>
      </c>
      <c r="D230" s="3" t="str">
        <f t="shared" si="6"/>
        <v>PASS</v>
      </c>
      <c r="E230" s="3" t="str">
        <f t="shared" si="7"/>
        <v>PASS</v>
      </c>
      <c r="F230" t="s">
        <v>649</v>
      </c>
      <c r="G230" t="s">
        <v>649</v>
      </c>
      <c r="H230" s="3">
        <v>46980745.979999997</v>
      </c>
      <c r="I230" s="3">
        <v>35073157.350000009</v>
      </c>
      <c r="J230" s="3">
        <v>2551.7600000000002</v>
      </c>
      <c r="K230" s="4">
        <v>2349037.2990000001</v>
      </c>
      <c r="L230" s="4">
        <v>0.14816749521917361</v>
      </c>
      <c r="M230" s="3">
        <v>2</v>
      </c>
      <c r="N230" t="s">
        <v>818</v>
      </c>
      <c r="O230" t="s">
        <v>697</v>
      </c>
      <c r="P230" t="s">
        <v>674</v>
      </c>
    </row>
    <row r="231" spans="1:16" x14ac:dyDescent="0.4">
      <c r="A231" s="2">
        <v>45866</v>
      </c>
      <c r="B231" t="s">
        <v>38</v>
      </c>
      <c r="C231" t="s">
        <v>649</v>
      </c>
      <c r="D231" s="3" t="str">
        <f t="shared" si="6"/>
        <v>PASS</v>
      </c>
      <c r="E231" s="3" t="str">
        <f t="shared" si="7"/>
        <v>PASS</v>
      </c>
      <c r="F231" t="s">
        <v>649</v>
      </c>
      <c r="G231" t="s">
        <v>649</v>
      </c>
      <c r="H231" s="3">
        <v>43832302.990000002</v>
      </c>
      <c r="I231" s="3">
        <v>38078837.990000002</v>
      </c>
      <c r="J231" s="3">
        <v>2687.81</v>
      </c>
      <c r="K231" s="4">
        <v>2191615.1494999998</v>
      </c>
      <c r="L231" s="4">
        <v>0.21397380968227159</v>
      </c>
      <c r="M231" s="3">
        <v>3</v>
      </c>
      <c r="N231" t="s">
        <v>819</v>
      </c>
      <c r="O231" t="s">
        <v>800</v>
      </c>
      <c r="P231" t="s">
        <v>657</v>
      </c>
    </row>
    <row r="232" spans="1:16" x14ac:dyDescent="0.4">
      <c r="A232" s="2">
        <v>45866</v>
      </c>
      <c r="B232" t="s">
        <v>39</v>
      </c>
      <c r="C232" t="s">
        <v>649</v>
      </c>
      <c r="D232" s="3" t="str">
        <f t="shared" si="6"/>
        <v>PASS</v>
      </c>
      <c r="E232" s="3" t="str">
        <f t="shared" si="7"/>
        <v>PASS</v>
      </c>
      <c r="F232" t="s">
        <v>649</v>
      </c>
      <c r="G232" t="s">
        <v>649</v>
      </c>
      <c r="H232" s="3">
        <v>79634765.689999998</v>
      </c>
      <c r="I232" s="3">
        <v>71703267.640000015</v>
      </c>
      <c r="J232" s="3">
        <v>5147.1400000000003</v>
      </c>
      <c r="K232" s="4">
        <v>3981738.2845000001</v>
      </c>
      <c r="L232" s="4">
        <v>0.21025035211688331</v>
      </c>
      <c r="M232" s="3">
        <v>3</v>
      </c>
      <c r="N232" t="s">
        <v>820</v>
      </c>
      <c r="O232" t="s">
        <v>748</v>
      </c>
      <c r="P232" t="s">
        <v>684</v>
      </c>
    </row>
    <row r="233" spans="1:16" x14ac:dyDescent="0.4">
      <c r="A233" s="2">
        <v>45867</v>
      </c>
      <c r="B233" t="s">
        <v>27</v>
      </c>
      <c r="C233" t="s">
        <v>649</v>
      </c>
      <c r="D233" s="3" t="str">
        <f t="shared" si="6"/>
        <v>PASS</v>
      </c>
      <c r="E233" s="3" t="str">
        <f t="shared" si="7"/>
        <v>PASS</v>
      </c>
      <c r="F233" t="s">
        <v>649</v>
      </c>
      <c r="G233" t="s">
        <v>649</v>
      </c>
      <c r="H233" s="3">
        <v>55695857.060000002</v>
      </c>
      <c r="I233" s="3">
        <v>50551340.829999998</v>
      </c>
      <c r="J233" s="3">
        <v>3656.78</v>
      </c>
      <c r="K233" s="4">
        <v>2784792.8530000001</v>
      </c>
      <c r="L233" s="4">
        <v>0</v>
      </c>
      <c r="M233" s="3">
        <v>0</v>
      </c>
      <c r="N233" t="s">
        <v>29</v>
      </c>
      <c r="O233" t="s">
        <v>821</v>
      </c>
      <c r="P233" t="s">
        <v>806</v>
      </c>
    </row>
    <row r="234" spans="1:16" x14ac:dyDescent="0.4">
      <c r="A234" s="2">
        <v>45867</v>
      </c>
      <c r="B234" t="s">
        <v>30</v>
      </c>
      <c r="C234" t="s">
        <v>649</v>
      </c>
      <c r="D234" s="3" t="str">
        <f t="shared" si="6"/>
        <v>PASS</v>
      </c>
      <c r="E234" s="3" t="str">
        <f t="shared" si="7"/>
        <v>PASS</v>
      </c>
      <c r="F234" t="s">
        <v>649</v>
      </c>
      <c r="G234" t="s">
        <v>649</v>
      </c>
      <c r="H234" s="3">
        <v>35101677.240000002</v>
      </c>
      <c r="I234" s="3">
        <v>33031803.93</v>
      </c>
      <c r="J234" s="3">
        <v>2370.12</v>
      </c>
      <c r="K234" s="4">
        <v>1755083.862</v>
      </c>
      <c r="L234" s="4">
        <v>0.2111478098664171</v>
      </c>
      <c r="M234" s="3">
        <v>3</v>
      </c>
      <c r="N234" t="s">
        <v>822</v>
      </c>
      <c r="O234" t="s">
        <v>800</v>
      </c>
      <c r="P234" t="s">
        <v>693</v>
      </c>
    </row>
    <row r="235" spans="1:16" x14ac:dyDescent="0.4">
      <c r="A235" s="2">
        <v>45867</v>
      </c>
      <c r="B235" t="s">
        <v>31</v>
      </c>
      <c r="C235" t="s">
        <v>649</v>
      </c>
      <c r="D235" s="3" t="str">
        <f t="shared" si="6"/>
        <v>PASS</v>
      </c>
      <c r="E235" s="3" t="str">
        <f t="shared" si="7"/>
        <v>PASS</v>
      </c>
      <c r="F235" t="s">
        <v>649</v>
      </c>
      <c r="G235" t="s">
        <v>649</v>
      </c>
      <c r="H235" s="3">
        <v>23947329.82</v>
      </c>
      <c r="I235" s="3">
        <v>21733489.91</v>
      </c>
      <c r="J235" s="3">
        <v>1574.17</v>
      </c>
      <c r="K235" s="4">
        <v>1197366.4909999999</v>
      </c>
      <c r="L235" s="4">
        <v>0.2091921740862667</v>
      </c>
      <c r="M235" s="3">
        <v>3</v>
      </c>
      <c r="N235" t="s">
        <v>823</v>
      </c>
      <c r="O235" t="s">
        <v>705</v>
      </c>
      <c r="P235" t="s">
        <v>734</v>
      </c>
    </row>
    <row r="236" spans="1:16" x14ac:dyDescent="0.4">
      <c r="A236" s="2">
        <v>45867</v>
      </c>
      <c r="B236" t="s">
        <v>32</v>
      </c>
      <c r="C236" t="s">
        <v>649</v>
      </c>
      <c r="D236" s="3" t="str">
        <f t="shared" si="6"/>
        <v>PASS</v>
      </c>
      <c r="E236" s="3" t="str">
        <f t="shared" si="7"/>
        <v>PASS</v>
      </c>
      <c r="F236" t="s">
        <v>649</v>
      </c>
      <c r="G236" t="s">
        <v>649</v>
      </c>
      <c r="H236" s="3">
        <v>24509189.300000001</v>
      </c>
      <c r="I236" s="3">
        <v>20496209.629999999</v>
      </c>
      <c r="J236" s="3">
        <v>1495.76</v>
      </c>
      <c r="K236" s="4">
        <v>1225459.4650000001</v>
      </c>
      <c r="L236" s="4">
        <v>0.14886068594446961</v>
      </c>
      <c r="M236" s="3">
        <v>2</v>
      </c>
      <c r="N236" t="s">
        <v>824</v>
      </c>
      <c r="O236" t="s">
        <v>710</v>
      </c>
      <c r="P236" t="s">
        <v>825</v>
      </c>
    </row>
    <row r="237" spans="1:16" x14ac:dyDescent="0.4">
      <c r="A237" s="2">
        <v>45867</v>
      </c>
      <c r="B237" t="s">
        <v>33</v>
      </c>
      <c r="C237" t="s">
        <v>649</v>
      </c>
      <c r="D237" s="3" t="str">
        <f t="shared" si="6"/>
        <v>PASS</v>
      </c>
      <c r="E237" s="3" t="str">
        <f t="shared" si="7"/>
        <v>PASS</v>
      </c>
      <c r="F237" t="s">
        <v>649</v>
      </c>
      <c r="G237" t="s">
        <v>649</v>
      </c>
      <c r="H237" s="3">
        <v>15543418.449999999</v>
      </c>
      <c r="I237" s="3">
        <v>13753905.68</v>
      </c>
      <c r="J237" s="3">
        <v>996.56</v>
      </c>
      <c r="K237" s="4">
        <v>777170.92249999999</v>
      </c>
      <c r="L237" s="4">
        <v>0.20915529546828041</v>
      </c>
      <c r="M237" s="3">
        <v>3</v>
      </c>
      <c r="N237" t="s">
        <v>826</v>
      </c>
      <c r="O237" t="s">
        <v>705</v>
      </c>
      <c r="P237" t="s">
        <v>734</v>
      </c>
    </row>
    <row r="238" spans="1:16" x14ac:dyDescent="0.4">
      <c r="A238" s="2">
        <v>45867</v>
      </c>
      <c r="B238" t="s">
        <v>34</v>
      </c>
      <c r="C238" t="s">
        <v>649</v>
      </c>
      <c r="D238" s="3" t="str">
        <f t="shared" si="6"/>
        <v>PASS</v>
      </c>
      <c r="E238" s="3" t="str">
        <f t="shared" si="7"/>
        <v>PASS</v>
      </c>
      <c r="F238" t="s">
        <v>649</v>
      </c>
      <c r="G238" t="s">
        <v>649</v>
      </c>
      <c r="H238" s="3">
        <v>166314669.03</v>
      </c>
      <c r="I238" s="3">
        <v>141677212.22999999</v>
      </c>
      <c r="J238" s="3">
        <v>10345.959999999999</v>
      </c>
      <c r="K238" s="4">
        <v>8315733.4515000004</v>
      </c>
      <c r="L238" s="4">
        <v>0.20736289515558609</v>
      </c>
      <c r="M238" s="3">
        <v>3</v>
      </c>
      <c r="N238" t="s">
        <v>827</v>
      </c>
      <c r="O238" t="s">
        <v>710</v>
      </c>
      <c r="P238" t="s">
        <v>825</v>
      </c>
    </row>
    <row r="239" spans="1:16" x14ac:dyDescent="0.4">
      <c r="A239" s="2">
        <v>45867</v>
      </c>
      <c r="B239" t="s">
        <v>35</v>
      </c>
      <c r="C239" t="s">
        <v>649</v>
      </c>
      <c r="D239" s="3" t="str">
        <f t="shared" si="6"/>
        <v>PASS</v>
      </c>
      <c r="E239" s="3" t="str">
        <f t="shared" si="7"/>
        <v>PASS</v>
      </c>
      <c r="F239" t="s">
        <v>649</v>
      </c>
      <c r="G239" t="s">
        <v>649</v>
      </c>
      <c r="H239" s="3">
        <v>138150963.63</v>
      </c>
      <c r="I239" s="3">
        <v>124508082.76000001</v>
      </c>
      <c r="J239" s="3">
        <v>8787.81</v>
      </c>
      <c r="K239" s="4">
        <v>6907548.1814999999</v>
      </c>
      <c r="L239" s="4">
        <v>0.2146412283557545</v>
      </c>
      <c r="M239" s="3">
        <v>3</v>
      </c>
      <c r="N239" t="s">
        <v>828</v>
      </c>
      <c r="O239" t="s">
        <v>737</v>
      </c>
      <c r="P239" t="s">
        <v>679</v>
      </c>
    </row>
    <row r="240" spans="1:16" x14ac:dyDescent="0.4">
      <c r="A240" s="2">
        <v>45867</v>
      </c>
      <c r="B240" t="s">
        <v>36</v>
      </c>
      <c r="C240" t="s">
        <v>649</v>
      </c>
      <c r="D240" s="3" t="str">
        <f t="shared" si="6"/>
        <v>PASS</v>
      </c>
      <c r="E240" s="3" t="str">
        <f t="shared" si="7"/>
        <v>PASS</v>
      </c>
      <c r="F240" t="s">
        <v>649</v>
      </c>
      <c r="G240" t="s">
        <v>649</v>
      </c>
      <c r="H240" s="3">
        <v>103149449.34999999</v>
      </c>
      <c r="I240" s="3">
        <v>92707974.569999993</v>
      </c>
      <c r="J240" s="3">
        <v>6763.16</v>
      </c>
      <c r="K240" s="4">
        <v>5157472.4675000003</v>
      </c>
      <c r="L240" s="4">
        <v>0.2076508377207297</v>
      </c>
      <c r="M240" s="3">
        <v>3</v>
      </c>
      <c r="N240" t="s">
        <v>829</v>
      </c>
      <c r="O240" t="s">
        <v>710</v>
      </c>
      <c r="P240" t="s">
        <v>825</v>
      </c>
    </row>
    <row r="241" spans="1:16" x14ac:dyDescent="0.4">
      <c r="A241" s="2">
        <v>45867</v>
      </c>
      <c r="B241" t="s">
        <v>37</v>
      </c>
      <c r="C241" t="s">
        <v>649</v>
      </c>
      <c r="D241" s="3" t="str">
        <f t="shared" si="6"/>
        <v>PASS</v>
      </c>
      <c r="E241" s="3" t="str">
        <f t="shared" si="7"/>
        <v>PASS</v>
      </c>
      <c r="F241" t="s">
        <v>649</v>
      </c>
      <c r="G241" t="s">
        <v>649</v>
      </c>
      <c r="H241" s="3">
        <v>40754343.380000003</v>
      </c>
      <c r="I241" s="3">
        <v>34920824.170000002</v>
      </c>
      <c r="J241" s="3">
        <v>2552.0500000000002</v>
      </c>
      <c r="K241" s="4">
        <v>2037717.169</v>
      </c>
      <c r="L241" s="4">
        <v>0.20726670472677949</v>
      </c>
      <c r="M241" s="3">
        <v>3</v>
      </c>
      <c r="N241" t="s">
        <v>827</v>
      </c>
      <c r="O241" t="s">
        <v>710</v>
      </c>
      <c r="P241" t="s">
        <v>825</v>
      </c>
    </row>
    <row r="242" spans="1:16" x14ac:dyDescent="0.4">
      <c r="A242" s="2">
        <v>45867</v>
      </c>
      <c r="B242" t="s">
        <v>38</v>
      </c>
      <c r="C242" t="s">
        <v>649</v>
      </c>
      <c r="D242" s="3" t="str">
        <f t="shared" si="6"/>
        <v>PASS</v>
      </c>
      <c r="E242" s="3" t="str">
        <f t="shared" si="7"/>
        <v>PASS</v>
      </c>
      <c r="F242" t="s">
        <v>649</v>
      </c>
      <c r="G242" t="s">
        <v>649</v>
      </c>
      <c r="H242" s="3">
        <v>43746916.990000002</v>
      </c>
      <c r="I242" s="3">
        <v>37941765.950000003</v>
      </c>
      <c r="J242" s="3">
        <v>2688.12</v>
      </c>
      <c r="K242" s="4">
        <v>2187345.8495</v>
      </c>
      <c r="L242" s="4">
        <v>0.2138603042214694</v>
      </c>
      <c r="M242" s="3">
        <v>3</v>
      </c>
      <c r="N242" t="s">
        <v>830</v>
      </c>
      <c r="O242" t="s">
        <v>831</v>
      </c>
      <c r="P242" t="s">
        <v>665</v>
      </c>
    </row>
    <row r="243" spans="1:16" x14ac:dyDescent="0.4">
      <c r="A243" s="2">
        <v>45867</v>
      </c>
      <c r="B243" t="s">
        <v>39</v>
      </c>
      <c r="C243" t="s">
        <v>649</v>
      </c>
      <c r="D243" s="3" t="str">
        <f t="shared" si="6"/>
        <v>PASS</v>
      </c>
      <c r="E243" s="3" t="str">
        <f t="shared" si="7"/>
        <v>PASS</v>
      </c>
      <c r="F243" t="s">
        <v>649</v>
      </c>
      <c r="G243" t="s">
        <v>649</v>
      </c>
      <c r="H243" s="3">
        <v>79475406.989999995</v>
      </c>
      <c r="I243" s="3">
        <v>71413963.780000001</v>
      </c>
      <c r="J243" s="3">
        <v>5148.21</v>
      </c>
      <c r="K243" s="4">
        <v>3973770.3495</v>
      </c>
      <c r="L243" s="4">
        <v>0.21012637266017281</v>
      </c>
      <c r="M243" s="3">
        <v>3</v>
      </c>
      <c r="N243" t="s">
        <v>832</v>
      </c>
      <c r="O243" t="s">
        <v>697</v>
      </c>
      <c r="P243" t="s">
        <v>730</v>
      </c>
    </row>
    <row r="244" spans="1:16" x14ac:dyDescent="0.4">
      <c r="A244" s="2">
        <v>45868</v>
      </c>
      <c r="B244" t="s">
        <v>27</v>
      </c>
      <c r="C244" t="s">
        <v>649</v>
      </c>
      <c r="D244" s="3" t="str">
        <f t="shared" si="6"/>
        <v>PASS</v>
      </c>
      <c r="E244" s="3" t="str">
        <f t="shared" si="7"/>
        <v>PASS</v>
      </c>
      <c r="F244" t="s">
        <v>649</v>
      </c>
      <c r="G244" t="s">
        <v>649</v>
      </c>
      <c r="H244" s="3">
        <v>55353192.68</v>
      </c>
      <c r="I244" s="3">
        <v>50131572.399999999</v>
      </c>
      <c r="J244" s="3">
        <v>3659.76</v>
      </c>
      <c r="K244" s="4">
        <v>2767659.6340000001</v>
      </c>
      <c r="L244" s="4">
        <v>0</v>
      </c>
      <c r="M244" s="3">
        <v>0</v>
      </c>
      <c r="N244" t="s">
        <v>29</v>
      </c>
      <c r="O244" t="s">
        <v>821</v>
      </c>
      <c r="P244" t="s">
        <v>806</v>
      </c>
    </row>
    <row r="245" spans="1:16" x14ac:dyDescent="0.4">
      <c r="A245" s="2">
        <v>45868</v>
      </c>
      <c r="B245" t="s">
        <v>30</v>
      </c>
      <c r="C245" t="s">
        <v>649</v>
      </c>
      <c r="D245" s="3" t="str">
        <f t="shared" si="6"/>
        <v>PASS</v>
      </c>
      <c r="E245" s="3" t="str">
        <f t="shared" si="7"/>
        <v>PASS</v>
      </c>
      <c r="F245" t="s">
        <v>649</v>
      </c>
      <c r="G245" t="s">
        <v>649</v>
      </c>
      <c r="H245" s="3">
        <v>35057183.700000003</v>
      </c>
      <c r="I245" s="3">
        <v>32970985.239999998</v>
      </c>
      <c r="J245" s="3">
        <v>2364.41</v>
      </c>
      <c r="K245" s="4">
        <v>1752859.1850000001</v>
      </c>
      <c r="L245" s="4">
        <v>0.212479895290618</v>
      </c>
      <c r="M245" s="3">
        <v>3</v>
      </c>
      <c r="N245" t="s">
        <v>833</v>
      </c>
      <c r="O245" t="s">
        <v>790</v>
      </c>
      <c r="P245" t="s">
        <v>693</v>
      </c>
    </row>
    <row r="246" spans="1:16" x14ac:dyDescent="0.4">
      <c r="A246" s="2">
        <v>45868</v>
      </c>
      <c r="B246" t="s">
        <v>31</v>
      </c>
      <c r="C246" t="s">
        <v>649</v>
      </c>
      <c r="D246" s="3" t="str">
        <f t="shared" si="6"/>
        <v>PASS</v>
      </c>
      <c r="E246" s="3" t="str">
        <f t="shared" si="7"/>
        <v>PASS</v>
      </c>
      <c r="F246" t="s">
        <v>649</v>
      </c>
      <c r="G246" t="s">
        <v>649</v>
      </c>
      <c r="H246" s="3">
        <v>23919832.670000002</v>
      </c>
      <c r="I246" s="3">
        <v>21693472.41</v>
      </c>
      <c r="J246" s="3">
        <v>1570.87</v>
      </c>
      <c r="K246" s="4">
        <v>1195991.6335</v>
      </c>
      <c r="L246" s="4">
        <v>0.21049177912495329</v>
      </c>
      <c r="M246" s="3">
        <v>3</v>
      </c>
      <c r="N246" t="s">
        <v>834</v>
      </c>
      <c r="O246" t="s">
        <v>705</v>
      </c>
      <c r="P246" t="s">
        <v>825</v>
      </c>
    </row>
    <row r="247" spans="1:16" x14ac:dyDescent="0.4">
      <c r="A247" s="2">
        <v>45868</v>
      </c>
      <c r="B247" t="s">
        <v>32</v>
      </c>
      <c r="C247" t="s">
        <v>649</v>
      </c>
      <c r="D247" s="3" t="str">
        <f t="shared" si="6"/>
        <v>PASS</v>
      </c>
      <c r="E247" s="3" t="str">
        <f t="shared" si="7"/>
        <v>PASS</v>
      </c>
      <c r="F247" t="s">
        <v>649</v>
      </c>
      <c r="G247" t="s">
        <v>649</v>
      </c>
      <c r="H247" s="3">
        <v>24477663.719999999</v>
      </c>
      <c r="I247" s="3">
        <v>20458467.690000001</v>
      </c>
      <c r="J247" s="3">
        <v>7486.34</v>
      </c>
      <c r="K247" s="4">
        <v>1223883.186</v>
      </c>
      <c r="L247" s="4">
        <v>0.15094373611223341</v>
      </c>
      <c r="M247" s="3">
        <v>2</v>
      </c>
      <c r="N247" t="s">
        <v>835</v>
      </c>
      <c r="O247" t="s">
        <v>710</v>
      </c>
      <c r="P247" t="s">
        <v>836</v>
      </c>
    </row>
    <row r="248" spans="1:16" x14ac:dyDescent="0.4">
      <c r="A248" s="2">
        <v>45868</v>
      </c>
      <c r="B248" t="s">
        <v>33</v>
      </c>
      <c r="C248" t="s">
        <v>649</v>
      </c>
      <c r="D248" s="3" t="str">
        <f t="shared" si="6"/>
        <v>PASS</v>
      </c>
      <c r="E248" s="3" t="str">
        <f t="shared" si="7"/>
        <v>PASS</v>
      </c>
      <c r="F248" t="s">
        <v>649</v>
      </c>
      <c r="G248" t="s">
        <v>649</v>
      </c>
      <c r="H248" s="3">
        <v>15525103.6</v>
      </c>
      <c r="I248" s="3">
        <v>13728570.890000001</v>
      </c>
      <c r="J248" s="3">
        <v>994.54</v>
      </c>
      <c r="K248" s="4">
        <v>776255.18</v>
      </c>
      <c r="L248" s="4">
        <v>0.21046878750957759</v>
      </c>
      <c r="M248" s="3">
        <v>3</v>
      </c>
      <c r="N248" t="s">
        <v>837</v>
      </c>
      <c r="O248" t="s">
        <v>705</v>
      </c>
      <c r="P248" t="s">
        <v>825</v>
      </c>
    </row>
    <row r="249" spans="1:16" x14ac:dyDescent="0.4">
      <c r="A249" s="2">
        <v>45868</v>
      </c>
      <c r="B249" t="s">
        <v>34</v>
      </c>
      <c r="C249" t="s">
        <v>649</v>
      </c>
      <c r="D249" s="3" t="str">
        <f t="shared" si="6"/>
        <v>PASS</v>
      </c>
      <c r="E249" s="3" t="str">
        <f t="shared" si="7"/>
        <v>PASS</v>
      </c>
      <c r="F249" t="s">
        <v>649</v>
      </c>
      <c r="G249" t="s">
        <v>649</v>
      </c>
      <c r="H249" s="3">
        <v>166135916.94999999</v>
      </c>
      <c r="I249" s="3">
        <v>141416311.71000001</v>
      </c>
      <c r="J249" s="3">
        <v>51739.85</v>
      </c>
      <c r="K249" s="4">
        <v>8306795.8475000001</v>
      </c>
      <c r="L249" s="4">
        <v>0.1507673435342709</v>
      </c>
      <c r="M249" s="3">
        <v>2</v>
      </c>
      <c r="N249" t="s">
        <v>838</v>
      </c>
      <c r="O249" t="s">
        <v>710</v>
      </c>
      <c r="P249" t="s">
        <v>836</v>
      </c>
    </row>
    <row r="250" spans="1:16" x14ac:dyDescent="0.4">
      <c r="A250" s="2">
        <v>45868</v>
      </c>
      <c r="B250" t="s">
        <v>35</v>
      </c>
      <c r="C250" t="s">
        <v>649</v>
      </c>
      <c r="D250" s="3" t="str">
        <f t="shared" si="6"/>
        <v>PASS</v>
      </c>
      <c r="E250" s="3" t="str">
        <f t="shared" si="7"/>
        <v>PASS</v>
      </c>
      <c r="F250" t="s">
        <v>649</v>
      </c>
      <c r="G250" t="s">
        <v>649</v>
      </c>
      <c r="H250" s="3">
        <v>137999660.41999999</v>
      </c>
      <c r="I250" s="3">
        <v>124278805.23</v>
      </c>
      <c r="J250" s="3">
        <v>8766.81</v>
      </c>
      <c r="K250" s="4">
        <v>6899983.0209999997</v>
      </c>
      <c r="L250" s="4">
        <v>0.2159707921502611</v>
      </c>
      <c r="M250" s="3">
        <v>3</v>
      </c>
      <c r="N250" t="s">
        <v>839</v>
      </c>
      <c r="O250" t="s">
        <v>831</v>
      </c>
      <c r="P250" t="s">
        <v>679</v>
      </c>
    </row>
    <row r="251" spans="1:16" x14ac:dyDescent="0.4">
      <c r="A251" s="2">
        <v>45868</v>
      </c>
      <c r="B251" t="s">
        <v>36</v>
      </c>
      <c r="C251" t="s">
        <v>649</v>
      </c>
      <c r="D251" s="3" t="str">
        <f t="shared" si="6"/>
        <v>PASS</v>
      </c>
      <c r="E251" s="3" t="str">
        <f t="shared" si="7"/>
        <v>PASS</v>
      </c>
      <c r="F251" t="s">
        <v>649</v>
      </c>
      <c r="G251" t="s">
        <v>649</v>
      </c>
      <c r="H251" s="3">
        <v>103031141.08</v>
      </c>
      <c r="I251" s="3">
        <v>92563355.450000003</v>
      </c>
      <c r="J251" s="3">
        <v>6749.61</v>
      </c>
      <c r="K251" s="4">
        <v>5151557.0539999995</v>
      </c>
      <c r="L251" s="4">
        <v>0.20894118980328061</v>
      </c>
      <c r="M251" s="3">
        <v>3</v>
      </c>
      <c r="N251" t="s">
        <v>840</v>
      </c>
      <c r="O251" t="s">
        <v>710</v>
      </c>
      <c r="P251" t="s">
        <v>836</v>
      </c>
    </row>
    <row r="252" spans="1:16" x14ac:dyDescent="0.4">
      <c r="A252" s="2">
        <v>45868</v>
      </c>
      <c r="B252" t="s">
        <v>37</v>
      </c>
      <c r="C252" t="s">
        <v>649</v>
      </c>
      <c r="D252" s="3" t="str">
        <f t="shared" si="6"/>
        <v>PASS</v>
      </c>
      <c r="E252" s="3" t="str">
        <f t="shared" si="7"/>
        <v>PASS</v>
      </c>
      <c r="F252" t="s">
        <v>649</v>
      </c>
      <c r="G252" t="s">
        <v>649</v>
      </c>
      <c r="H252" s="3">
        <v>40706285.100000001</v>
      </c>
      <c r="I252" s="3">
        <v>34856530.359999999</v>
      </c>
      <c r="J252" s="3">
        <v>2546.87</v>
      </c>
      <c r="K252" s="4">
        <v>2035314.2549999999</v>
      </c>
      <c r="L252" s="4">
        <v>0.15067044636281959</v>
      </c>
      <c r="M252" s="3">
        <v>2</v>
      </c>
      <c r="N252" t="s">
        <v>841</v>
      </c>
      <c r="O252" t="s">
        <v>710</v>
      </c>
      <c r="P252" t="s">
        <v>836</v>
      </c>
    </row>
    <row r="253" spans="1:16" x14ac:dyDescent="0.4">
      <c r="A253" s="2">
        <v>45868</v>
      </c>
      <c r="B253" t="s">
        <v>38</v>
      </c>
      <c r="C253" t="s">
        <v>649</v>
      </c>
      <c r="D253" s="3" t="str">
        <f t="shared" si="6"/>
        <v>PASS</v>
      </c>
      <c r="E253" s="3" t="str">
        <f t="shared" si="7"/>
        <v>PASS</v>
      </c>
      <c r="F253" t="s">
        <v>649</v>
      </c>
      <c r="G253" t="s">
        <v>649</v>
      </c>
      <c r="H253" s="3">
        <v>43696649.899999999</v>
      </c>
      <c r="I253" s="3">
        <v>37871885.990000002</v>
      </c>
      <c r="J253" s="3">
        <v>2681.72</v>
      </c>
      <c r="K253" s="4">
        <v>2184832.4950000001</v>
      </c>
      <c r="L253" s="4">
        <v>0.21520830242495881</v>
      </c>
      <c r="M253" s="3">
        <v>3</v>
      </c>
      <c r="N253" t="s">
        <v>842</v>
      </c>
      <c r="O253" t="s">
        <v>728</v>
      </c>
      <c r="P253" t="s">
        <v>665</v>
      </c>
    </row>
    <row r="254" spans="1:16" x14ac:dyDescent="0.4">
      <c r="A254" s="2">
        <v>45868</v>
      </c>
      <c r="B254" t="s">
        <v>39</v>
      </c>
      <c r="C254" t="s">
        <v>649</v>
      </c>
      <c r="D254" s="3" t="str">
        <f t="shared" si="6"/>
        <v>PASS</v>
      </c>
      <c r="E254" s="3" t="str">
        <f t="shared" si="7"/>
        <v>PASS</v>
      </c>
      <c r="F254" t="s">
        <v>649</v>
      </c>
      <c r="G254" t="s">
        <v>649</v>
      </c>
      <c r="H254" s="3">
        <v>79381863.219999999</v>
      </c>
      <c r="I254" s="3">
        <v>71282469.060000002</v>
      </c>
      <c r="J254" s="3">
        <v>5136.26</v>
      </c>
      <c r="K254" s="4">
        <v>3969093.1609999998</v>
      </c>
      <c r="L254" s="4">
        <v>0.21144264845454089</v>
      </c>
      <c r="M254" s="3">
        <v>3</v>
      </c>
      <c r="N254" t="s">
        <v>843</v>
      </c>
      <c r="O254" t="s">
        <v>744</v>
      </c>
      <c r="P254" t="s">
        <v>697</v>
      </c>
    </row>
    <row r="255" spans="1:16" x14ac:dyDescent="0.4">
      <c r="A255" s="2">
        <v>45869</v>
      </c>
      <c r="B255" t="s">
        <v>27</v>
      </c>
      <c r="C255" t="s">
        <v>649</v>
      </c>
      <c r="D255" s="3" t="str">
        <f t="shared" si="6"/>
        <v>PASS</v>
      </c>
      <c r="E255" s="3" t="str">
        <f t="shared" si="7"/>
        <v>PASS</v>
      </c>
      <c r="F255" t="s">
        <v>649</v>
      </c>
      <c r="G255" t="s">
        <v>649</v>
      </c>
      <c r="H255" s="3">
        <v>55237543.68</v>
      </c>
      <c r="I255" s="3">
        <v>49804445.450000003</v>
      </c>
      <c r="J255" s="3">
        <v>2852.53</v>
      </c>
      <c r="K255" s="4">
        <v>2761877.1839999999</v>
      </c>
      <c r="L255" s="4">
        <v>0</v>
      </c>
      <c r="M255" s="3">
        <v>0</v>
      </c>
      <c r="N255" t="s">
        <v>29</v>
      </c>
      <c r="O255" t="s">
        <v>844</v>
      </c>
      <c r="P255" t="s">
        <v>845</v>
      </c>
    </row>
    <row r="256" spans="1:16" x14ac:dyDescent="0.4">
      <c r="A256" s="2">
        <v>45869</v>
      </c>
      <c r="B256" t="s">
        <v>30</v>
      </c>
      <c r="C256" t="s">
        <v>649</v>
      </c>
      <c r="D256" s="3" t="str">
        <f t="shared" si="6"/>
        <v>PASS</v>
      </c>
      <c r="E256" s="3" t="str">
        <f t="shared" si="7"/>
        <v>PASS</v>
      </c>
      <c r="F256" t="s">
        <v>649</v>
      </c>
      <c r="G256" t="s">
        <v>649</v>
      </c>
      <c r="H256" s="3">
        <v>34969033.469999999</v>
      </c>
      <c r="I256" s="3">
        <v>32847275.100000001</v>
      </c>
      <c r="J256" s="3">
        <v>2527.5300000000002</v>
      </c>
      <c r="K256" s="4">
        <v>1748451.6735</v>
      </c>
      <c r="L256" s="4">
        <v>0.21819094918906509</v>
      </c>
      <c r="M256" s="3">
        <v>3</v>
      </c>
      <c r="N256" t="s">
        <v>846</v>
      </c>
      <c r="O256" t="s">
        <v>800</v>
      </c>
      <c r="P256" t="s">
        <v>665</v>
      </c>
    </row>
    <row r="257" spans="1:16" x14ac:dyDescent="0.4">
      <c r="A257" s="2">
        <v>45869</v>
      </c>
      <c r="B257" t="s">
        <v>31</v>
      </c>
      <c r="C257" t="s">
        <v>649</v>
      </c>
      <c r="D257" s="3" t="str">
        <f t="shared" si="6"/>
        <v>PASS</v>
      </c>
      <c r="E257" s="3" t="str">
        <f t="shared" si="7"/>
        <v>PASS</v>
      </c>
      <c r="F257" t="s">
        <v>649</v>
      </c>
      <c r="G257" t="s">
        <v>649</v>
      </c>
      <c r="H257" s="3">
        <v>23868974.66</v>
      </c>
      <c r="I257" s="3">
        <v>21612533.379999999</v>
      </c>
      <c r="J257" s="3">
        <v>1227.55</v>
      </c>
      <c r="K257" s="4">
        <v>1193448.733</v>
      </c>
      <c r="L257" s="4">
        <v>0.21604452563026311</v>
      </c>
      <c r="M257" s="3">
        <v>3</v>
      </c>
      <c r="N257" t="s">
        <v>847</v>
      </c>
      <c r="O257" t="s">
        <v>744</v>
      </c>
      <c r="P257" t="s">
        <v>693</v>
      </c>
    </row>
    <row r="258" spans="1:16" x14ac:dyDescent="0.4">
      <c r="A258" s="2">
        <v>45869</v>
      </c>
      <c r="B258" t="s">
        <v>32</v>
      </c>
      <c r="C258" t="s">
        <v>649</v>
      </c>
      <c r="D258" s="3" t="str">
        <f t="shared" ref="D258:D321" si="8">IF(I258/H258&gt;=0.5,"PASS","FAIL")</f>
        <v>PASS</v>
      </c>
      <c r="E258" s="3" t="str">
        <f t="shared" ref="E258:E321" si="9">IF(L258&lt;=0.5,"PASS","FAIL")</f>
        <v>PASS</v>
      </c>
      <c r="F258" t="s">
        <v>649</v>
      </c>
      <c r="G258" t="s">
        <v>649</v>
      </c>
      <c r="H258" s="3">
        <v>24438087.949999999</v>
      </c>
      <c r="I258" s="3">
        <v>20479602.170000002</v>
      </c>
      <c r="J258" s="3">
        <v>1421.39</v>
      </c>
      <c r="K258" s="4">
        <v>1221904.3975</v>
      </c>
      <c r="L258" s="4">
        <v>0.15488647808563899</v>
      </c>
      <c r="M258" s="3">
        <v>2</v>
      </c>
      <c r="N258" t="s">
        <v>848</v>
      </c>
      <c r="O258" t="s">
        <v>786</v>
      </c>
      <c r="P258" t="s">
        <v>705</v>
      </c>
    </row>
    <row r="259" spans="1:16" x14ac:dyDescent="0.4">
      <c r="A259" s="2">
        <v>45869</v>
      </c>
      <c r="B259" t="s">
        <v>33</v>
      </c>
      <c r="C259" t="s">
        <v>649</v>
      </c>
      <c r="D259" s="3" t="str">
        <f t="shared" si="8"/>
        <v>PASS</v>
      </c>
      <c r="E259" s="3" t="str">
        <f t="shared" si="9"/>
        <v>PASS</v>
      </c>
      <c r="F259" t="s">
        <v>649</v>
      </c>
      <c r="G259" t="s">
        <v>649</v>
      </c>
      <c r="H259" s="3">
        <v>15492286.5</v>
      </c>
      <c r="I259" s="3">
        <v>13701378.23</v>
      </c>
      <c r="J259" s="3">
        <v>859.83</v>
      </c>
      <c r="K259" s="4">
        <v>774614.32500000007</v>
      </c>
      <c r="L259" s="4">
        <v>0.21587963041851119</v>
      </c>
      <c r="M259" s="3">
        <v>3</v>
      </c>
      <c r="N259" t="s">
        <v>849</v>
      </c>
      <c r="O259" t="s">
        <v>744</v>
      </c>
      <c r="P259" t="s">
        <v>693</v>
      </c>
    </row>
    <row r="260" spans="1:16" x14ac:dyDescent="0.4">
      <c r="A260" s="2">
        <v>45869</v>
      </c>
      <c r="B260" t="s">
        <v>34</v>
      </c>
      <c r="C260" t="s">
        <v>649</v>
      </c>
      <c r="D260" s="3" t="str">
        <f t="shared" si="8"/>
        <v>PASS</v>
      </c>
      <c r="E260" s="3" t="str">
        <f t="shared" si="9"/>
        <v>PASS</v>
      </c>
      <c r="F260" t="s">
        <v>649</v>
      </c>
      <c r="G260" t="s">
        <v>649</v>
      </c>
      <c r="H260" s="3">
        <v>165824292.84999999</v>
      </c>
      <c r="I260" s="3">
        <v>141246299.83000001</v>
      </c>
      <c r="J260" s="3">
        <v>9866.01</v>
      </c>
      <c r="K260" s="4">
        <v>8291214.6425000001</v>
      </c>
      <c r="L260" s="4">
        <v>0.15449802075784899</v>
      </c>
      <c r="M260" s="3">
        <v>2</v>
      </c>
      <c r="N260" t="s">
        <v>850</v>
      </c>
      <c r="O260" t="s">
        <v>740</v>
      </c>
      <c r="P260" t="s">
        <v>710</v>
      </c>
    </row>
    <row r="261" spans="1:16" x14ac:dyDescent="0.4">
      <c r="A261" s="2">
        <v>45869</v>
      </c>
      <c r="B261" t="s">
        <v>35</v>
      </c>
      <c r="C261" t="s">
        <v>649</v>
      </c>
      <c r="D261" s="3" t="str">
        <f t="shared" si="8"/>
        <v>PASS</v>
      </c>
      <c r="E261" s="3" t="str">
        <f t="shared" si="9"/>
        <v>PASS</v>
      </c>
      <c r="F261" t="s">
        <v>649</v>
      </c>
      <c r="G261" t="s">
        <v>649</v>
      </c>
      <c r="H261" s="3">
        <v>137652420.90000001</v>
      </c>
      <c r="I261" s="3">
        <v>123992078.86</v>
      </c>
      <c r="J261" s="3">
        <v>7664.17</v>
      </c>
      <c r="K261" s="4">
        <v>6882621.0450000009</v>
      </c>
      <c r="L261" s="4">
        <v>0.22187210217704709</v>
      </c>
      <c r="M261" s="3">
        <v>3</v>
      </c>
      <c r="N261" t="s">
        <v>851</v>
      </c>
      <c r="O261" t="s">
        <v>852</v>
      </c>
      <c r="P261" t="s">
        <v>737</v>
      </c>
    </row>
    <row r="262" spans="1:16" x14ac:dyDescent="0.4">
      <c r="A262" s="2">
        <v>45869</v>
      </c>
      <c r="B262" t="s">
        <v>36</v>
      </c>
      <c r="C262" t="s">
        <v>649</v>
      </c>
      <c r="D262" s="3" t="str">
        <f t="shared" si="8"/>
        <v>PASS</v>
      </c>
      <c r="E262" s="3" t="str">
        <f t="shared" si="9"/>
        <v>PASS</v>
      </c>
      <c r="F262" t="s">
        <v>649</v>
      </c>
      <c r="G262" t="s">
        <v>649</v>
      </c>
      <c r="H262" s="3">
        <v>102824095.43000001</v>
      </c>
      <c r="I262" s="3">
        <v>92172720.729999989</v>
      </c>
      <c r="J262" s="3">
        <v>5227.93</v>
      </c>
      <c r="K262" s="4">
        <v>5141204.7715000007</v>
      </c>
      <c r="L262" s="4">
        <v>0.21440096292244909</v>
      </c>
      <c r="M262" s="3">
        <v>3</v>
      </c>
      <c r="N262" t="s">
        <v>853</v>
      </c>
      <c r="O262" t="s">
        <v>748</v>
      </c>
      <c r="P262" t="s">
        <v>697</v>
      </c>
    </row>
    <row r="263" spans="1:16" x14ac:dyDescent="0.4">
      <c r="A263" s="2">
        <v>45869</v>
      </c>
      <c r="B263" t="s">
        <v>37</v>
      </c>
      <c r="C263" t="s">
        <v>649</v>
      </c>
      <c r="D263" s="3" t="str">
        <f t="shared" si="8"/>
        <v>PASS</v>
      </c>
      <c r="E263" s="3" t="str">
        <f t="shared" si="9"/>
        <v>PASS</v>
      </c>
      <c r="F263" t="s">
        <v>649</v>
      </c>
      <c r="G263" t="s">
        <v>649</v>
      </c>
      <c r="H263" s="3">
        <v>40630262.390000001</v>
      </c>
      <c r="I263" s="3">
        <v>34794827.890000001</v>
      </c>
      <c r="J263" s="3">
        <v>2179.35</v>
      </c>
      <c r="K263" s="4">
        <v>2031513.1195</v>
      </c>
      <c r="L263" s="4">
        <v>0.15557235648439141</v>
      </c>
      <c r="M263" s="3">
        <v>2</v>
      </c>
      <c r="N263" t="s">
        <v>854</v>
      </c>
      <c r="O263" t="s">
        <v>748</v>
      </c>
      <c r="P263" t="s">
        <v>705</v>
      </c>
    </row>
    <row r="264" spans="1:16" x14ac:dyDescent="0.4">
      <c r="A264" s="2">
        <v>45869</v>
      </c>
      <c r="B264" t="s">
        <v>38</v>
      </c>
      <c r="C264" t="s">
        <v>649</v>
      </c>
      <c r="D264" s="3" t="str">
        <f t="shared" si="8"/>
        <v>PASS</v>
      </c>
      <c r="E264" s="3" t="str">
        <f t="shared" si="9"/>
        <v>PASS</v>
      </c>
      <c r="F264" t="s">
        <v>649</v>
      </c>
      <c r="G264" t="s">
        <v>649</v>
      </c>
      <c r="H264" s="3">
        <v>43606039.579999998</v>
      </c>
      <c r="I264" s="3">
        <v>37858817.590000004</v>
      </c>
      <c r="J264" s="3">
        <v>6372.57</v>
      </c>
      <c r="K264" s="4">
        <v>2180301.9789999998</v>
      </c>
      <c r="L264" s="4">
        <v>0.22075367999359649</v>
      </c>
      <c r="M264" s="3">
        <v>3</v>
      </c>
      <c r="N264" t="s">
        <v>855</v>
      </c>
      <c r="O264" t="s">
        <v>856</v>
      </c>
      <c r="P264" t="s">
        <v>831</v>
      </c>
    </row>
    <row r="265" spans="1:16" x14ac:dyDescent="0.4">
      <c r="A265" s="2">
        <v>45869</v>
      </c>
      <c r="B265" t="s">
        <v>39</v>
      </c>
      <c r="C265" t="s">
        <v>649</v>
      </c>
      <c r="D265" s="3" t="str">
        <f t="shared" si="8"/>
        <v>PASS</v>
      </c>
      <c r="E265" s="3" t="str">
        <f t="shared" si="9"/>
        <v>PASS</v>
      </c>
      <c r="F265" t="s">
        <v>649</v>
      </c>
      <c r="G265" t="s">
        <v>649</v>
      </c>
      <c r="H265" s="3">
        <v>79177910.349999994</v>
      </c>
      <c r="I265" s="3">
        <v>71285674.439999998</v>
      </c>
      <c r="J265" s="3">
        <v>5998.77</v>
      </c>
      <c r="K265" s="4">
        <v>3958895.5175000001</v>
      </c>
      <c r="L265" s="4">
        <v>0.2169696695987198</v>
      </c>
      <c r="M265" s="3">
        <v>3</v>
      </c>
      <c r="N265" t="s">
        <v>857</v>
      </c>
      <c r="O265" t="s">
        <v>790</v>
      </c>
      <c r="P265" t="s">
        <v>684</v>
      </c>
    </row>
    <row r="266" spans="1:16" x14ac:dyDescent="0.4">
      <c r="A266" s="2">
        <v>45870</v>
      </c>
      <c r="B266" t="s">
        <v>27</v>
      </c>
      <c r="C266" t="s">
        <v>649</v>
      </c>
      <c r="D266" s="3" t="str">
        <f t="shared" si="8"/>
        <v>PASS</v>
      </c>
      <c r="E266" s="3" t="str">
        <f t="shared" si="9"/>
        <v>PASS</v>
      </c>
      <c r="F266" t="s">
        <v>649</v>
      </c>
      <c r="G266" t="s">
        <v>649</v>
      </c>
      <c r="H266" s="3">
        <v>55088718.119999997</v>
      </c>
      <c r="I266" s="3">
        <v>48869237.07</v>
      </c>
      <c r="J266" s="3">
        <v>10739.16</v>
      </c>
      <c r="K266" s="4">
        <v>2754435.906</v>
      </c>
      <c r="L266" s="4">
        <v>0</v>
      </c>
      <c r="M266" s="3">
        <v>0</v>
      </c>
      <c r="N266" t="s">
        <v>29</v>
      </c>
      <c r="O266" t="s">
        <v>858</v>
      </c>
      <c r="P266" t="s">
        <v>845</v>
      </c>
    </row>
    <row r="267" spans="1:16" x14ac:dyDescent="0.4">
      <c r="A267" s="2">
        <v>45870</v>
      </c>
      <c r="B267" t="s">
        <v>30</v>
      </c>
      <c r="C267" t="s">
        <v>649</v>
      </c>
      <c r="D267" s="3" t="str">
        <f t="shared" si="8"/>
        <v>PASS</v>
      </c>
      <c r="E267" s="3" t="str">
        <f t="shared" si="9"/>
        <v>PASS</v>
      </c>
      <c r="F267" t="s">
        <v>649</v>
      </c>
      <c r="G267" t="s">
        <v>649</v>
      </c>
      <c r="H267" s="3">
        <v>34264244.549999997</v>
      </c>
      <c r="I267" s="3">
        <v>32161946</v>
      </c>
      <c r="J267" s="3">
        <v>6973.23</v>
      </c>
      <c r="K267" s="4">
        <v>1713212.2275</v>
      </c>
      <c r="L267" s="4">
        <v>0.21386117610966421</v>
      </c>
      <c r="M267" s="3">
        <v>3</v>
      </c>
      <c r="N267" t="s">
        <v>859</v>
      </c>
      <c r="O267" t="s">
        <v>744</v>
      </c>
      <c r="P267" t="s">
        <v>710</v>
      </c>
    </row>
    <row r="268" spans="1:16" x14ac:dyDescent="0.4">
      <c r="A268" s="2">
        <v>45870</v>
      </c>
      <c r="B268" t="s">
        <v>31</v>
      </c>
      <c r="C268" t="s">
        <v>649</v>
      </c>
      <c r="D268" s="3" t="str">
        <f t="shared" si="8"/>
        <v>PASS</v>
      </c>
      <c r="E268" s="3" t="str">
        <f t="shared" si="9"/>
        <v>PASS</v>
      </c>
      <c r="F268" t="s">
        <v>649</v>
      </c>
      <c r="G268" t="s">
        <v>649</v>
      </c>
      <c r="H268" s="3">
        <v>23446523.09</v>
      </c>
      <c r="I268" s="3">
        <v>21156353.920000002</v>
      </c>
      <c r="J268" s="3">
        <v>4635.12</v>
      </c>
      <c r="K268" s="4">
        <v>1172326.1544999999</v>
      </c>
      <c r="L268" s="4">
        <v>0.2112984016089379</v>
      </c>
      <c r="M268" s="3">
        <v>3</v>
      </c>
      <c r="N268" t="s">
        <v>860</v>
      </c>
      <c r="O268" t="s">
        <v>861</v>
      </c>
      <c r="P268" t="s">
        <v>711</v>
      </c>
    </row>
    <row r="269" spans="1:16" x14ac:dyDescent="0.4">
      <c r="A269" s="2">
        <v>45870</v>
      </c>
      <c r="B269" t="s">
        <v>32</v>
      </c>
      <c r="C269" t="s">
        <v>649</v>
      </c>
      <c r="D269" s="3" t="str">
        <f t="shared" si="8"/>
        <v>PASS</v>
      </c>
      <c r="E269" s="3" t="str">
        <f t="shared" si="9"/>
        <v>PASS</v>
      </c>
      <c r="F269" t="s">
        <v>649</v>
      </c>
      <c r="G269" t="s">
        <v>649</v>
      </c>
      <c r="H269" s="3">
        <v>24267984.550000001</v>
      </c>
      <c r="I269" s="3">
        <v>20021802.670000002</v>
      </c>
      <c r="J269" s="3">
        <v>4450.8599999999997</v>
      </c>
      <c r="K269" s="4">
        <v>1213399.2275</v>
      </c>
      <c r="L269" s="4">
        <v>0.1513698600889842</v>
      </c>
      <c r="M269" s="3">
        <v>2</v>
      </c>
      <c r="N269" t="s">
        <v>862</v>
      </c>
      <c r="O269" t="s">
        <v>863</v>
      </c>
      <c r="P269" t="s">
        <v>734</v>
      </c>
    </row>
    <row r="270" spans="1:16" x14ac:dyDescent="0.4">
      <c r="A270" s="2">
        <v>45870</v>
      </c>
      <c r="B270" t="s">
        <v>33</v>
      </c>
      <c r="C270" t="s">
        <v>649</v>
      </c>
      <c r="D270" s="3" t="str">
        <f t="shared" si="8"/>
        <v>PASS</v>
      </c>
      <c r="E270" s="3" t="str">
        <f t="shared" si="9"/>
        <v>PASS</v>
      </c>
      <c r="F270" t="s">
        <v>649</v>
      </c>
      <c r="G270" t="s">
        <v>649</v>
      </c>
      <c r="H270" s="3">
        <v>15256128.6</v>
      </c>
      <c r="I270" s="3">
        <v>13414928.26</v>
      </c>
      <c r="J270" s="3">
        <v>2941.8</v>
      </c>
      <c r="K270" s="4">
        <v>762806.43</v>
      </c>
      <c r="L270" s="4">
        <v>0.211190603718658</v>
      </c>
      <c r="M270" s="3">
        <v>3</v>
      </c>
      <c r="N270" t="s">
        <v>864</v>
      </c>
      <c r="O270" t="s">
        <v>861</v>
      </c>
      <c r="P270" t="s">
        <v>711</v>
      </c>
    </row>
    <row r="271" spans="1:16" x14ac:dyDescent="0.4">
      <c r="A271" s="2">
        <v>45870</v>
      </c>
      <c r="B271" t="s">
        <v>34</v>
      </c>
      <c r="C271" t="s">
        <v>649</v>
      </c>
      <c r="D271" s="3" t="str">
        <f t="shared" si="8"/>
        <v>PASS</v>
      </c>
      <c r="E271" s="3" t="str">
        <f t="shared" si="9"/>
        <v>PASS</v>
      </c>
      <c r="F271" t="s">
        <v>649</v>
      </c>
      <c r="G271" t="s">
        <v>649</v>
      </c>
      <c r="H271" s="3">
        <v>164708693.21000001</v>
      </c>
      <c r="I271" s="3">
        <v>138125750.38999999</v>
      </c>
      <c r="J271" s="3">
        <v>30769.35</v>
      </c>
      <c r="K271" s="4">
        <v>8235434.6605000012</v>
      </c>
      <c r="L271" s="4">
        <v>0.15083307123959261</v>
      </c>
      <c r="M271" s="3">
        <v>2</v>
      </c>
      <c r="N271" t="s">
        <v>865</v>
      </c>
      <c r="O271" t="s">
        <v>866</v>
      </c>
      <c r="P271" t="s">
        <v>825</v>
      </c>
    </row>
    <row r="272" spans="1:16" x14ac:dyDescent="0.4">
      <c r="A272" s="2">
        <v>45870</v>
      </c>
      <c r="B272" t="s">
        <v>35</v>
      </c>
      <c r="C272" t="s">
        <v>649</v>
      </c>
      <c r="D272" s="3" t="str">
        <f t="shared" si="8"/>
        <v>PASS</v>
      </c>
      <c r="E272" s="3" t="str">
        <f t="shared" si="9"/>
        <v>PASS</v>
      </c>
      <c r="F272" t="s">
        <v>649</v>
      </c>
      <c r="G272" t="s">
        <v>649</v>
      </c>
      <c r="H272" s="3">
        <v>135096626.05000001</v>
      </c>
      <c r="I272" s="3">
        <v>121250749.15000001</v>
      </c>
      <c r="J272" s="3">
        <v>25854.03</v>
      </c>
      <c r="K272" s="4">
        <v>6754831.3025000012</v>
      </c>
      <c r="L272" s="4">
        <v>0.21736283181178381</v>
      </c>
      <c r="M272" s="3">
        <v>3</v>
      </c>
      <c r="N272" t="s">
        <v>867</v>
      </c>
      <c r="O272" t="s">
        <v>728</v>
      </c>
      <c r="P272" t="s">
        <v>693</v>
      </c>
    </row>
    <row r="273" spans="1:16" x14ac:dyDescent="0.4">
      <c r="A273" s="2">
        <v>45870</v>
      </c>
      <c r="B273" t="s">
        <v>36</v>
      </c>
      <c r="C273" t="s">
        <v>649</v>
      </c>
      <c r="D273" s="3" t="str">
        <f t="shared" si="8"/>
        <v>PASS</v>
      </c>
      <c r="E273" s="3" t="str">
        <f t="shared" si="9"/>
        <v>PASS</v>
      </c>
      <c r="F273" t="s">
        <v>649</v>
      </c>
      <c r="G273" t="s">
        <v>649</v>
      </c>
      <c r="H273" s="3">
        <v>101125976.40000001</v>
      </c>
      <c r="I273" s="3">
        <v>90266642.300000012</v>
      </c>
      <c r="J273" s="3">
        <v>19918.32</v>
      </c>
      <c r="K273" s="4">
        <v>5056298.82</v>
      </c>
      <c r="L273" s="4">
        <v>0.20942000405729799</v>
      </c>
      <c r="M273" s="3">
        <v>3</v>
      </c>
      <c r="N273" t="s">
        <v>868</v>
      </c>
      <c r="O273" t="s">
        <v>869</v>
      </c>
      <c r="P273" t="s">
        <v>730</v>
      </c>
    </row>
    <row r="274" spans="1:16" x14ac:dyDescent="0.4">
      <c r="A274" s="2">
        <v>45870</v>
      </c>
      <c r="B274" t="s">
        <v>37</v>
      </c>
      <c r="C274" t="s">
        <v>649</v>
      </c>
      <c r="D274" s="3" t="str">
        <f t="shared" si="8"/>
        <v>PASS</v>
      </c>
      <c r="E274" s="3" t="str">
        <f t="shared" si="9"/>
        <v>PASS</v>
      </c>
      <c r="F274" t="s">
        <v>649</v>
      </c>
      <c r="G274" t="s">
        <v>649</v>
      </c>
      <c r="H274" s="3">
        <v>40048657.799999997</v>
      </c>
      <c r="I274" s="3">
        <v>34050296.259999998</v>
      </c>
      <c r="J274" s="3">
        <v>7534.95</v>
      </c>
      <c r="K274" s="4">
        <v>2002432.89</v>
      </c>
      <c r="L274" s="4">
        <v>0.1521095025749119</v>
      </c>
      <c r="M274" s="3">
        <v>2</v>
      </c>
      <c r="N274" t="s">
        <v>870</v>
      </c>
      <c r="O274" t="s">
        <v>863</v>
      </c>
      <c r="P274" t="s">
        <v>730</v>
      </c>
    </row>
    <row r="275" spans="1:16" x14ac:dyDescent="0.4">
      <c r="A275" s="2">
        <v>45870</v>
      </c>
      <c r="B275" t="s">
        <v>38</v>
      </c>
      <c r="C275" t="s">
        <v>649</v>
      </c>
      <c r="D275" s="3" t="str">
        <f t="shared" si="8"/>
        <v>PASS</v>
      </c>
      <c r="E275" s="3" t="str">
        <f t="shared" si="9"/>
        <v>PASS</v>
      </c>
      <c r="F275" t="s">
        <v>649</v>
      </c>
      <c r="G275" t="s">
        <v>649</v>
      </c>
      <c r="H275" s="3">
        <v>42901273.020000003</v>
      </c>
      <c r="I275" s="3">
        <v>37015132.369999997</v>
      </c>
      <c r="J275" s="3">
        <v>7933.5</v>
      </c>
      <c r="K275" s="4">
        <v>2145063.6510000001</v>
      </c>
      <c r="L275" s="4">
        <v>0.15742357166477239</v>
      </c>
      <c r="M275" s="3">
        <v>2</v>
      </c>
      <c r="N275" t="s">
        <v>871</v>
      </c>
      <c r="O275" t="s">
        <v>800</v>
      </c>
      <c r="P275" t="s">
        <v>697</v>
      </c>
    </row>
    <row r="276" spans="1:16" x14ac:dyDescent="0.4">
      <c r="A276" s="2">
        <v>45870</v>
      </c>
      <c r="B276" t="s">
        <v>39</v>
      </c>
      <c r="C276" t="s">
        <v>649</v>
      </c>
      <c r="D276" s="3" t="str">
        <f t="shared" si="8"/>
        <v>PASS</v>
      </c>
      <c r="E276" s="3" t="str">
        <f t="shared" si="9"/>
        <v>PASS</v>
      </c>
      <c r="F276" t="s">
        <v>649</v>
      </c>
      <c r="G276" t="s">
        <v>649</v>
      </c>
      <c r="H276" s="3">
        <v>77872184.700000003</v>
      </c>
      <c r="I276" s="3">
        <v>69647879.079999998</v>
      </c>
      <c r="J276" s="3">
        <v>15184.8</v>
      </c>
      <c r="K276" s="4">
        <v>3893609.2349999999</v>
      </c>
      <c r="L276" s="4">
        <v>0.2125198317380792</v>
      </c>
      <c r="M276" s="3">
        <v>3</v>
      </c>
      <c r="N276" t="s">
        <v>872</v>
      </c>
      <c r="O276" t="s">
        <v>748</v>
      </c>
      <c r="P276" t="s">
        <v>873</v>
      </c>
    </row>
    <row r="277" spans="1:16" x14ac:dyDescent="0.4">
      <c r="A277" s="2">
        <v>45873</v>
      </c>
      <c r="B277" t="s">
        <v>27</v>
      </c>
      <c r="C277" t="s">
        <v>649</v>
      </c>
      <c r="D277" s="3" t="str">
        <f t="shared" si="8"/>
        <v>PASS</v>
      </c>
      <c r="E277" s="3" t="str">
        <f t="shared" si="9"/>
        <v>PASS</v>
      </c>
      <c r="F277" t="s">
        <v>649</v>
      </c>
      <c r="G277" t="s">
        <v>649</v>
      </c>
      <c r="H277" s="3">
        <v>55474085.130000003</v>
      </c>
      <c r="I277" s="3">
        <v>49530484.799999997</v>
      </c>
      <c r="J277" s="3">
        <v>3568.13</v>
      </c>
      <c r="K277" s="4">
        <v>2773704.2565000001</v>
      </c>
      <c r="L277" s="4">
        <v>0</v>
      </c>
      <c r="M277" s="3">
        <v>0</v>
      </c>
      <c r="N277" t="s">
        <v>29</v>
      </c>
      <c r="O277" t="s">
        <v>874</v>
      </c>
      <c r="P277" t="s">
        <v>875</v>
      </c>
    </row>
    <row r="278" spans="1:16" x14ac:dyDescent="0.4">
      <c r="A278" s="2">
        <v>45873</v>
      </c>
      <c r="B278" t="s">
        <v>30</v>
      </c>
      <c r="C278" t="s">
        <v>649</v>
      </c>
      <c r="D278" s="3" t="str">
        <f t="shared" si="8"/>
        <v>PASS</v>
      </c>
      <c r="E278" s="3" t="str">
        <f t="shared" si="9"/>
        <v>PASS</v>
      </c>
      <c r="F278" t="s">
        <v>649</v>
      </c>
      <c r="G278" t="s">
        <v>649</v>
      </c>
      <c r="H278" s="3">
        <v>34524015.630000003</v>
      </c>
      <c r="I278" s="3">
        <v>32404001.789999999</v>
      </c>
      <c r="J278" s="3">
        <v>2302.81</v>
      </c>
      <c r="K278" s="4">
        <v>1726200.7815</v>
      </c>
      <c r="L278" s="4">
        <v>0.21524933592000689</v>
      </c>
      <c r="M278" s="3">
        <v>3</v>
      </c>
      <c r="N278" t="s">
        <v>876</v>
      </c>
      <c r="O278" t="s">
        <v>748</v>
      </c>
      <c r="P278" t="s">
        <v>710</v>
      </c>
    </row>
    <row r="279" spans="1:16" x14ac:dyDescent="0.4">
      <c r="A279" s="2">
        <v>45873</v>
      </c>
      <c r="B279" t="s">
        <v>31</v>
      </c>
      <c r="C279" t="s">
        <v>649</v>
      </c>
      <c r="D279" s="3" t="str">
        <f t="shared" si="8"/>
        <v>PASS</v>
      </c>
      <c r="E279" s="3" t="str">
        <f t="shared" si="9"/>
        <v>PASS</v>
      </c>
      <c r="F279" t="s">
        <v>649</v>
      </c>
      <c r="G279" t="s">
        <v>649</v>
      </c>
      <c r="H279" s="3">
        <v>23586731.77</v>
      </c>
      <c r="I279" s="3">
        <v>21318943.66</v>
      </c>
      <c r="J279" s="3">
        <v>1534.01</v>
      </c>
      <c r="K279" s="4">
        <v>1179336.5885000001</v>
      </c>
      <c r="L279" s="4">
        <v>0.21302014412434489</v>
      </c>
      <c r="M279" s="3">
        <v>3</v>
      </c>
      <c r="N279" t="s">
        <v>877</v>
      </c>
      <c r="O279" t="s">
        <v>861</v>
      </c>
      <c r="P279" t="s">
        <v>734</v>
      </c>
    </row>
    <row r="280" spans="1:16" x14ac:dyDescent="0.4">
      <c r="A280" s="2">
        <v>45873</v>
      </c>
      <c r="B280" t="s">
        <v>32</v>
      </c>
      <c r="C280" t="s">
        <v>649</v>
      </c>
      <c r="D280" s="3" t="str">
        <f t="shared" si="8"/>
        <v>PASS</v>
      </c>
      <c r="E280" s="3" t="str">
        <f t="shared" si="9"/>
        <v>PASS</v>
      </c>
      <c r="F280" t="s">
        <v>649</v>
      </c>
      <c r="G280" t="s">
        <v>649</v>
      </c>
      <c r="H280" s="3">
        <v>24407194.73</v>
      </c>
      <c r="I280" s="3">
        <v>20307720.309999999</v>
      </c>
      <c r="J280" s="3">
        <v>1474.34</v>
      </c>
      <c r="K280" s="4">
        <v>1220359.7365000001</v>
      </c>
      <c r="L280" s="4">
        <v>0.15355685045772541</v>
      </c>
      <c r="M280" s="3">
        <v>2</v>
      </c>
      <c r="N280" t="s">
        <v>878</v>
      </c>
      <c r="O280" t="s">
        <v>863</v>
      </c>
      <c r="P280" t="s">
        <v>836</v>
      </c>
    </row>
    <row r="281" spans="1:16" x14ac:dyDescent="0.4">
      <c r="A281" s="2">
        <v>45873</v>
      </c>
      <c r="B281" t="s">
        <v>33</v>
      </c>
      <c r="C281" t="s">
        <v>649</v>
      </c>
      <c r="D281" s="3" t="str">
        <f t="shared" si="8"/>
        <v>PASS</v>
      </c>
      <c r="E281" s="3" t="str">
        <f t="shared" si="9"/>
        <v>PASS</v>
      </c>
      <c r="F281" t="s">
        <v>649</v>
      </c>
      <c r="G281" t="s">
        <v>649</v>
      </c>
      <c r="H281" s="3">
        <v>15353468.640000001</v>
      </c>
      <c r="I281" s="3">
        <v>13519070.539999999</v>
      </c>
      <c r="J281" s="3">
        <v>973.36</v>
      </c>
      <c r="K281" s="4">
        <v>767673.43200000003</v>
      </c>
      <c r="L281" s="4">
        <v>0.21285004641000241</v>
      </c>
      <c r="M281" s="3">
        <v>3</v>
      </c>
      <c r="N281" t="s">
        <v>877</v>
      </c>
      <c r="O281" t="s">
        <v>861</v>
      </c>
      <c r="P281" t="s">
        <v>825</v>
      </c>
    </row>
    <row r="282" spans="1:16" x14ac:dyDescent="0.4">
      <c r="A282" s="2">
        <v>45873</v>
      </c>
      <c r="B282" t="s">
        <v>34</v>
      </c>
      <c r="C282" t="s">
        <v>649</v>
      </c>
      <c r="D282" s="3" t="str">
        <f t="shared" si="8"/>
        <v>PASS</v>
      </c>
      <c r="E282" s="3" t="str">
        <f t="shared" si="9"/>
        <v>PASS</v>
      </c>
      <c r="F282" t="s">
        <v>649</v>
      </c>
      <c r="G282" t="s">
        <v>649</v>
      </c>
      <c r="H282" s="3">
        <v>165497173.00999999</v>
      </c>
      <c r="I282" s="3">
        <v>140541948.34999999</v>
      </c>
      <c r="J282" s="3">
        <v>10202.870000000001</v>
      </c>
      <c r="K282" s="4">
        <v>8274858.6505000005</v>
      </c>
      <c r="L282" s="4">
        <v>0.15369914241470381</v>
      </c>
      <c r="M282" s="3">
        <v>2</v>
      </c>
      <c r="N282" t="s">
        <v>879</v>
      </c>
      <c r="O282" t="s">
        <v>869</v>
      </c>
      <c r="P282" t="s">
        <v>836</v>
      </c>
    </row>
    <row r="283" spans="1:16" x14ac:dyDescent="0.4">
      <c r="A283" s="2">
        <v>45873</v>
      </c>
      <c r="B283" t="s">
        <v>35</v>
      </c>
      <c r="C283" t="s">
        <v>649</v>
      </c>
      <c r="D283" s="3" t="str">
        <f t="shared" si="8"/>
        <v>PASS</v>
      </c>
      <c r="E283" s="3" t="str">
        <f t="shared" si="9"/>
        <v>PASS</v>
      </c>
      <c r="F283" t="s">
        <v>649</v>
      </c>
      <c r="G283" t="s">
        <v>649</v>
      </c>
      <c r="H283" s="3">
        <v>136047537.03</v>
      </c>
      <c r="I283" s="3">
        <v>122158250.69</v>
      </c>
      <c r="J283" s="3">
        <v>8542.11</v>
      </c>
      <c r="K283" s="4">
        <v>6802376.8515000008</v>
      </c>
      <c r="L283" s="4">
        <v>0.218796013414852</v>
      </c>
      <c r="M283" s="3">
        <v>3</v>
      </c>
      <c r="N283" t="s">
        <v>880</v>
      </c>
      <c r="O283" t="s">
        <v>800</v>
      </c>
      <c r="P283" t="s">
        <v>697</v>
      </c>
    </row>
    <row r="284" spans="1:16" x14ac:dyDescent="0.4">
      <c r="A284" s="2">
        <v>45873</v>
      </c>
      <c r="B284" t="s">
        <v>36</v>
      </c>
      <c r="C284" t="s">
        <v>649</v>
      </c>
      <c r="D284" s="3" t="str">
        <f t="shared" si="8"/>
        <v>PASS</v>
      </c>
      <c r="E284" s="3" t="str">
        <f t="shared" si="9"/>
        <v>PASS</v>
      </c>
      <c r="F284" t="s">
        <v>649</v>
      </c>
      <c r="G284" t="s">
        <v>649</v>
      </c>
      <c r="H284" s="3">
        <v>101647676.73</v>
      </c>
      <c r="I284" s="3">
        <v>90944648.810000002</v>
      </c>
      <c r="J284" s="3">
        <v>6600.56</v>
      </c>
      <c r="K284" s="4">
        <v>5082383.8365000002</v>
      </c>
      <c r="L284" s="4">
        <v>0.21130692439297019</v>
      </c>
      <c r="M284" s="3">
        <v>3</v>
      </c>
      <c r="N284" t="s">
        <v>881</v>
      </c>
      <c r="O284" t="s">
        <v>869</v>
      </c>
      <c r="P284" t="s">
        <v>836</v>
      </c>
    </row>
    <row r="285" spans="1:16" x14ac:dyDescent="0.4">
      <c r="A285" s="2">
        <v>45873</v>
      </c>
      <c r="B285" t="s">
        <v>37</v>
      </c>
      <c r="C285" t="s">
        <v>649</v>
      </c>
      <c r="D285" s="3" t="str">
        <f t="shared" si="8"/>
        <v>PASS</v>
      </c>
      <c r="E285" s="3" t="str">
        <f t="shared" si="9"/>
        <v>PASS</v>
      </c>
      <c r="F285" t="s">
        <v>649</v>
      </c>
      <c r="G285" t="s">
        <v>649</v>
      </c>
      <c r="H285" s="3">
        <v>40282826.130000003</v>
      </c>
      <c r="I285" s="3">
        <v>34316147.380000003</v>
      </c>
      <c r="J285" s="3">
        <v>2494.8000000000002</v>
      </c>
      <c r="K285" s="4">
        <v>2014141.3064999999</v>
      </c>
      <c r="L285" s="4">
        <v>0.15335020951703279</v>
      </c>
      <c r="M285" s="3">
        <v>2</v>
      </c>
      <c r="N285" t="s">
        <v>882</v>
      </c>
      <c r="O285" t="s">
        <v>863</v>
      </c>
      <c r="P285" t="s">
        <v>836</v>
      </c>
    </row>
    <row r="286" spans="1:16" x14ac:dyDescent="0.4">
      <c r="A286" s="2">
        <v>45873</v>
      </c>
      <c r="B286" t="s">
        <v>38</v>
      </c>
      <c r="C286" t="s">
        <v>649</v>
      </c>
      <c r="D286" s="3" t="str">
        <f t="shared" si="8"/>
        <v>PASS</v>
      </c>
      <c r="E286" s="3" t="str">
        <f t="shared" si="9"/>
        <v>PASS</v>
      </c>
      <c r="F286" t="s">
        <v>649</v>
      </c>
      <c r="G286" t="s">
        <v>649</v>
      </c>
      <c r="H286" s="3">
        <v>43209752.149999999</v>
      </c>
      <c r="I286" s="3">
        <v>37299425.219999999</v>
      </c>
      <c r="J286" s="3">
        <v>2620.0500000000002</v>
      </c>
      <c r="K286" s="4">
        <v>2160487.6074999999</v>
      </c>
      <c r="L286" s="4">
        <v>0.15840818894045219</v>
      </c>
      <c r="M286" s="3">
        <v>2</v>
      </c>
      <c r="N286" t="s">
        <v>883</v>
      </c>
      <c r="O286" t="s">
        <v>790</v>
      </c>
      <c r="P286" t="s">
        <v>705</v>
      </c>
    </row>
    <row r="287" spans="1:16" x14ac:dyDescent="0.4">
      <c r="A287" s="2">
        <v>45873</v>
      </c>
      <c r="B287" t="s">
        <v>39</v>
      </c>
      <c r="C287" t="s">
        <v>649</v>
      </c>
      <c r="D287" s="3" t="str">
        <f t="shared" si="8"/>
        <v>PASS</v>
      </c>
      <c r="E287" s="3" t="str">
        <f t="shared" si="9"/>
        <v>PASS</v>
      </c>
      <c r="F287" t="s">
        <v>649</v>
      </c>
      <c r="G287" t="s">
        <v>649</v>
      </c>
      <c r="H287" s="3">
        <v>78432478.260000005</v>
      </c>
      <c r="I287" s="3">
        <v>70186052.079999998</v>
      </c>
      <c r="J287" s="3">
        <v>5017.97</v>
      </c>
      <c r="K287" s="4">
        <v>3921623.9130000011</v>
      </c>
      <c r="L287" s="4">
        <v>0.21397527017658391</v>
      </c>
      <c r="M287" s="3">
        <v>3</v>
      </c>
      <c r="N287" t="s">
        <v>884</v>
      </c>
      <c r="O287" t="s">
        <v>786</v>
      </c>
      <c r="P287" t="s">
        <v>873</v>
      </c>
    </row>
    <row r="288" spans="1:16" x14ac:dyDescent="0.4">
      <c r="A288" s="2">
        <v>45874</v>
      </c>
      <c r="B288" t="s">
        <v>27</v>
      </c>
      <c r="C288" t="s">
        <v>649</v>
      </c>
      <c r="D288" s="3" t="str">
        <f t="shared" si="8"/>
        <v>PASS</v>
      </c>
      <c r="E288" s="3" t="str">
        <f t="shared" si="9"/>
        <v>PASS</v>
      </c>
      <c r="F288" t="s">
        <v>649</v>
      </c>
      <c r="G288" t="s">
        <v>649</v>
      </c>
      <c r="H288" s="3">
        <v>54851621.439999998</v>
      </c>
      <c r="I288" s="3">
        <v>49574433.140000001</v>
      </c>
      <c r="J288" s="3">
        <v>3595.75</v>
      </c>
      <c r="K288" s="4">
        <v>2742581.0720000002</v>
      </c>
      <c r="L288" s="4">
        <v>0</v>
      </c>
      <c r="M288" s="3">
        <v>0</v>
      </c>
      <c r="N288" t="s">
        <v>29</v>
      </c>
      <c r="O288" t="s">
        <v>774</v>
      </c>
      <c r="P288" t="s">
        <v>858</v>
      </c>
    </row>
    <row r="289" spans="1:16" x14ac:dyDescent="0.4">
      <c r="A289" s="2">
        <v>45874</v>
      </c>
      <c r="B289" t="s">
        <v>30</v>
      </c>
      <c r="C289" t="s">
        <v>649</v>
      </c>
      <c r="D289" s="3" t="str">
        <f t="shared" si="8"/>
        <v>PASS</v>
      </c>
      <c r="E289" s="3" t="str">
        <f t="shared" si="9"/>
        <v>PASS</v>
      </c>
      <c r="F289" t="s">
        <v>649</v>
      </c>
      <c r="G289" t="s">
        <v>649</v>
      </c>
      <c r="H289" s="3">
        <v>34454079.609999999</v>
      </c>
      <c r="I289" s="3">
        <v>32425613.420000002</v>
      </c>
      <c r="J289" s="3">
        <v>2321.8200000000002</v>
      </c>
      <c r="K289" s="4">
        <v>1722703.9805000001</v>
      </c>
      <c r="L289" s="4">
        <v>0.2150863807853455</v>
      </c>
      <c r="M289" s="3">
        <v>3</v>
      </c>
      <c r="N289" t="s">
        <v>885</v>
      </c>
      <c r="O289" t="s">
        <v>762</v>
      </c>
      <c r="P289" t="s">
        <v>861</v>
      </c>
    </row>
    <row r="290" spans="1:16" x14ac:dyDescent="0.4">
      <c r="A290" s="2">
        <v>45874</v>
      </c>
      <c r="B290" t="s">
        <v>31</v>
      </c>
      <c r="C290" t="s">
        <v>649</v>
      </c>
      <c r="D290" s="3" t="str">
        <f t="shared" si="8"/>
        <v>PASS</v>
      </c>
      <c r="E290" s="3" t="str">
        <f t="shared" si="9"/>
        <v>PASS</v>
      </c>
      <c r="F290" t="s">
        <v>649</v>
      </c>
      <c r="G290" t="s">
        <v>649</v>
      </c>
      <c r="H290" s="3">
        <v>23549999.82</v>
      </c>
      <c r="I290" s="3">
        <v>21333172.800000001</v>
      </c>
      <c r="J290" s="3">
        <v>1544.29</v>
      </c>
      <c r="K290" s="4">
        <v>1177499.9909999999</v>
      </c>
      <c r="L290" s="4">
        <v>0.21276094345744759</v>
      </c>
      <c r="M290" s="3">
        <v>3</v>
      </c>
      <c r="N290" t="s">
        <v>886</v>
      </c>
      <c r="O290" t="s">
        <v>869</v>
      </c>
      <c r="P290" t="s">
        <v>711</v>
      </c>
    </row>
    <row r="291" spans="1:16" x14ac:dyDescent="0.4">
      <c r="A291" s="2">
        <v>45874</v>
      </c>
      <c r="B291" t="s">
        <v>32</v>
      </c>
      <c r="C291" t="s">
        <v>649</v>
      </c>
      <c r="D291" s="3" t="str">
        <f t="shared" si="8"/>
        <v>PASS</v>
      </c>
      <c r="E291" s="3" t="str">
        <f t="shared" si="9"/>
        <v>PASS</v>
      </c>
      <c r="F291" t="s">
        <v>649</v>
      </c>
      <c r="G291" t="s">
        <v>649</v>
      </c>
      <c r="H291" s="3">
        <v>24369470.620000001</v>
      </c>
      <c r="I291" s="3">
        <v>20321286.77</v>
      </c>
      <c r="J291" s="3">
        <v>1484.42</v>
      </c>
      <c r="K291" s="4">
        <v>1218473.531</v>
      </c>
      <c r="L291" s="4">
        <v>0.15386346317580959</v>
      </c>
      <c r="M291" s="3">
        <v>2</v>
      </c>
      <c r="N291" t="s">
        <v>887</v>
      </c>
      <c r="O291" t="s">
        <v>866</v>
      </c>
      <c r="P291" t="s">
        <v>734</v>
      </c>
    </row>
    <row r="292" spans="1:16" x14ac:dyDescent="0.4">
      <c r="A292" s="2">
        <v>45874</v>
      </c>
      <c r="B292" t="s">
        <v>33</v>
      </c>
      <c r="C292" t="s">
        <v>649</v>
      </c>
      <c r="D292" s="3" t="str">
        <f t="shared" si="8"/>
        <v>PASS</v>
      </c>
      <c r="E292" s="3" t="str">
        <f t="shared" si="9"/>
        <v>PASS</v>
      </c>
      <c r="F292" t="s">
        <v>649</v>
      </c>
      <c r="G292" t="s">
        <v>649</v>
      </c>
      <c r="H292" s="3">
        <v>15324734.970000001</v>
      </c>
      <c r="I292" s="3">
        <v>13528074.74</v>
      </c>
      <c r="J292" s="3">
        <v>980.36</v>
      </c>
      <c r="K292" s="4">
        <v>766236.7485000001</v>
      </c>
      <c r="L292" s="4">
        <v>0.2126766463863963</v>
      </c>
      <c r="M292" s="3">
        <v>3</v>
      </c>
      <c r="N292" t="s">
        <v>886</v>
      </c>
      <c r="O292" t="s">
        <v>863</v>
      </c>
      <c r="P292" t="s">
        <v>730</v>
      </c>
    </row>
    <row r="293" spans="1:16" x14ac:dyDescent="0.4">
      <c r="A293" s="2">
        <v>45874</v>
      </c>
      <c r="B293" t="s">
        <v>34</v>
      </c>
      <c r="C293" t="s">
        <v>649</v>
      </c>
      <c r="D293" s="3" t="str">
        <f t="shared" si="8"/>
        <v>PASS</v>
      </c>
      <c r="E293" s="3" t="str">
        <f t="shared" si="9"/>
        <v>PASS</v>
      </c>
      <c r="F293" t="s">
        <v>649</v>
      </c>
      <c r="G293" t="s">
        <v>649</v>
      </c>
      <c r="H293" s="3">
        <v>165305076.34999999</v>
      </c>
      <c r="I293" s="3">
        <v>140635687.93000001</v>
      </c>
      <c r="J293" s="3">
        <v>10260.39</v>
      </c>
      <c r="K293" s="4">
        <v>8265253.8174999999</v>
      </c>
      <c r="L293" s="4">
        <v>0.15394094893490851</v>
      </c>
      <c r="M293" s="3">
        <v>2</v>
      </c>
      <c r="N293" t="s">
        <v>887</v>
      </c>
      <c r="O293" t="s">
        <v>866</v>
      </c>
      <c r="P293" t="s">
        <v>734</v>
      </c>
    </row>
    <row r="294" spans="1:16" x14ac:dyDescent="0.4">
      <c r="A294" s="2">
        <v>45874</v>
      </c>
      <c r="B294" t="s">
        <v>35</v>
      </c>
      <c r="C294" t="s">
        <v>649</v>
      </c>
      <c r="D294" s="3" t="str">
        <f t="shared" si="8"/>
        <v>PASS</v>
      </c>
      <c r="E294" s="3" t="str">
        <f t="shared" si="9"/>
        <v>PASS</v>
      </c>
      <c r="F294" t="s">
        <v>649</v>
      </c>
      <c r="G294" t="s">
        <v>649</v>
      </c>
      <c r="H294" s="3">
        <v>135804460.88</v>
      </c>
      <c r="I294" s="3">
        <v>122239735.47</v>
      </c>
      <c r="J294" s="3">
        <v>8611.7000000000007</v>
      </c>
      <c r="K294" s="4">
        <v>6790223.0439999998</v>
      </c>
      <c r="L294" s="4">
        <v>0.21860027240885641</v>
      </c>
      <c r="M294" s="3">
        <v>3</v>
      </c>
      <c r="N294" t="s">
        <v>888</v>
      </c>
      <c r="O294" t="s">
        <v>748</v>
      </c>
      <c r="P294" t="s">
        <v>705</v>
      </c>
    </row>
    <row r="295" spans="1:16" x14ac:dyDescent="0.4">
      <c r="A295" s="2">
        <v>45874</v>
      </c>
      <c r="B295" t="s">
        <v>36</v>
      </c>
      <c r="C295" t="s">
        <v>649</v>
      </c>
      <c r="D295" s="3" t="str">
        <f t="shared" si="8"/>
        <v>PASS</v>
      </c>
      <c r="E295" s="3" t="str">
        <f t="shared" si="9"/>
        <v>PASS</v>
      </c>
      <c r="F295" t="s">
        <v>649</v>
      </c>
      <c r="G295" t="s">
        <v>649</v>
      </c>
      <c r="H295" s="3">
        <v>101514286.91</v>
      </c>
      <c r="I295" s="3">
        <v>91005296.120000005</v>
      </c>
      <c r="J295" s="3">
        <v>6638.77</v>
      </c>
      <c r="K295" s="4">
        <v>5075714.3454999998</v>
      </c>
      <c r="L295" s="4">
        <v>0.21099301952414179</v>
      </c>
      <c r="M295" s="3">
        <v>3</v>
      </c>
      <c r="N295" t="s">
        <v>889</v>
      </c>
      <c r="O295" t="s">
        <v>866</v>
      </c>
      <c r="P295" t="s">
        <v>734</v>
      </c>
    </row>
    <row r="296" spans="1:16" x14ac:dyDescent="0.4">
      <c r="A296" s="2">
        <v>45874</v>
      </c>
      <c r="B296" t="s">
        <v>37</v>
      </c>
      <c r="C296" t="s">
        <v>649</v>
      </c>
      <c r="D296" s="3" t="str">
        <f t="shared" si="8"/>
        <v>PASS</v>
      </c>
      <c r="E296" s="3" t="str">
        <f t="shared" si="9"/>
        <v>PASS</v>
      </c>
      <c r="F296" t="s">
        <v>649</v>
      </c>
      <c r="G296" t="s">
        <v>649</v>
      </c>
      <c r="H296" s="3">
        <v>40215570.5</v>
      </c>
      <c r="I296" s="3">
        <v>34339011.990000002</v>
      </c>
      <c r="J296" s="3">
        <v>2511.84</v>
      </c>
      <c r="K296" s="4">
        <v>2010778.5249999999</v>
      </c>
      <c r="L296" s="4">
        <v>0.15367159552226489</v>
      </c>
      <c r="M296" s="3">
        <v>2</v>
      </c>
      <c r="N296" t="s">
        <v>890</v>
      </c>
      <c r="O296" t="s">
        <v>866</v>
      </c>
      <c r="P296" t="s">
        <v>734</v>
      </c>
    </row>
    <row r="297" spans="1:16" x14ac:dyDescent="0.4">
      <c r="A297" s="2">
        <v>45874</v>
      </c>
      <c r="B297" t="s">
        <v>38</v>
      </c>
      <c r="C297" t="s">
        <v>649</v>
      </c>
      <c r="D297" s="3" t="str">
        <f t="shared" si="8"/>
        <v>PASS</v>
      </c>
      <c r="E297" s="3" t="str">
        <f t="shared" si="9"/>
        <v>PASS</v>
      </c>
      <c r="F297" t="s">
        <v>649</v>
      </c>
      <c r="G297" t="s">
        <v>649</v>
      </c>
      <c r="H297" s="3">
        <v>43121992.310000002</v>
      </c>
      <c r="I297" s="3">
        <v>37324314.340000004</v>
      </c>
      <c r="J297" s="3">
        <v>2642.63</v>
      </c>
      <c r="K297" s="4">
        <v>2156099.6154999998</v>
      </c>
      <c r="L297" s="4">
        <v>0.15881450011397691</v>
      </c>
      <c r="M297" s="3">
        <v>2</v>
      </c>
      <c r="N297" t="s">
        <v>891</v>
      </c>
      <c r="O297" t="s">
        <v>786</v>
      </c>
      <c r="P297" t="s">
        <v>710</v>
      </c>
    </row>
    <row r="298" spans="1:16" x14ac:dyDescent="0.4">
      <c r="A298" s="2">
        <v>45874</v>
      </c>
      <c r="B298" t="s">
        <v>39</v>
      </c>
      <c r="C298" t="s">
        <v>649</v>
      </c>
      <c r="D298" s="3" t="str">
        <f t="shared" si="8"/>
        <v>PASS</v>
      </c>
      <c r="E298" s="3" t="str">
        <f t="shared" si="9"/>
        <v>PASS</v>
      </c>
      <c r="F298" t="s">
        <v>649</v>
      </c>
      <c r="G298" t="s">
        <v>649</v>
      </c>
      <c r="H298" s="3">
        <v>78279887.719999999</v>
      </c>
      <c r="I298" s="3">
        <v>70232883.789999992</v>
      </c>
      <c r="J298" s="3">
        <v>5058.8100000000004</v>
      </c>
      <c r="K298" s="4">
        <v>3913994.3859999999</v>
      </c>
      <c r="L298" s="4">
        <v>0.21381393819240099</v>
      </c>
      <c r="M298" s="3">
        <v>3</v>
      </c>
      <c r="N298" t="s">
        <v>892</v>
      </c>
      <c r="O298" t="s">
        <v>753</v>
      </c>
      <c r="P298" t="s">
        <v>869</v>
      </c>
    </row>
    <row r="299" spans="1:16" x14ac:dyDescent="0.4">
      <c r="A299" s="2">
        <v>45875</v>
      </c>
      <c r="B299" t="s">
        <v>27</v>
      </c>
      <c r="C299" t="s">
        <v>649</v>
      </c>
      <c r="D299" s="3" t="str">
        <f t="shared" si="8"/>
        <v>PASS</v>
      </c>
      <c r="E299" s="3" t="str">
        <f t="shared" si="9"/>
        <v>PASS</v>
      </c>
      <c r="F299" t="s">
        <v>649</v>
      </c>
      <c r="G299" t="s">
        <v>649</v>
      </c>
      <c r="H299" s="3">
        <v>54857099.450000003</v>
      </c>
      <c r="I299" s="3">
        <v>49885485.859999999</v>
      </c>
      <c r="J299" s="3">
        <v>3596.59</v>
      </c>
      <c r="K299" s="4">
        <v>2742854.9725000001</v>
      </c>
      <c r="L299" s="4">
        <v>0</v>
      </c>
      <c r="M299" s="3">
        <v>0</v>
      </c>
      <c r="N299" t="s">
        <v>29</v>
      </c>
      <c r="O299" t="s">
        <v>893</v>
      </c>
      <c r="P299" t="s">
        <v>858</v>
      </c>
    </row>
    <row r="300" spans="1:16" x14ac:dyDescent="0.4">
      <c r="A300" s="2">
        <v>45875</v>
      </c>
      <c r="B300" t="s">
        <v>30</v>
      </c>
      <c r="C300" t="s">
        <v>649</v>
      </c>
      <c r="D300" s="3" t="str">
        <f t="shared" si="8"/>
        <v>PASS</v>
      </c>
      <c r="E300" s="3" t="str">
        <f t="shared" si="9"/>
        <v>PASS</v>
      </c>
      <c r="F300" t="s">
        <v>649</v>
      </c>
      <c r="G300" t="s">
        <v>649</v>
      </c>
      <c r="H300" s="3">
        <v>34646834.020000003</v>
      </c>
      <c r="I300" s="3">
        <v>32771561.25</v>
      </c>
      <c r="J300" s="3">
        <v>2316.5700000000002</v>
      </c>
      <c r="K300" s="4">
        <v>1732341.7009999999</v>
      </c>
      <c r="L300" s="4">
        <v>0.2169868551996437</v>
      </c>
      <c r="M300" s="3">
        <v>3</v>
      </c>
      <c r="N300" t="s">
        <v>894</v>
      </c>
      <c r="O300" t="s">
        <v>757</v>
      </c>
      <c r="P300" t="s">
        <v>873</v>
      </c>
    </row>
    <row r="301" spans="1:16" x14ac:dyDescent="0.4">
      <c r="A301" s="2">
        <v>45875</v>
      </c>
      <c r="B301" t="s">
        <v>31</v>
      </c>
      <c r="C301" t="s">
        <v>649</v>
      </c>
      <c r="D301" s="3" t="str">
        <f t="shared" si="8"/>
        <v>PASS</v>
      </c>
      <c r="E301" s="3" t="str">
        <f t="shared" si="9"/>
        <v>PASS</v>
      </c>
      <c r="F301" t="s">
        <v>649</v>
      </c>
      <c r="G301" t="s">
        <v>649</v>
      </c>
      <c r="H301" s="3">
        <v>23661074.609999999</v>
      </c>
      <c r="I301" s="3">
        <v>21562600.73</v>
      </c>
      <c r="J301" s="3">
        <v>1541.51</v>
      </c>
      <c r="K301" s="4">
        <v>1183053.7305000001</v>
      </c>
      <c r="L301" s="4">
        <v>0.21479229990058271</v>
      </c>
      <c r="M301" s="3">
        <v>3</v>
      </c>
      <c r="N301" t="s">
        <v>895</v>
      </c>
      <c r="O301" t="s">
        <v>896</v>
      </c>
      <c r="P301" t="s">
        <v>869</v>
      </c>
    </row>
    <row r="302" spans="1:16" x14ac:dyDescent="0.4">
      <c r="A302" s="2">
        <v>45875</v>
      </c>
      <c r="B302" t="s">
        <v>32</v>
      </c>
      <c r="C302" t="s">
        <v>649</v>
      </c>
      <c r="D302" s="3" t="str">
        <f t="shared" si="8"/>
        <v>PASS</v>
      </c>
      <c r="E302" s="3" t="str">
        <f t="shared" si="9"/>
        <v>PASS</v>
      </c>
      <c r="F302" t="s">
        <v>649</v>
      </c>
      <c r="G302" t="s">
        <v>649</v>
      </c>
      <c r="H302" s="3">
        <v>24482754.010000002</v>
      </c>
      <c r="I302" s="3">
        <v>20528388.219999999</v>
      </c>
      <c r="J302" s="3">
        <v>1481.57</v>
      </c>
      <c r="K302" s="4">
        <v>1224137.7005</v>
      </c>
      <c r="L302" s="4">
        <v>0.15319788475342269</v>
      </c>
      <c r="M302" s="3">
        <v>2</v>
      </c>
      <c r="N302" t="s">
        <v>897</v>
      </c>
      <c r="O302" t="s">
        <v>863</v>
      </c>
      <c r="P302" t="s">
        <v>898</v>
      </c>
    </row>
    <row r="303" spans="1:16" x14ac:dyDescent="0.4">
      <c r="A303" s="2">
        <v>45875</v>
      </c>
      <c r="B303" t="s">
        <v>33</v>
      </c>
      <c r="C303" t="s">
        <v>649</v>
      </c>
      <c r="D303" s="3" t="str">
        <f t="shared" si="8"/>
        <v>PASS</v>
      </c>
      <c r="E303" s="3" t="str">
        <f t="shared" si="9"/>
        <v>PASS</v>
      </c>
      <c r="F303" t="s">
        <v>649</v>
      </c>
      <c r="G303" t="s">
        <v>649</v>
      </c>
      <c r="H303" s="3">
        <v>15402911.49</v>
      </c>
      <c r="I303" s="3">
        <v>13666334.73</v>
      </c>
      <c r="J303" s="3">
        <v>978.2</v>
      </c>
      <c r="K303" s="4">
        <v>770145.5745000001</v>
      </c>
      <c r="L303" s="4">
        <v>0.21448586270441411</v>
      </c>
      <c r="M303" s="3">
        <v>3</v>
      </c>
      <c r="N303" t="s">
        <v>899</v>
      </c>
      <c r="O303" t="s">
        <v>896</v>
      </c>
      <c r="P303" t="s">
        <v>869</v>
      </c>
    </row>
    <row r="304" spans="1:16" x14ac:dyDescent="0.4">
      <c r="A304" s="2">
        <v>45875</v>
      </c>
      <c r="B304" t="s">
        <v>34</v>
      </c>
      <c r="C304" t="s">
        <v>649</v>
      </c>
      <c r="D304" s="3" t="str">
        <f t="shared" si="8"/>
        <v>PASS</v>
      </c>
      <c r="E304" s="3" t="str">
        <f t="shared" si="9"/>
        <v>PASS</v>
      </c>
      <c r="F304" t="s">
        <v>649</v>
      </c>
      <c r="G304" t="s">
        <v>649</v>
      </c>
      <c r="H304" s="3">
        <v>165997447.84</v>
      </c>
      <c r="I304" s="3">
        <v>142160542.50999999</v>
      </c>
      <c r="J304" s="3">
        <v>10245.040000000001</v>
      </c>
      <c r="K304" s="4">
        <v>8299872.3920000009</v>
      </c>
      <c r="L304" s="4">
        <v>0.21308395999802909</v>
      </c>
      <c r="M304" s="3">
        <v>3</v>
      </c>
      <c r="N304" t="s">
        <v>900</v>
      </c>
      <c r="O304" t="s">
        <v>901</v>
      </c>
      <c r="P304" t="s">
        <v>863</v>
      </c>
    </row>
    <row r="305" spans="1:16" x14ac:dyDescent="0.4">
      <c r="A305" s="2">
        <v>45875</v>
      </c>
      <c r="B305" t="s">
        <v>35</v>
      </c>
      <c r="C305" t="s">
        <v>649</v>
      </c>
      <c r="D305" s="3" t="str">
        <f t="shared" si="8"/>
        <v>PASS</v>
      </c>
      <c r="E305" s="3" t="str">
        <f t="shared" si="9"/>
        <v>PASS</v>
      </c>
      <c r="F305" t="s">
        <v>649</v>
      </c>
      <c r="G305" t="s">
        <v>649</v>
      </c>
      <c r="H305" s="3">
        <v>136528632.44999999</v>
      </c>
      <c r="I305" s="3">
        <v>123557469.91</v>
      </c>
      <c r="J305" s="3">
        <v>8593.43</v>
      </c>
      <c r="K305" s="4">
        <v>6826431.6224999996</v>
      </c>
      <c r="L305" s="4">
        <v>0.22052898946772639</v>
      </c>
      <c r="M305" s="3">
        <v>3</v>
      </c>
      <c r="N305" t="s">
        <v>902</v>
      </c>
      <c r="O305" t="s">
        <v>903</v>
      </c>
      <c r="P305" t="s">
        <v>762</v>
      </c>
    </row>
    <row r="306" spans="1:16" x14ac:dyDescent="0.4">
      <c r="A306" s="2">
        <v>45875</v>
      </c>
      <c r="B306" t="s">
        <v>36</v>
      </c>
      <c r="C306" t="s">
        <v>649</v>
      </c>
      <c r="D306" s="3" t="str">
        <f t="shared" si="8"/>
        <v>PASS</v>
      </c>
      <c r="E306" s="3" t="str">
        <f t="shared" si="9"/>
        <v>PASS</v>
      </c>
      <c r="F306" t="s">
        <v>649</v>
      </c>
      <c r="G306" t="s">
        <v>649</v>
      </c>
      <c r="H306" s="3">
        <v>101967636.5</v>
      </c>
      <c r="I306" s="3">
        <v>91980595.449999988</v>
      </c>
      <c r="J306" s="3">
        <v>6628.61</v>
      </c>
      <c r="K306" s="4">
        <v>5098381.8250000002</v>
      </c>
      <c r="L306" s="4">
        <v>0.2130874959106768</v>
      </c>
      <c r="M306" s="3">
        <v>3</v>
      </c>
      <c r="N306" t="s">
        <v>900</v>
      </c>
      <c r="O306" t="s">
        <v>901</v>
      </c>
      <c r="P306" t="s">
        <v>863</v>
      </c>
    </row>
    <row r="307" spans="1:16" x14ac:dyDescent="0.4">
      <c r="A307" s="2">
        <v>45875</v>
      </c>
      <c r="B307" t="s">
        <v>37</v>
      </c>
      <c r="C307" t="s">
        <v>649</v>
      </c>
      <c r="D307" s="3" t="str">
        <f t="shared" si="8"/>
        <v>PASS</v>
      </c>
      <c r="E307" s="3" t="str">
        <f t="shared" si="9"/>
        <v>PASS</v>
      </c>
      <c r="F307" t="s">
        <v>649</v>
      </c>
      <c r="G307" t="s">
        <v>649</v>
      </c>
      <c r="H307" s="3">
        <v>40406391.140000001</v>
      </c>
      <c r="I307" s="3">
        <v>34685755.969999999</v>
      </c>
      <c r="J307" s="3">
        <v>2506.77</v>
      </c>
      <c r="K307" s="4">
        <v>2020319.557</v>
      </c>
      <c r="L307" s="4">
        <v>0.2124158761144814</v>
      </c>
      <c r="M307" s="3">
        <v>3</v>
      </c>
      <c r="N307" t="s">
        <v>904</v>
      </c>
      <c r="O307" t="s">
        <v>866</v>
      </c>
      <c r="P307" t="s">
        <v>898</v>
      </c>
    </row>
    <row r="308" spans="1:16" x14ac:dyDescent="0.4">
      <c r="A308" s="2">
        <v>45875</v>
      </c>
      <c r="B308" t="s">
        <v>38</v>
      </c>
      <c r="C308" t="s">
        <v>649</v>
      </c>
      <c r="D308" s="3" t="str">
        <f t="shared" si="8"/>
        <v>PASS</v>
      </c>
      <c r="E308" s="3" t="str">
        <f t="shared" si="9"/>
        <v>PASS</v>
      </c>
      <c r="F308" t="s">
        <v>649</v>
      </c>
      <c r="G308" t="s">
        <v>649</v>
      </c>
      <c r="H308" s="3">
        <v>43353866.039999999</v>
      </c>
      <c r="I308" s="3">
        <v>37704595.090000004</v>
      </c>
      <c r="J308" s="3">
        <v>2636.06</v>
      </c>
      <c r="K308" s="4">
        <v>2167693.3020000001</v>
      </c>
      <c r="L308" s="4">
        <v>0.21936096143371461</v>
      </c>
      <c r="M308" s="3">
        <v>3</v>
      </c>
      <c r="N308" t="s">
        <v>905</v>
      </c>
      <c r="O308" t="s">
        <v>762</v>
      </c>
      <c r="P308" t="s">
        <v>710</v>
      </c>
    </row>
    <row r="309" spans="1:16" x14ac:dyDescent="0.4">
      <c r="A309" s="2">
        <v>45875</v>
      </c>
      <c r="B309" t="s">
        <v>39</v>
      </c>
      <c r="C309" t="s">
        <v>649</v>
      </c>
      <c r="D309" s="3" t="str">
        <f t="shared" si="8"/>
        <v>PASS</v>
      </c>
      <c r="E309" s="3" t="str">
        <f t="shared" si="9"/>
        <v>PASS</v>
      </c>
      <c r="F309" t="s">
        <v>649</v>
      </c>
      <c r="G309" t="s">
        <v>649</v>
      </c>
      <c r="H309" s="3">
        <v>78713311.599999994</v>
      </c>
      <c r="I309" s="3">
        <v>70946020.679999992</v>
      </c>
      <c r="J309" s="3">
        <v>5047.3599999999997</v>
      </c>
      <c r="K309" s="4">
        <v>3935665.58</v>
      </c>
      <c r="L309" s="4">
        <v>0.21554671177448489</v>
      </c>
      <c r="M309" s="3">
        <v>3</v>
      </c>
      <c r="N309" t="s">
        <v>906</v>
      </c>
      <c r="O309" t="s">
        <v>759</v>
      </c>
      <c r="P309" t="s">
        <v>861</v>
      </c>
    </row>
    <row r="310" spans="1:16" x14ac:dyDescent="0.4">
      <c r="A310" s="2">
        <v>45876</v>
      </c>
      <c r="B310" t="s">
        <v>27</v>
      </c>
      <c r="C310" t="s">
        <v>649</v>
      </c>
      <c r="D310" s="3" t="str">
        <f t="shared" si="8"/>
        <v>PASS</v>
      </c>
      <c r="E310" s="3" t="str">
        <f t="shared" si="9"/>
        <v>PASS</v>
      </c>
      <c r="F310" t="s">
        <v>649</v>
      </c>
      <c r="G310" t="s">
        <v>649</v>
      </c>
      <c r="H310" s="3">
        <v>54619620.82</v>
      </c>
      <c r="I310" s="3">
        <v>49619125.930000007</v>
      </c>
      <c r="J310" s="3">
        <v>3596.73</v>
      </c>
      <c r="K310" s="4">
        <v>2730981.0410000002</v>
      </c>
      <c r="L310" s="4">
        <v>0</v>
      </c>
      <c r="M310" s="3">
        <v>0</v>
      </c>
      <c r="N310" t="s">
        <v>29</v>
      </c>
      <c r="O310" t="s">
        <v>907</v>
      </c>
      <c r="P310" t="s">
        <v>858</v>
      </c>
    </row>
    <row r="311" spans="1:16" x14ac:dyDescent="0.4">
      <c r="A311" s="2">
        <v>45876</v>
      </c>
      <c r="B311" t="s">
        <v>30</v>
      </c>
      <c r="C311" t="s">
        <v>649</v>
      </c>
      <c r="D311" s="3" t="str">
        <f t="shared" si="8"/>
        <v>PASS</v>
      </c>
      <c r="E311" s="3" t="str">
        <f t="shared" si="9"/>
        <v>PASS</v>
      </c>
      <c r="F311" t="s">
        <v>649</v>
      </c>
      <c r="G311" t="s">
        <v>649</v>
      </c>
      <c r="H311" s="3">
        <v>34614536.399999999</v>
      </c>
      <c r="I311" s="3">
        <v>32749734.620000001</v>
      </c>
      <c r="J311" s="3">
        <v>2330.4</v>
      </c>
      <c r="K311" s="4">
        <v>1730726.82</v>
      </c>
      <c r="L311" s="4">
        <v>0.21924828290864909</v>
      </c>
      <c r="M311" s="3">
        <v>3</v>
      </c>
      <c r="N311" t="s">
        <v>908</v>
      </c>
      <c r="O311" t="s">
        <v>759</v>
      </c>
      <c r="P311" t="s">
        <v>866</v>
      </c>
    </row>
    <row r="312" spans="1:16" x14ac:dyDescent="0.4">
      <c r="A312" s="2">
        <v>45876</v>
      </c>
      <c r="B312" t="s">
        <v>31</v>
      </c>
      <c r="C312" t="s">
        <v>649</v>
      </c>
      <c r="D312" s="3" t="str">
        <f t="shared" si="8"/>
        <v>PASS</v>
      </c>
      <c r="E312" s="3" t="str">
        <f t="shared" si="9"/>
        <v>PASS</v>
      </c>
      <c r="F312" t="s">
        <v>649</v>
      </c>
      <c r="G312" t="s">
        <v>649</v>
      </c>
      <c r="H312" s="3">
        <v>23641430.530000001</v>
      </c>
      <c r="I312" s="3">
        <v>21548197.760000002</v>
      </c>
      <c r="J312" s="3">
        <v>1549.46</v>
      </c>
      <c r="K312" s="4">
        <v>1182071.5264999999</v>
      </c>
      <c r="L312" s="4">
        <v>0.21701229868596811</v>
      </c>
      <c r="M312" s="3">
        <v>3</v>
      </c>
      <c r="N312" t="s">
        <v>909</v>
      </c>
      <c r="O312" t="s">
        <v>901</v>
      </c>
      <c r="P312" t="s">
        <v>910</v>
      </c>
    </row>
    <row r="313" spans="1:16" x14ac:dyDescent="0.4">
      <c r="A313" s="2">
        <v>45876</v>
      </c>
      <c r="B313" t="s">
        <v>32</v>
      </c>
      <c r="C313" t="s">
        <v>649</v>
      </c>
      <c r="D313" s="3" t="str">
        <f t="shared" si="8"/>
        <v>PASS</v>
      </c>
      <c r="E313" s="3" t="str">
        <f t="shared" si="9"/>
        <v>PASS</v>
      </c>
      <c r="F313" t="s">
        <v>649</v>
      </c>
      <c r="G313" t="s">
        <v>649</v>
      </c>
      <c r="H313" s="3">
        <v>24463920.07</v>
      </c>
      <c r="I313" s="3">
        <v>20514704.5</v>
      </c>
      <c r="J313" s="3">
        <v>1489.69</v>
      </c>
      <c r="K313" s="4">
        <v>1223196.0035000001</v>
      </c>
      <c r="L313" s="4">
        <v>0.2148661291452838</v>
      </c>
      <c r="M313" s="3">
        <v>3</v>
      </c>
      <c r="N313" t="s">
        <v>911</v>
      </c>
      <c r="O313" t="s">
        <v>912</v>
      </c>
      <c r="P313" t="s">
        <v>913</v>
      </c>
    </row>
    <row r="314" spans="1:16" x14ac:dyDescent="0.4">
      <c r="A314" s="2">
        <v>45876</v>
      </c>
      <c r="B314" t="s">
        <v>33</v>
      </c>
      <c r="C314" t="s">
        <v>649</v>
      </c>
      <c r="D314" s="3" t="str">
        <f t="shared" si="8"/>
        <v>PASS</v>
      </c>
      <c r="E314" s="3" t="str">
        <f t="shared" si="9"/>
        <v>PASS</v>
      </c>
      <c r="F314" t="s">
        <v>649</v>
      </c>
      <c r="G314" t="s">
        <v>649</v>
      </c>
      <c r="H314" s="3">
        <v>15391144.42</v>
      </c>
      <c r="I314" s="3">
        <v>13657236.59</v>
      </c>
      <c r="J314" s="3">
        <v>983.8</v>
      </c>
      <c r="K314" s="4">
        <v>769557.22100000002</v>
      </c>
      <c r="L314" s="4">
        <v>0.21669176673579649</v>
      </c>
      <c r="M314" s="3">
        <v>3</v>
      </c>
      <c r="N314" t="s">
        <v>914</v>
      </c>
      <c r="O314" t="s">
        <v>901</v>
      </c>
      <c r="P314" t="s">
        <v>915</v>
      </c>
    </row>
    <row r="315" spans="1:16" x14ac:dyDescent="0.4">
      <c r="A315" s="2">
        <v>45876</v>
      </c>
      <c r="B315" t="s">
        <v>34</v>
      </c>
      <c r="C315" t="s">
        <v>649</v>
      </c>
      <c r="D315" s="3" t="str">
        <f t="shared" si="8"/>
        <v>PASS</v>
      </c>
      <c r="E315" s="3" t="str">
        <f t="shared" si="9"/>
        <v>PASS</v>
      </c>
      <c r="F315" t="s">
        <v>649</v>
      </c>
      <c r="G315" t="s">
        <v>649</v>
      </c>
      <c r="H315" s="3">
        <v>165870976.43000001</v>
      </c>
      <c r="I315" s="3">
        <v>142065793.25</v>
      </c>
      <c r="J315" s="3">
        <v>10294.57</v>
      </c>
      <c r="K315" s="4">
        <v>8293548.8215000005</v>
      </c>
      <c r="L315" s="4">
        <v>0.21528135786858679</v>
      </c>
      <c r="M315" s="3">
        <v>3</v>
      </c>
      <c r="N315" t="s">
        <v>916</v>
      </c>
      <c r="O315" t="s">
        <v>912</v>
      </c>
      <c r="P315" t="s">
        <v>913</v>
      </c>
    </row>
    <row r="316" spans="1:16" x14ac:dyDescent="0.4">
      <c r="A316" s="2">
        <v>45876</v>
      </c>
      <c r="B316" t="s">
        <v>35</v>
      </c>
      <c r="C316" t="s">
        <v>649</v>
      </c>
      <c r="D316" s="3" t="str">
        <f t="shared" si="8"/>
        <v>PASS</v>
      </c>
      <c r="E316" s="3" t="str">
        <f t="shared" si="9"/>
        <v>PASS</v>
      </c>
      <c r="F316" t="s">
        <v>649</v>
      </c>
      <c r="G316" t="s">
        <v>649</v>
      </c>
      <c r="H316" s="3">
        <v>136414495.44999999</v>
      </c>
      <c r="I316" s="3">
        <v>123475109.34999999</v>
      </c>
      <c r="J316" s="3">
        <v>8645.3799999999992</v>
      </c>
      <c r="K316" s="4">
        <v>6820724.7725</v>
      </c>
      <c r="L316" s="4">
        <v>0.22281663617356051</v>
      </c>
      <c r="M316" s="3">
        <v>3</v>
      </c>
      <c r="N316" t="s">
        <v>917</v>
      </c>
      <c r="O316" t="s">
        <v>918</v>
      </c>
      <c r="P316" t="s">
        <v>762</v>
      </c>
    </row>
    <row r="317" spans="1:16" x14ac:dyDescent="0.4">
      <c r="A317" s="2">
        <v>45876</v>
      </c>
      <c r="B317" t="s">
        <v>36</v>
      </c>
      <c r="C317" t="s">
        <v>649</v>
      </c>
      <c r="D317" s="3" t="str">
        <f t="shared" si="8"/>
        <v>PASS</v>
      </c>
      <c r="E317" s="3" t="str">
        <f t="shared" si="9"/>
        <v>PASS</v>
      </c>
      <c r="F317" t="s">
        <v>649</v>
      </c>
      <c r="G317" t="s">
        <v>649</v>
      </c>
      <c r="H317" s="3">
        <v>101897399.8</v>
      </c>
      <c r="I317" s="3">
        <v>91919370.400000006</v>
      </c>
      <c r="J317" s="3">
        <v>6661.04</v>
      </c>
      <c r="K317" s="4">
        <v>5094869.99</v>
      </c>
      <c r="L317" s="4">
        <v>0.21525638199496999</v>
      </c>
      <c r="M317" s="3">
        <v>3</v>
      </c>
      <c r="N317" t="s">
        <v>919</v>
      </c>
      <c r="O317" t="s">
        <v>912</v>
      </c>
      <c r="P317" t="s">
        <v>913</v>
      </c>
    </row>
    <row r="318" spans="1:16" x14ac:dyDescent="0.4">
      <c r="A318" s="2">
        <v>45876</v>
      </c>
      <c r="B318" t="s">
        <v>37</v>
      </c>
      <c r="C318" t="s">
        <v>649</v>
      </c>
      <c r="D318" s="3" t="str">
        <f t="shared" si="8"/>
        <v>PASS</v>
      </c>
      <c r="E318" s="3" t="str">
        <f t="shared" si="9"/>
        <v>PASS</v>
      </c>
      <c r="F318" t="s">
        <v>649</v>
      </c>
      <c r="G318" t="s">
        <v>649</v>
      </c>
      <c r="H318" s="3">
        <v>40374981.780000001</v>
      </c>
      <c r="I318" s="3">
        <v>34662677.409999996</v>
      </c>
      <c r="J318" s="3">
        <v>2520.44</v>
      </c>
      <c r="K318" s="4">
        <v>2018749.0889999999</v>
      </c>
      <c r="L318" s="4">
        <v>0.21460783192109639</v>
      </c>
      <c r="M318" s="3">
        <v>3</v>
      </c>
      <c r="N318" t="s">
        <v>920</v>
      </c>
      <c r="O318" t="s">
        <v>912</v>
      </c>
      <c r="P318" t="s">
        <v>913</v>
      </c>
    </row>
    <row r="319" spans="1:16" x14ac:dyDescent="0.4">
      <c r="A319" s="2">
        <v>45876</v>
      </c>
      <c r="B319" t="s">
        <v>38</v>
      </c>
      <c r="C319" t="s">
        <v>649</v>
      </c>
      <c r="D319" s="3" t="str">
        <f t="shared" si="8"/>
        <v>PASS</v>
      </c>
      <c r="E319" s="3" t="str">
        <f t="shared" si="9"/>
        <v>PASS</v>
      </c>
      <c r="F319" t="s">
        <v>649</v>
      </c>
      <c r="G319" t="s">
        <v>649</v>
      </c>
      <c r="H319" s="3">
        <v>43316755.030000001</v>
      </c>
      <c r="I319" s="3">
        <v>37679461.82</v>
      </c>
      <c r="J319" s="3">
        <v>2652.71</v>
      </c>
      <c r="K319" s="4">
        <v>2165837.7514999998</v>
      </c>
      <c r="L319" s="4">
        <v>0.2216493545553338</v>
      </c>
      <c r="M319" s="3">
        <v>3</v>
      </c>
      <c r="N319" t="s">
        <v>921</v>
      </c>
      <c r="O319" t="s">
        <v>922</v>
      </c>
      <c r="P319" t="s">
        <v>753</v>
      </c>
    </row>
    <row r="320" spans="1:16" x14ac:dyDescent="0.4">
      <c r="A320" s="2">
        <v>45876</v>
      </c>
      <c r="B320" t="s">
        <v>39</v>
      </c>
      <c r="C320" t="s">
        <v>649</v>
      </c>
      <c r="D320" s="3" t="str">
        <f t="shared" si="8"/>
        <v>PASS</v>
      </c>
      <c r="E320" s="3" t="str">
        <f t="shared" si="9"/>
        <v>PASS</v>
      </c>
      <c r="F320" t="s">
        <v>649</v>
      </c>
      <c r="G320" t="s">
        <v>649</v>
      </c>
      <c r="H320" s="3">
        <v>78650869.870000005</v>
      </c>
      <c r="I320" s="3">
        <v>70898712.099999994</v>
      </c>
      <c r="J320" s="3">
        <v>5078.46</v>
      </c>
      <c r="K320" s="4">
        <v>3932543.4934999999</v>
      </c>
      <c r="L320" s="4">
        <v>0.2177684076298789</v>
      </c>
      <c r="M320" s="3">
        <v>3</v>
      </c>
      <c r="N320" t="s">
        <v>923</v>
      </c>
      <c r="O320" t="s">
        <v>896</v>
      </c>
      <c r="P320" t="s">
        <v>910</v>
      </c>
    </row>
    <row r="321" spans="1:16" x14ac:dyDescent="0.4">
      <c r="A321" s="2">
        <v>45877</v>
      </c>
      <c r="B321" t="s">
        <v>27</v>
      </c>
      <c r="C321" t="s">
        <v>649</v>
      </c>
      <c r="D321" s="3" t="str">
        <f t="shared" si="8"/>
        <v>FAIL</v>
      </c>
      <c r="E321" s="3" t="str">
        <f t="shared" si="9"/>
        <v>PASS</v>
      </c>
      <c r="F321" t="s">
        <v>649</v>
      </c>
      <c r="G321" t="s">
        <v>649</v>
      </c>
      <c r="H321" s="3">
        <v>54806741.280000001</v>
      </c>
      <c r="I321" s="3">
        <v>0</v>
      </c>
      <c r="J321" s="3">
        <v>10737.69</v>
      </c>
      <c r="K321" s="4">
        <v>2740337.0639999998</v>
      </c>
      <c r="L321" s="4">
        <v>0</v>
      </c>
      <c r="M321" s="3">
        <v>0</v>
      </c>
      <c r="N321" t="s">
        <v>29</v>
      </c>
      <c r="O321" t="s">
        <v>650</v>
      </c>
      <c r="P321" t="s">
        <v>650</v>
      </c>
    </row>
    <row r="322" spans="1:16" x14ac:dyDescent="0.4">
      <c r="A322" s="2">
        <v>45877</v>
      </c>
      <c r="B322" t="s">
        <v>30</v>
      </c>
      <c r="C322" t="s">
        <v>649</v>
      </c>
      <c r="D322" s="3" t="str">
        <f t="shared" ref="D322:D385" si="10">IF(I322/H322&gt;=0.5,"PASS","FAIL")</f>
        <v>FAIL</v>
      </c>
      <c r="E322" s="3" t="str">
        <f t="shared" ref="E322:E385" si="11">IF(L322&lt;=0.5,"PASS","FAIL")</f>
        <v>PASS</v>
      </c>
      <c r="F322" t="s">
        <v>649</v>
      </c>
      <c r="G322" t="s">
        <v>649</v>
      </c>
      <c r="H322" s="3">
        <v>34816372.810000002</v>
      </c>
      <c r="I322" s="3">
        <v>0</v>
      </c>
      <c r="J322" s="3">
        <v>6983.64</v>
      </c>
      <c r="K322" s="4">
        <v>1740818.6405</v>
      </c>
      <c r="L322" s="4">
        <v>0</v>
      </c>
      <c r="M322" s="3">
        <v>0</v>
      </c>
      <c r="N322" t="s">
        <v>29</v>
      </c>
      <c r="O322" t="s">
        <v>650</v>
      </c>
      <c r="P322" t="s">
        <v>650</v>
      </c>
    </row>
    <row r="323" spans="1:16" x14ac:dyDescent="0.4">
      <c r="A323" s="2">
        <v>45877</v>
      </c>
      <c r="B323" t="s">
        <v>31</v>
      </c>
      <c r="C323" t="s">
        <v>649</v>
      </c>
      <c r="D323" s="3" t="str">
        <f t="shared" si="10"/>
        <v>FAIL</v>
      </c>
      <c r="E323" s="3" t="str">
        <f t="shared" si="11"/>
        <v>PASS</v>
      </c>
      <c r="F323" t="s">
        <v>649</v>
      </c>
      <c r="G323" t="s">
        <v>649</v>
      </c>
      <c r="H323" s="3">
        <v>23756099.629999999</v>
      </c>
      <c r="I323" s="3">
        <v>0</v>
      </c>
      <c r="J323" s="3">
        <v>4643.79</v>
      </c>
      <c r="K323" s="4">
        <v>1187804.9815</v>
      </c>
      <c r="L323" s="4">
        <v>0</v>
      </c>
      <c r="M323" s="3">
        <v>0</v>
      </c>
      <c r="N323" t="s">
        <v>29</v>
      </c>
      <c r="O323" t="s">
        <v>650</v>
      </c>
      <c r="P323" t="s">
        <v>650</v>
      </c>
    </row>
    <row r="324" spans="1:16" x14ac:dyDescent="0.4">
      <c r="A324" s="2">
        <v>45877</v>
      </c>
      <c r="B324" t="s">
        <v>32</v>
      </c>
      <c r="C324" t="s">
        <v>649</v>
      </c>
      <c r="D324" s="3" t="str">
        <f t="shared" si="10"/>
        <v>FAIL</v>
      </c>
      <c r="E324" s="3" t="str">
        <f t="shared" si="11"/>
        <v>PASS</v>
      </c>
      <c r="F324" t="s">
        <v>649</v>
      </c>
      <c r="G324" t="s">
        <v>649</v>
      </c>
      <c r="H324" s="3">
        <v>24578107.93</v>
      </c>
      <c r="I324" s="3">
        <v>0</v>
      </c>
      <c r="J324" s="3">
        <v>4464.66</v>
      </c>
      <c r="K324" s="4">
        <v>1228905.3965</v>
      </c>
      <c r="L324" s="4">
        <v>0</v>
      </c>
      <c r="M324" s="3">
        <v>0</v>
      </c>
      <c r="N324" t="s">
        <v>29</v>
      </c>
      <c r="O324" t="s">
        <v>650</v>
      </c>
      <c r="P324" t="s">
        <v>650</v>
      </c>
    </row>
    <row r="325" spans="1:16" x14ac:dyDescent="0.4">
      <c r="A325" s="2">
        <v>45877</v>
      </c>
      <c r="B325" t="s">
        <v>33</v>
      </c>
      <c r="C325" t="s">
        <v>649</v>
      </c>
      <c r="D325" s="3" t="str">
        <f t="shared" si="10"/>
        <v>FAIL</v>
      </c>
      <c r="E325" s="3" t="str">
        <f t="shared" si="11"/>
        <v>PASS</v>
      </c>
      <c r="F325" t="s">
        <v>649</v>
      </c>
      <c r="G325" t="s">
        <v>649</v>
      </c>
      <c r="H325" s="3">
        <v>15469378.76</v>
      </c>
      <c r="I325" s="3">
        <v>0</v>
      </c>
      <c r="J325" s="3">
        <v>2948.64</v>
      </c>
      <c r="K325" s="4">
        <v>773468.93800000008</v>
      </c>
      <c r="L325" s="4">
        <v>0</v>
      </c>
      <c r="M325" s="3">
        <v>0</v>
      </c>
      <c r="N325" t="s">
        <v>29</v>
      </c>
      <c r="O325" t="s">
        <v>650</v>
      </c>
      <c r="P325" t="s">
        <v>650</v>
      </c>
    </row>
    <row r="326" spans="1:16" x14ac:dyDescent="0.4">
      <c r="A326" s="2">
        <v>45877</v>
      </c>
      <c r="B326" t="s">
        <v>34</v>
      </c>
      <c r="C326" t="s">
        <v>649</v>
      </c>
      <c r="D326" s="3" t="str">
        <f t="shared" si="10"/>
        <v>FAIL</v>
      </c>
      <c r="E326" s="3" t="str">
        <f t="shared" si="11"/>
        <v>PASS</v>
      </c>
      <c r="F326" t="s">
        <v>649</v>
      </c>
      <c r="G326" t="s">
        <v>649</v>
      </c>
      <c r="H326" s="3">
        <v>166556962.78999999</v>
      </c>
      <c r="I326" s="3">
        <v>0</v>
      </c>
      <c r="J326" s="3">
        <v>30853.71</v>
      </c>
      <c r="K326" s="4">
        <v>8327848.1394999996</v>
      </c>
      <c r="L326" s="4">
        <v>0</v>
      </c>
      <c r="M326" s="3">
        <v>0</v>
      </c>
      <c r="N326" t="s">
        <v>29</v>
      </c>
      <c r="O326" t="s">
        <v>650</v>
      </c>
      <c r="P326" t="s">
        <v>650</v>
      </c>
    </row>
    <row r="327" spans="1:16" x14ac:dyDescent="0.4">
      <c r="A327" s="2">
        <v>45877</v>
      </c>
      <c r="B327" t="s">
        <v>35</v>
      </c>
      <c r="C327" t="s">
        <v>649</v>
      </c>
      <c r="D327" s="3" t="str">
        <f t="shared" si="10"/>
        <v>FAIL</v>
      </c>
      <c r="E327" s="3" t="str">
        <f t="shared" si="11"/>
        <v>PASS</v>
      </c>
      <c r="F327" t="s">
        <v>649</v>
      </c>
      <c r="G327" t="s">
        <v>649</v>
      </c>
      <c r="H327" s="3">
        <v>137144001.50999999</v>
      </c>
      <c r="I327" s="3">
        <v>0</v>
      </c>
      <c r="J327" s="3">
        <v>25909.41</v>
      </c>
      <c r="K327" s="4">
        <v>6857200.0755000003</v>
      </c>
      <c r="L327" s="4">
        <v>0</v>
      </c>
      <c r="M327" s="3">
        <v>0</v>
      </c>
      <c r="N327" t="s">
        <v>29</v>
      </c>
      <c r="O327" t="s">
        <v>650</v>
      </c>
      <c r="P327" t="s">
        <v>650</v>
      </c>
    </row>
    <row r="328" spans="1:16" x14ac:dyDescent="0.4">
      <c r="A328" s="2">
        <v>45877</v>
      </c>
      <c r="B328" t="s">
        <v>36</v>
      </c>
      <c r="C328" t="s">
        <v>649</v>
      </c>
      <c r="D328" s="3" t="str">
        <f t="shared" si="10"/>
        <v>FAIL</v>
      </c>
      <c r="E328" s="3" t="str">
        <f t="shared" si="11"/>
        <v>PASS</v>
      </c>
      <c r="F328" t="s">
        <v>649</v>
      </c>
      <c r="G328" t="s">
        <v>649</v>
      </c>
      <c r="H328" s="3">
        <v>102356429.02</v>
      </c>
      <c r="I328" s="3">
        <v>0</v>
      </c>
      <c r="J328" s="3">
        <v>19966.38</v>
      </c>
      <c r="K328" s="4">
        <v>5117821.4510000004</v>
      </c>
      <c r="L328" s="4">
        <v>0</v>
      </c>
      <c r="M328" s="3">
        <v>0</v>
      </c>
      <c r="N328" t="s">
        <v>29</v>
      </c>
      <c r="O328" t="s">
        <v>650</v>
      </c>
      <c r="P328" t="s">
        <v>650</v>
      </c>
    </row>
    <row r="329" spans="1:16" x14ac:dyDescent="0.4">
      <c r="A329" s="2">
        <v>45877</v>
      </c>
      <c r="B329" t="s">
        <v>37</v>
      </c>
      <c r="C329" t="s">
        <v>649</v>
      </c>
      <c r="D329" s="3" t="str">
        <f t="shared" si="10"/>
        <v>FAIL</v>
      </c>
      <c r="E329" s="3" t="str">
        <f t="shared" si="11"/>
        <v>PASS</v>
      </c>
      <c r="F329" t="s">
        <v>649</v>
      </c>
      <c r="G329" t="s">
        <v>649</v>
      </c>
      <c r="H329" s="3">
        <v>40572721.869999997</v>
      </c>
      <c r="I329" s="3">
        <v>0</v>
      </c>
      <c r="J329" s="3">
        <v>7553.94</v>
      </c>
      <c r="K329" s="4">
        <v>2028636.0935</v>
      </c>
      <c r="L329" s="4">
        <v>0</v>
      </c>
      <c r="M329" s="3">
        <v>0</v>
      </c>
      <c r="N329" t="s">
        <v>29</v>
      </c>
      <c r="O329" t="s">
        <v>650</v>
      </c>
      <c r="P329" t="s">
        <v>650</v>
      </c>
    </row>
    <row r="330" spans="1:16" x14ac:dyDescent="0.4">
      <c r="A330" s="2">
        <v>45877</v>
      </c>
      <c r="B330" t="s">
        <v>38</v>
      </c>
      <c r="C330" t="s">
        <v>649</v>
      </c>
      <c r="D330" s="3" t="str">
        <f t="shared" si="10"/>
        <v>FAIL</v>
      </c>
      <c r="E330" s="3" t="str">
        <f t="shared" si="11"/>
        <v>PASS</v>
      </c>
      <c r="F330" t="s">
        <v>649</v>
      </c>
      <c r="G330" t="s">
        <v>649</v>
      </c>
      <c r="H330" s="3">
        <v>43557457.640000001</v>
      </c>
      <c r="I330" s="3">
        <v>0</v>
      </c>
      <c r="J330" s="3">
        <v>7949.46</v>
      </c>
      <c r="K330" s="4">
        <v>2177872.8820000002</v>
      </c>
      <c r="L330" s="4">
        <v>0</v>
      </c>
      <c r="M330" s="3">
        <v>0</v>
      </c>
      <c r="N330" t="s">
        <v>29</v>
      </c>
      <c r="O330" t="s">
        <v>650</v>
      </c>
      <c r="P330" t="s">
        <v>650</v>
      </c>
    </row>
    <row r="331" spans="1:16" x14ac:dyDescent="0.4">
      <c r="A331" s="2">
        <v>45877</v>
      </c>
      <c r="B331" t="s">
        <v>39</v>
      </c>
      <c r="C331" t="s">
        <v>649</v>
      </c>
      <c r="D331" s="3" t="str">
        <f t="shared" si="10"/>
        <v>FAIL</v>
      </c>
      <c r="E331" s="3" t="str">
        <f t="shared" si="11"/>
        <v>PASS</v>
      </c>
      <c r="F331" t="s">
        <v>649</v>
      </c>
      <c r="G331" t="s">
        <v>649</v>
      </c>
      <c r="H331" s="3">
        <v>79086344.680000007</v>
      </c>
      <c r="I331" s="3">
        <v>0</v>
      </c>
      <c r="J331" s="3">
        <v>15220.68</v>
      </c>
      <c r="K331" s="4">
        <v>3954317.2340000011</v>
      </c>
      <c r="L331" s="4">
        <v>0</v>
      </c>
      <c r="M331" s="3">
        <v>0</v>
      </c>
      <c r="N331" t="s">
        <v>29</v>
      </c>
      <c r="O331" t="s">
        <v>650</v>
      </c>
      <c r="P331" t="s">
        <v>650</v>
      </c>
    </row>
    <row r="332" spans="1:16" x14ac:dyDescent="0.4">
      <c r="A332" s="2">
        <v>45880</v>
      </c>
      <c r="B332" t="s">
        <v>27</v>
      </c>
      <c r="C332" t="s">
        <v>649</v>
      </c>
      <c r="D332" s="3" t="str">
        <f t="shared" si="10"/>
        <v>PASS</v>
      </c>
      <c r="E332" s="3" t="str">
        <f t="shared" si="11"/>
        <v>PASS</v>
      </c>
      <c r="F332" t="s">
        <v>649</v>
      </c>
      <c r="G332" t="s">
        <v>649</v>
      </c>
      <c r="H332" s="3">
        <v>54704624.990000002</v>
      </c>
      <c r="I332" s="3">
        <v>49850130.540000007</v>
      </c>
      <c r="J332" s="3">
        <v>3592.03</v>
      </c>
      <c r="K332" s="4">
        <v>2735231.2494999999</v>
      </c>
      <c r="L332" s="4">
        <v>0</v>
      </c>
      <c r="M332" s="3">
        <v>0</v>
      </c>
      <c r="N332" t="s">
        <v>29</v>
      </c>
      <c r="O332" t="s">
        <v>924</v>
      </c>
      <c r="P332" t="s">
        <v>875</v>
      </c>
    </row>
    <row r="333" spans="1:16" x14ac:dyDescent="0.4">
      <c r="A333" s="2">
        <v>45880</v>
      </c>
      <c r="B333" t="s">
        <v>30</v>
      </c>
      <c r="C333" t="s">
        <v>649</v>
      </c>
      <c r="D333" s="3" t="str">
        <f t="shared" si="10"/>
        <v>PASS</v>
      </c>
      <c r="E333" s="3" t="str">
        <f t="shared" si="11"/>
        <v>PASS</v>
      </c>
      <c r="F333" t="s">
        <v>649</v>
      </c>
      <c r="G333" t="s">
        <v>649</v>
      </c>
      <c r="H333" s="3">
        <v>34664573.579999998</v>
      </c>
      <c r="I333" s="3">
        <v>32732615.109999999</v>
      </c>
      <c r="J333" s="3">
        <v>2342.0300000000002</v>
      </c>
      <c r="K333" s="4">
        <v>1733228.679</v>
      </c>
      <c r="L333" s="4">
        <v>0.21883732799196151</v>
      </c>
      <c r="M333" s="3">
        <v>3</v>
      </c>
      <c r="N333" t="s">
        <v>925</v>
      </c>
      <c r="O333" t="s">
        <v>896</v>
      </c>
      <c r="P333" t="s">
        <v>866</v>
      </c>
    </row>
    <row r="334" spans="1:16" x14ac:dyDescent="0.4">
      <c r="A334" s="2">
        <v>45880</v>
      </c>
      <c r="B334" t="s">
        <v>31</v>
      </c>
      <c r="C334" t="s">
        <v>649</v>
      </c>
      <c r="D334" s="3" t="str">
        <f t="shared" si="10"/>
        <v>PASS</v>
      </c>
      <c r="E334" s="3" t="str">
        <f t="shared" si="11"/>
        <v>PASS</v>
      </c>
      <c r="F334" t="s">
        <v>649</v>
      </c>
      <c r="G334" t="s">
        <v>649</v>
      </c>
      <c r="H334" s="3">
        <v>23661572.07</v>
      </c>
      <c r="I334" s="3">
        <v>21532111.73</v>
      </c>
      <c r="J334" s="3">
        <v>1555.91</v>
      </c>
      <c r="K334" s="4">
        <v>1183078.6035</v>
      </c>
      <c r="L334" s="4">
        <v>0.21672394495019739</v>
      </c>
      <c r="M334" s="3">
        <v>3</v>
      </c>
      <c r="N334" t="s">
        <v>926</v>
      </c>
      <c r="O334" t="s">
        <v>901</v>
      </c>
      <c r="P334" t="s">
        <v>910</v>
      </c>
    </row>
    <row r="335" spans="1:16" x14ac:dyDescent="0.4">
      <c r="A335" s="2">
        <v>45880</v>
      </c>
      <c r="B335" t="s">
        <v>32</v>
      </c>
      <c r="C335" t="s">
        <v>649</v>
      </c>
      <c r="D335" s="3" t="str">
        <f t="shared" si="10"/>
        <v>PASS</v>
      </c>
      <c r="E335" s="3" t="str">
        <f t="shared" si="11"/>
        <v>PASS</v>
      </c>
      <c r="F335" t="s">
        <v>649</v>
      </c>
      <c r="G335" t="s">
        <v>649</v>
      </c>
      <c r="H335" s="3">
        <v>24520444.370000001</v>
      </c>
      <c r="I335" s="3">
        <v>20570193.73</v>
      </c>
      <c r="J335" s="3">
        <v>1496.18</v>
      </c>
      <c r="K335" s="4">
        <v>1226022.2185</v>
      </c>
      <c r="L335" s="4">
        <v>0.21528779517192781</v>
      </c>
      <c r="M335" s="3">
        <v>3</v>
      </c>
      <c r="N335" t="s">
        <v>927</v>
      </c>
      <c r="O335" t="s">
        <v>912</v>
      </c>
      <c r="P335" t="s">
        <v>913</v>
      </c>
    </row>
    <row r="336" spans="1:16" x14ac:dyDescent="0.4">
      <c r="A336" s="2">
        <v>45880</v>
      </c>
      <c r="B336" t="s">
        <v>33</v>
      </c>
      <c r="C336" t="s">
        <v>649</v>
      </c>
      <c r="D336" s="3" t="str">
        <f t="shared" si="10"/>
        <v>PASS</v>
      </c>
      <c r="E336" s="3" t="str">
        <f t="shared" si="11"/>
        <v>PASS</v>
      </c>
      <c r="F336" t="s">
        <v>649</v>
      </c>
      <c r="G336" t="s">
        <v>649</v>
      </c>
      <c r="H336" s="3">
        <v>15403317.48</v>
      </c>
      <c r="I336" s="3">
        <v>13664932.08</v>
      </c>
      <c r="J336" s="3">
        <v>988.35</v>
      </c>
      <c r="K336" s="4">
        <v>770165.87400000007</v>
      </c>
      <c r="L336" s="4">
        <v>0.21667492988747269</v>
      </c>
      <c r="M336" s="3">
        <v>3</v>
      </c>
      <c r="N336" t="s">
        <v>926</v>
      </c>
      <c r="O336" t="s">
        <v>901</v>
      </c>
      <c r="P336" t="s">
        <v>915</v>
      </c>
    </row>
    <row r="337" spans="1:16" x14ac:dyDescent="0.4">
      <c r="A337" s="2">
        <v>45880</v>
      </c>
      <c r="B337" t="s">
        <v>34</v>
      </c>
      <c r="C337" t="s">
        <v>649</v>
      </c>
      <c r="D337" s="3" t="str">
        <f t="shared" si="10"/>
        <v>PASS</v>
      </c>
      <c r="E337" s="3" t="str">
        <f t="shared" si="11"/>
        <v>PASS</v>
      </c>
      <c r="F337" t="s">
        <v>649</v>
      </c>
      <c r="G337" t="s">
        <v>649</v>
      </c>
      <c r="H337" s="3">
        <v>166208714.66999999</v>
      </c>
      <c r="I337" s="3">
        <v>142240037.22</v>
      </c>
      <c r="J337" s="3">
        <v>10332.200000000001</v>
      </c>
      <c r="K337" s="4">
        <v>8310435.7335000001</v>
      </c>
      <c r="L337" s="4">
        <v>0.2154237861491442</v>
      </c>
      <c r="M337" s="3">
        <v>3</v>
      </c>
      <c r="N337" t="s">
        <v>928</v>
      </c>
      <c r="O337" t="s">
        <v>912</v>
      </c>
      <c r="P337" t="s">
        <v>915</v>
      </c>
    </row>
    <row r="338" spans="1:16" x14ac:dyDescent="0.4">
      <c r="A338" s="2">
        <v>45880</v>
      </c>
      <c r="B338" t="s">
        <v>35</v>
      </c>
      <c r="C338" t="s">
        <v>649</v>
      </c>
      <c r="D338" s="3" t="str">
        <f t="shared" si="10"/>
        <v>PASS</v>
      </c>
      <c r="E338" s="3" t="str">
        <f t="shared" si="11"/>
        <v>PASS</v>
      </c>
      <c r="F338" t="s">
        <v>649</v>
      </c>
      <c r="G338" t="s">
        <v>649</v>
      </c>
      <c r="H338" s="3">
        <v>136588281.86000001</v>
      </c>
      <c r="I338" s="3">
        <v>123402205.36</v>
      </c>
      <c r="J338" s="3">
        <v>8687.5499999999993</v>
      </c>
      <c r="K338" s="4">
        <v>6829414.0930000013</v>
      </c>
      <c r="L338" s="4">
        <v>0.2224254821804342</v>
      </c>
      <c r="M338" s="3">
        <v>3</v>
      </c>
      <c r="N338" t="s">
        <v>929</v>
      </c>
      <c r="O338" t="s">
        <v>930</v>
      </c>
      <c r="P338" t="s">
        <v>753</v>
      </c>
    </row>
    <row r="339" spans="1:16" x14ac:dyDescent="0.4">
      <c r="A339" s="2">
        <v>45880</v>
      </c>
      <c r="B339" t="s">
        <v>36</v>
      </c>
      <c r="C339" t="s">
        <v>649</v>
      </c>
      <c r="D339" s="3" t="str">
        <f t="shared" si="10"/>
        <v>PASS</v>
      </c>
      <c r="E339" s="3" t="str">
        <f t="shared" si="11"/>
        <v>PASS</v>
      </c>
      <c r="F339" t="s">
        <v>649</v>
      </c>
      <c r="G339" t="s">
        <v>649</v>
      </c>
      <c r="H339" s="3">
        <v>101970644.69</v>
      </c>
      <c r="I339" s="3">
        <v>91876378.310000002</v>
      </c>
      <c r="J339" s="3">
        <v>6687.33</v>
      </c>
      <c r="K339" s="4">
        <v>5098532.2345000003</v>
      </c>
      <c r="L339" s="4">
        <v>0.21503920946883201</v>
      </c>
      <c r="M339" s="3">
        <v>3</v>
      </c>
      <c r="N339" t="s">
        <v>931</v>
      </c>
      <c r="O339" t="s">
        <v>932</v>
      </c>
      <c r="P339" t="s">
        <v>913</v>
      </c>
    </row>
    <row r="340" spans="1:16" x14ac:dyDescent="0.4">
      <c r="A340" s="2">
        <v>45880</v>
      </c>
      <c r="B340" t="s">
        <v>37</v>
      </c>
      <c r="C340" t="s">
        <v>649</v>
      </c>
      <c r="D340" s="3" t="str">
        <f t="shared" si="10"/>
        <v>PASS</v>
      </c>
      <c r="E340" s="3" t="str">
        <f t="shared" si="11"/>
        <v>PASS</v>
      </c>
      <c r="F340" t="s">
        <v>649</v>
      </c>
      <c r="G340" t="s">
        <v>649</v>
      </c>
      <c r="H340" s="3">
        <v>40404877.539999999</v>
      </c>
      <c r="I340" s="3">
        <v>34693994.969999999</v>
      </c>
      <c r="J340" s="3">
        <v>2531.79</v>
      </c>
      <c r="K340" s="4">
        <v>2020243.8770000001</v>
      </c>
      <c r="L340" s="4">
        <v>0.21464966864526569</v>
      </c>
      <c r="M340" s="3">
        <v>3</v>
      </c>
      <c r="N340" t="s">
        <v>933</v>
      </c>
      <c r="O340" t="s">
        <v>932</v>
      </c>
      <c r="P340" t="s">
        <v>913</v>
      </c>
    </row>
    <row r="341" spans="1:16" x14ac:dyDescent="0.4">
      <c r="A341" s="2">
        <v>45880</v>
      </c>
      <c r="B341" t="s">
        <v>38</v>
      </c>
      <c r="C341" t="s">
        <v>649</v>
      </c>
      <c r="D341" s="3" t="str">
        <f t="shared" si="10"/>
        <v>PASS</v>
      </c>
      <c r="E341" s="3" t="str">
        <f t="shared" si="11"/>
        <v>PASS</v>
      </c>
      <c r="F341" t="s">
        <v>649</v>
      </c>
      <c r="G341" t="s">
        <v>649</v>
      </c>
      <c r="H341" s="3">
        <v>43377784.609999999</v>
      </c>
      <c r="I341" s="3">
        <v>37713240.210000001</v>
      </c>
      <c r="J341" s="3">
        <v>2666.72</v>
      </c>
      <c r="K341" s="4">
        <v>2168889.2305000001</v>
      </c>
      <c r="L341" s="4">
        <v>0.22155077960841721</v>
      </c>
      <c r="M341" s="3">
        <v>3</v>
      </c>
      <c r="N341" t="s">
        <v>934</v>
      </c>
      <c r="O341" t="s">
        <v>935</v>
      </c>
      <c r="P341" t="s">
        <v>757</v>
      </c>
    </row>
    <row r="342" spans="1:16" x14ac:dyDescent="0.4">
      <c r="A342" s="2">
        <v>45880</v>
      </c>
      <c r="B342" t="s">
        <v>39</v>
      </c>
      <c r="C342" t="s">
        <v>649</v>
      </c>
      <c r="D342" s="3" t="str">
        <f t="shared" si="10"/>
        <v>PASS</v>
      </c>
      <c r="E342" s="3" t="str">
        <f t="shared" si="11"/>
        <v>PASS</v>
      </c>
      <c r="F342" t="s">
        <v>649</v>
      </c>
      <c r="G342" t="s">
        <v>649</v>
      </c>
      <c r="H342" s="3">
        <v>78749667.900000006</v>
      </c>
      <c r="I342" s="3">
        <v>70924613.169999987</v>
      </c>
      <c r="J342" s="3">
        <v>5104.07</v>
      </c>
      <c r="K342" s="4">
        <v>3937483.395</v>
      </c>
      <c r="L342" s="4">
        <v>0.21772122719295031</v>
      </c>
      <c r="M342" s="3">
        <v>3</v>
      </c>
      <c r="N342" t="s">
        <v>936</v>
      </c>
      <c r="O342" t="s">
        <v>901</v>
      </c>
      <c r="P342" t="s">
        <v>910</v>
      </c>
    </row>
    <row r="343" spans="1:16" x14ac:dyDescent="0.4">
      <c r="A343" s="2">
        <v>45881</v>
      </c>
      <c r="B343" t="s">
        <v>27</v>
      </c>
      <c r="C343" t="s">
        <v>649</v>
      </c>
      <c r="D343" s="3" t="str">
        <f t="shared" si="10"/>
        <v>PASS</v>
      </c>
      <c r="E343" s="3" t="str">
        <f t="shared" si="11"/>
        <v>PASS</v>
      </c>
      <c r="F343" t="s">
        <v>649</v>
      </c>
      <c r="G343" t="s">
        <v>649</v>
      </c>
      <c r="H343" s="3">
        <v>55130368.969999999</v>
      </c>
      <c r="I343" s="3">
        <v>50300103.380000003</v>
      </c>
      <c r="J343" s="3">
        <v>3592.3</v>
      </c>
      <c r="K343" s="4">
        <v>2756518.4484999999</v>
      </c>
      <c r="L343" s="4">
        <v>0</v>
      </c>
      <c r="M343" s="3">
        <v>0</v>
      </c>
      <c r="N343" t="s">
        <v>29</v>
      </c>
      <c r="O343" t="s">
        <v>937</v>
      </c>
      <c r="P343" t="s">
        <v>875</v>
      </c>
    </row>
    <row r="344" spans="1:16" x14ac:dyDescent="0.4">
      <c r="A344" s="2">
        <v>45881</v>
      </c>
      <c r="B344" t="s">
        <v>30</v>
      </c>
      <c r="C344" t="s">
        <v>649</v>
      </c>
      <c r="D344" s="3" t="str">
        <f t="shared" si="10"/>
        <v>PASS</v>
      </c>
      <c r="E344" s="3" t="str">
        <f t="shared" si="11"/>
        <v>PASS</v>
      </c>
      <c r="F344" t="s">
        <v>649</v>
      </c>
      <c r="G344" t="s">
        <v>649</v>
      </c>
      <c r="H344" s="3">
        <v>34895278.43</v>
      </c>
      <c r="I344" s="3">
        <v>32930079.850000001</v>
      </c>
      <c r="J344" s="3">
        <v>2336.44</v>
      </c>
      <c r="K344" s="4">
        <v>1744763.9214999999</v>
      </c>
      <c r="L344" s="4">
        <v>0.2195575669712472</v>
      </c>
      <c r="M344" s="3">
        <v>3</v>
      </c>
      <c r="N344" t="s">
        <v>938</v>
      </c>
      <c r="O344" t="s">
        <v>901</v>
      </c>
      <c r="P344" t="s">
        <v>915</v>
      </c>
    </row>
    <row r="345" spans="1:16" x14ac:dyDescent="0.4">
      <c r="A345" s="2">
        <v>45881</v>
      </c>
      <c r="B345" t="s">
        <v>31</v>
      </c>
      <c r="C345" t="s">
        <v>649</v>
      </c>
      <c r="D345" s="3" t="str">
        <f t="shared" si="10"/>
        <v>PASS</v>
      </c>
      <c r="E345" s="3" t="str">
        <f t="shared" si="11"/>
        <v>PASS</v>
      </c>
      <c r="F345" t="s">
        <v>649</v>
      </c>
      <c r="G345" t="s">
        <v>649</v>
      </c>
      <c r="H345" s="3">
        <v>23794259.170000002</v>
      </c>
      <c r="I345" s="3">
        <v>21662007.98</v>
      </c>
      <c r="J345" s="3">
        <v>1552.56</v>
      </c>
      <c r="K345" s="4">
        <v>1189712.9584999999</v>
      </c>
      <c r="L345" s="4">
        <v>0.2176449848182482</v>
      </c>
      <c r="M345" s="3">
        <v>3</v>
      </c>
      <c r="N345" t="s">
        <v>939</v>
      </c>
      <c r="O345" t="s">
        <v>912</v>
      </c>
      <c r="P345" t="s">
        <v>913</v>
      </c>
    </row>
    <row r="346" spans="1:16" x14ac:dyDescent="0.4">
      <c r="A346" s="2">
        <v>45881</v>
      </c>
      <c r="B346" t="s">
        <v>32</v>
      </c>
      <c r="C346" t="s">
        <v>649</v>
      </c>
      <c r="D346" s="3" t="str">
        <f t="shared" si="10"/>
        <v>PASS</v>
      </c>
      <c r="E346" s="3" t="str">
        <f t="shared" si="11"/>
        <v>PASS</v>
      </c>
      <c r="F346" t="s">
        <v>649</v>
      </c>
      <c r="G346" t="s">
        <v>649</v>
      </c>
      <c r="H346" s="3">
        <v>24643522.77</v>
      </c>
      <c r="I346" s="3">
        <v>20694262.73</v>
      </c>
      <c r="J346" s="3">
        <v>1492.84</v>
      </c>
      <c r="K346" s="4">
        <v>1232176.1384999999</v>
      </c>
      <c r="L346" s="4">
        <v>0.2162499652146615</v>
      </c>
      <c r="M346" s="3">
        <v>3</v>
      </c>
      <c r="N346" t="s">
        <v>940</v>
      </c>
      <c r="O346" t="s">
        <v>932</v>
      </c>
      <c r="P346" t="s">
        <v>941</v>
      </c>
    </row>
    <row r="347" spans="1:16" x14ac:dyDescent="0.4">
      <c r="A347" s="2">
        <v>45881</v>
      </c>
      <c r="B347" t="s">
        <v>33</v>
      </c>
      <c r="C347" t="s">
        <v>649</v>
      </c>
      <c r="D347" s="3" t="str">
        <f t="shared" si="10"/>
        <v>PASS</v>
      </c>
      <c r="E347" s="3" t="str">
        <f t="shared" si="11"/>
        <v>PASS</v>
      </c>
      <c r="F347" t="s">
        <v>649</v>
      </c>
      <c r="G347" t="s">
        <v>649</v>
      </c>
      <c r="H347" s="3">
        <v>15492584.9</v>
      </c>
      <c r="I347" s="3">
        <v>13747398.34</v>
      </c>
      <c r="J347" s="3">
        <v>985.91</v>
      </c>
      <c r="K347" s="4">
        <v>774629.24500000011</v>
      </c>
      <c r="L347" s="4">
        <v>0.2175154641995789</v>
      </c>
      <c r="M347" s="3">
        <v>3</v>
      </c>
      <c r="N347" t="s">
        <v>939</v>
      </c>
      <c r="O347" t="s">
        <v>932</v>
      </c>
      <c r="P347" t="s">
        <v>913</v>
      </c>
    </row>
    <row r="348" spans="1:16" x14ac:dyDescent="0.4">
      <c r="A348" s="2">
        <v>45881</v>
      </c>
      <c r="B348" t="s">
        <v>34</v>
      </c>
      <c r="C348" t="s">
        <v>649</v>
      </c>
      <c r="D348" s="3" t="str">
        <f t="shared" si="10"/>
        <v>PASS</v>
      </c>
      <c r="E348" s="3" t="str">
        <f t="shared" si="11"/>
        <v>PASS</v>
      </c>
      <c r="F348" t="s">
        <v>649</v>
      </c>
      <c r="G348" t="s">
        <v>649</v>
      </c>
      <c r="H348" s="3">
        <v>166983604.78</v>
      </c>
      <c r="I348" s="3">
        <v>143082345.63</v>
      </c>
      <c r="J348" s="3">
        <v>10312.73</v>
      </c>
      <c r="K348" s="4">
        <v>8349180.2390000001</v>
      </c>
      <c r="L348" s="4">
        <v>0.21650106534187111</v>
      </c>
      <c r="M348" s="3">
        <v>3</v>
      </c>
      <c r="N348" t="s">
        <v>942</v>
      </c>
      <c r="O348" t="s">
        <v>932</v>
      </c>
      <c r="P348" t="s">
        <v>941</v>
      </c>
    </row>
    <row r="349" spans="1:16" x14ac:dyDescent="0.4">
      <c r="A349" s="2">
        <v>45881</v>
      </c>
      <c r="B349" t="s">
        <v>35</v>
      </c>
      <c r="C349" t="s">
        <v>649</v>
      </c>
      <c r="D349" s="3" t="str">
        <f t="shared" si="10"/>
        <v>PASS</v>
      </c>
      <c r="E349" s="3" t="str">
        <f t="shared" si="11"/>
        <v>PASS</v>
      </c>
      <c r="F349" t="s">
        <v>649</v>
      </c>
      <c r="G349" t="s">
        <v>649</v>
      </c>
      <c r="H349" s="3">
        <v>137423599.83000001</v>
      </c>
      <c r="I349" s="3">
        <v>124146497.47</v>
      </c>
      <c r="J349" s="3">
        <v>8667.2099999999991</v>
      </c>
      <c r="K349" s="4">
        <v>6871179.9915000014</v>
      </c>
      <c r="L349" s="4">
        <v>0.22319542992657049</v>
      </c>
      <c r="M349" s="3">
        <v>3</v>
      </c>
      <c r="N349" t="s">
        <v>943</v>
      </c>
      <c r="O349" t="s">
        <v>944</v>
      </c>
      <c r="P349" t="s">
        <v>757</v>
      </c>
    </row>
    <row r="350" spans="1:16" x14ac:dyDescent="0.4">
      <c r="A350" s="2">
        <v>45881</v>
      </c>
      <c r="B350" t="s">
        <v>36</v>
      </c>
      <c r="C350" t="s">
        <v>649</v>
      </c>
      <c r="D350" s="3" t="str">
        <f t="shared" si="10"/>
        <v>PASS</v>
      </c>
      <c r="E350" s="3" t="str">
        <f t="shared" si="11"/>
        <v>PASS</v>
      </c>
      <c r="F350" t="s">
        <v>649</v>
      </c>
      <c r="G350" t="s">
        <v>649</v>
      </c>
      <c r="H350" s="3">
        <v>102487664.55</v>
      </c>
      <c r="I350" s="3">
        <v>92430522.549999997</v>
      </c>
      <c r="J350" s="3">
        <v>6674.69</v>
      </c>
      <c r="K350" s="4">
        <v>5124383.2275</v>
      </c>
      <c r="L350" s="4">
        <v>0.21607830412622339</v>
      </c>
      <c r="M350" s="3">
        <v>3</v>
      </c>
      <c r="N350" t="s">
        <v>945</v>
      </c>
      <c r="O350" t="s">
        <v>946</v>
      </c>
      <c r="P350" t="s">
        <v>941</v>
      </c>
    </row>
    <row r="351" spans="1:16" x14ac:dyDescent="0.4">
      <c r="A351" s="2">
        <v>45881</v>
      </c>
      <c r="B351" t="s">
        <v>37</v>
      </c>
      <c r="C351" t="s">
        <v>649</v>
      </c>
      <c r="D351" s="3" t="str">
        <f t="shared" si="10"/>
        <v>PASS</v>
      </c>
      <c r="E351" s="3" t="str">
        <f t="shared" si="11"/>
        <v>PASS</v>
      </c>
      <c r="F351" t="s">
        <v>649</v>
      </c>
      <c r="G351" t="s">
        <v>649</v>
      </c>
      <c r="H351" s="3">
        <v>40621849.460000001</v>
      </c>
      <c r="I351" s="3">
        <v>34903215.489999987</v>
      </c>
      <c r="J351" s="3">
        <v>2525.4</v>
      </c>
      <c r="K351" s="4">
        <v>2031092.473</v>
      </c>
      <c r="L351" s="4">
        <v>0.21555500413709511</v>
      </c>
      <c r="M351" s="3">
        <v>3</v>
      </c>
      <c r="N351" t="s">
        <v>947</v>
      </c>
      <c r="O351" t="s">
        <v>946</v>
      </c>
      <c r="P351" t="s">
        <v>941</v>
      </c>
    </row>
    <row r="352" spans="1:16" x14ac:dyDescent="0.4">
      <c r="A352" s="2">
        <v>45881</v>
      </c>
      <c r="B352" t="s">
        <v>38</v>
      </c>
      <c r="C352" t="s">
        <v>649</v>
      </c>
      <c r="D352" s="3" t="str">
        <f t="shared" si="10"/>
        <v>PASS</v>
      </c>
      <c r="E352" s="3" t="str">
        <f t="shared" si="11"/>
        <v>PASS</v>
      </c>
      <c r="F352" t="s">
        <v>649</v>
      </c>
      <c r="G352" t="s">
        <v>649</v>
      </c>
      <c r="H352" s="3">
        <v>43642940.780000001</v>
      </c>
      <c r="I352" s="3">
        <v>37940688.619999997</v>
      </c>
      <c r="J352" s="3">
        <v>2659.64</v>
      </c>
      <c r="K352" s="4">
        <v>2182147.0389999999</v>
      </c>
      <c r="L352" s="4">
        <v>0.22226429034340589</v>
      </c>
      <c r="M352" s="3">
        <v>3</v>
      </c>
      <c r="N352" t="s">
        <v>948</v>
      </c>
      <c r="O352" t="s">
        <v>944</v>
      </c>
      <c r="P352" t="s">
        <v>759</v>
      </c>
    </row>
    <row r="353" spans="1:16" x14ac:dyDescent="0.4">
      <c r="A353" s="2">
        <v>45881</v>
      </c>
      <c r="B353" t="s">
        <v>39</v>
      </c>
      <c r="C353" t="s">
        <v>649</v>
      </c>
      <c r="D353" s="3" t="str">
        <f t="shared" si="10"/>
        <v>PASS</v>
      </c>
      <c r="E353" s="3" t="str">
        <f t="shared" si="11"/>
        <v>PASS</v>
      </c>
      <c r="F353" t="s">
        <v>649</v>
      </c>
      <c r="G353" t="s">
        <v>649</v>
      </c>
      <c r="H353" s="3">
        <v>79242609.920000002</v>
      </c>
      <c r="I353" s="3">
        <v>71390439.180000007</v>
      </c>
      <c r="J353" s="3">
        <v>5091.42</v>
      </c>
      <c r="K353" s="4">
        <v>3962130.4959999998</v>
      </c>
      <c r="L353" s="4">
        <v>0.21846803472016049</v>
      </c>
      <c r="M353" s="3">
        <v>3</v>
      </c>
      <c r="N353" t="s">
        <v>949</v>
      </c>
      <c r="O353" t="s">
        <v>912</v>
      </c>
      <c r="P353" t="s">
        <v>915</v>
      </c>
    </row>
    <row r="354" spans="1:16" x14ac:dyDescent="0.4">
      <c r="A354" s="2">
        <v>45882</v>
      </c>
      <c r="B354" t="s">
        <v>27</v>
      </c>
      <c r="C354" t="s">
        <v>649</v>
      </c>
      <c r="D354" s="3" t="str">
        <f t="shared" si="10"/>
        <v>PASS</v>
      </c>
      <c r="E354" s="3" t="str">
        <f t="shared" si="11"/>
        <v>PASS</v>
      </c>
      <c r="F354" t="s">
        <v>649</v>
      </c>
      <c r="G354" t="s">
        <v>649</v>
      </c>
      <c r="H354" s="3">
        <v>55565609.350000001</v>
      </c>
      <c r="I354" s="3">
        <v>50809283.779999986</v>
      </c>
      <c r="J354" s="3">
        <v>3622.95</v>
      </c>
      <c r="K354" s="4">
        <v>2778280.4674999998</v>
      </c>
      <c r="L354" s="4">
        <v>0</v>
      </c>
      <c r="M354" s="3">
        <v>0</v>
      </c>
      <c r="N354" t="s">
        <v>29</v>
      </c>
      <c r="O354" t="s">
        <v>805</v>
      </c>
      <c r="P354" t="s">
        <v>924</v>
      </c>
    </row>
    <row r="355" spans="1:16" x14ac:dyDescent="0.4">
      <c r="A355" s="2">
        <v>45882</v>
      </c>
      <c r="B355" t="s">
        <v>30</v>
      </c>
      <c r="C355" t="s">
        <v>649</v>
      </c>
      <c r="D355" s="3" t="str">
        <f t="shared" si="10"/>
        <v>PASS</v>
      </c>
      <c r="E355" s="3" t="str">
        <f t="shared" si="11"/>
        <v>PASS</v>
      </c>
      <c r="F355" t="s">
        <v>649</v>
      </c>
      <c r="G355" t="s">
        <v>649</v>
      </c>
      <c r="H355" s="3">
        <v>34932199.079999998</v>
      </c>
      <c r="I355" s="3">
        <v>32954767.890000001</v>
      </c>
      <c r="J355" s="3">
        <v>2353.02</v>
      </c>
      <c r="K355" s="4">
        <v>1746609.9539999999</v>
      </c>
      <c r="L355" s="4">
        <v>0.21876322137635981</v>
      </c>
      <c r="M355" s="3">
        <v>3</v>
      </c>
      <c r="N355" t="s">
        <v>950</v>
      </c>
      <c r="O355" t="s">
        <v>912</v>
      </c>
      <c r="P355" t="s">
        <v>869</v>
      </c>
    </row>
    <row r="356" spans="1:16" x14ac:dyDescent="0.4">
      <c r="A356" s="2">
        <v>45882</v>
      </c>
      <c r="B356" t="s">
        <v>31</v>
      </c>
      <c r="C356" t="s">
        <v>649</v>
      </c>
      <c r="D356" s="3" t="str">
        <f t="shared" si="10"/>
        <v>PASS</v>
      </c>
      <c r="E356" s="3" t="str">
        <f t="shared" si="11"/>
        <v>PASS</v>
      </c>
      <c r="F356" t="s">
        <v>649</v>
      </c>
      <c r="G356" t="s">
        <v>649</v>
      </c>
      <c r="H356" s="3">
        <v>23816542.239999998</v>
      </c>
      <c r="I356" s="3">
        <v>21674636.120000001</v>
      </c>
      <c r="J356" s="3">
        <v>1562.08</v>
      </c>
      <c r="K356" s="4">
        <v>1190827.112</v>
      </c>
      <c r="L356" s="4">
        <v>0.2168792831976662</v>
      </c>
      <c r="M356" s="3">
        <v>3</v>
      </c>
      <c r="N356" t="s">
        <v>951</v>
      </c>
      <c r="O356" t="s">
        <v>932</v>
      </c>
      <c r="P356" t="s">
        <v>863</v>
      </c>
    </row>
    <row r="357" spans="1:16" x14ac:dyDescent="0.4">
      <c r="A357" s="2">
        <v>45882</v>
      </c>
      <c r="B357" t="s">
        <v>32</v>
      </c>
      <c r="C357" t="s">
        <v>649</v>
      </c>
      <c r="D357" s="3" t="str">
        <f t="shared" si="10"/>
        <v>PASS</v>
      </c>
      <c r="E357" s="3" t="str">
        <f t="shared" si="11"/>
        <v>PASS</v>
      </c>
      <c r="F357" t="s">
        <v>649</v>
      </c>
      <c r="G357" t="s">
        <v>649</v>
      </c>
      <c r="H357" s="3">
        <v>24667269.309999999</v>
      </c>
      <c r="I357" s="3">
        <v>20716373.940000009</v>
      </c>
      <c r="J357" s="3">
        <v>1501.67</v>
      </c>
      <c r="K357" s="4">
        <v>1233363.4654999999</v>
      </c>
      <c r="L357" s="4">
        <v>0.2154665404723359</v>
      </c>
      <c r="M357" s="3">
        <v>3</v>
      </c>
      <c r="N357" t="s">
        <v>952</v>
      </c>
      <c r="O357" t="s">
        <v>946</v>
      </c>
      <c r="P357" t="s">
        <v>866</v>
      </c>
    </row>
    <row r="358" spans="1:16" x14ac:dyDescent="0.4">
      <c r="A358" s="2">
        <v>45882</v>
      </c>
      <c r="B358" t="s">
        <v>33</v>
      </c>
      <c r="C358" t="s">
        <v>649</v>
      </c>
      <c r="D358" s="3" t="str">
        <f t="shared" si="10"/>
        <v>PASS</v>
      </c>
      <c r="E358" s="3" t="str">
        <f t="shared" si="11"/>
        <v>PASS</v>
      </c>
      <c r="F358" t="s">
        <v>649</v>
      </c>
      <c r="G358" t="s">
        <v>649</v>
      </c>
      <c r="H358" s="3">
        <v>15508747.98</v>
      </c>
      <c r="I358" s="3">
        <v>13762073.220000001</v>
      </c>
      <c r="J358" s="3">
        <v>992.31</v>
      </c>
      <c r="K358" s="4">
        <v>775437.39900000009</v>
      </c>
      <c r="L358" s="4">
        <v>0.21671979577831829</v>
      </c>
      <c r="M358" s="3">
        <v>3</v>
      </c>
      <c r="N358" t="s">
        <v>953</v>
      </c>
      <c r="O358" t="s">
        <v>932</v>
      </c>
      <c r="P358" t="s">
        <v>866</v>
      </c>
    </row>
    <row r="359" spans="1:16" x14ac:dyDescent="0.4">
      <c r="A359" s="2">
        <v>45882</v>
      </c>
      <c r="B359" t="s">
        <v>34</v>
      </c>
      <c r="C359" t="s">
        <v>649</v>
      </c>
      <c r="D359" s="3" t="str">
        <f t="shared" si="10"/>
        <v>PASS</v>
      </c>
      <c r="E359" s="3" t="str">
        <f t="shared" si="11"/>
        <v>PASS</v>
      </c>
      <c r="F359" t="s">
        <v>649</v>
      </c>
      <c r="G359" t="s">
        <v>649</v>
      </c>
      <c r="H359" s="3">
        <v>167130197.78</v>
      </c>
      <c r="I359" s="3">
        <v>143193458.96000001</v>
      </c>
      <c r="J359" s="3">
        <v>10368.24</v>
      </c>
      <c r="K359" s="4">
        <v>8356509.8890000004</v>
      </c>
      <c r="L359" s="4">
        <v>0.2157421270467989</v>
      </c>
      <c r="M359" s="3">
        <v>3</v>
      </c>
      <c r="N359" t="s">
        <v>954</v>
      </c>
      <c r="O359" t="s">
        <v>946</v>
      </c>
      <c r="P359" t="s">
        <v>866</v>
      </c>
    </row>
    <row r="360" spans="1:16" x14ac:dyDescent="0.4">
      <c r="A360" s="2">
        <v>45882</v>
      </c>
      <c r="B360" t="s">
        <v>35</v>
      </c>
      <c r="C360" t="s">
        <v>649</v>
      </c>
      <c r="D360" s="3" t="str">
        <f t="shared" si="10"/>
        <v>PASS</v>
      </c>
      <c r="E360" s="3" t="str">
        <f t="shared" si="11"/>
        <v>PASS</v>
      </c>
      <c r="F360" t="s">
        <v>649</v>
      </c>
      <c r="G360" t="s">
        <v>649</v>
      </c>
      <c r="H360" s="3">
        <v>137577697.63</v>
      </c>
      <c r="I360" s="3">
        <v>124247687.3</v>
      </c>
      <c r="J360" s="3">
        <v>8727.23</v>
      </c>
      <c r="K360" s="4">
        <v>6878884.8815000001</v>
      </c>
      <c r="L360" s="4">
        <v>0.2223563845871421</v>
      </c>
      <c r="M360" s="3">
        <v>3</v>
      </c>
      <c r="N360" t="s">
        <v>955</v>
      </c>
      <c r="O360" t="s">
        <v>956</v>
      </c>
      <c r="P360" t="s">
        <v>759</v>
      </c>
    </row>
    <row r="361" spans="1:16" x14ac:dyDescent="0.4">
      <c r="A361" s="2">
        <v>45882</v>
      </c>
      <c r="B361" t="s">
        <v>36</v>
      </c>
      <c r="C361" t="s">
        <v>649</v>
      </c>
      <c r="D361" s="3" t="str">
        <f t="shared" si="10"/>
        <v>PASS</v>
      </c>
      <c r="E361" s="3" t="str">
        <f t="shared" si="11"/>
        <v>PASS</v>
      </c>
      <c r="F361" t="s">
        <v>649</v>
      </c>
      <c r="G361" t="s">
        <v>649</v>
      </c>
      <c r="H361" s="3">
        <v>102579625.45999999</v>
      </c>
      <c r="I361" s="3">
        <v>92508307.569999993</v>
      </c>
      <c r="J361" s="3">
        <v>6711.74</v>
      </c>
      <c r="K361" s="4">
        <v>5128981.273</v>
      </c>
      <c r="L361" s="4">
        <v>0.21532784867222321</v>
      </c>
      <c r="M361" s="3">
        <v>3</v>
      </c>
      <c r="N361" t="s">
        <v>957</v>
      </c>
      <c r="O361" t="s">
        <v>946</v>
      </c>
      <c r="P361" t="s">
        <v>910</v>
      </c>
    </row>
    <row r="362" spans="1:16" x14ac:dyDescent="0.4">
      <c r="A362" s="2">
        <v>45882</v>
      </c>
      <c r="B362" t="s">
        <v>37</v>
      </c>
      <c r="C362" t="s">
        <v>649</v>
      </c>
      <c r="D362" s="3" t="str">
        <f t="shared" si="10"/>
        <v>PASS</v>
      </c>
      <c r="E362" s="3" t="str">
        <f t="shared" si="11"/>
        <v>PASS</v>
      </c>
      <c r="F362" t="s">
        <v>649</v>
      </c>
      <c r="G362" t="s">
        <v>649</v>
      </c>
      <c r="H362" s="3">
        <v>40662985.090000004</v>
      </c>
      <c r="I362" s="3">
        <v>34929995.280000001</v>
      </c>
      <c r="J362" s="3">
        <v>2540.9699999999998</v>
      </c>
      <c r="K362" s="4">
        <v>2033149.2545</v>
      </c>
      <c r="L362" s="4">
        <v>0.21476745854580279</v>
      </c>
      <c r="M362" s="3">
        <v>3</v>
      </c>
      <c r="N362" t="s">
        <v>958</v>
      </c>
      <c r="O362" t="s">
        <v>946</v>
      </c>
      <c r="P362" t="s">
        <v>910</v>
      </c>
    </row>
    <row r="363" spans="1:16" x14ac:dyDescent="0.4">
      <c r="A363" s="2">
        <v>45882</v>
      </c>
      <c r="B363" t="s">
        <v>38</v>
      </c>
      <c r="C363" t="s">
        <v>649</v>
      </c>
      <c r="D363" s="3" t="str">
        <f t="shared" si="10"/>
        <v>PASS</v>
      </c>
      <c r="E363" s="3" t="str">
        <f t="shared" si="11"/>
        <v>PASS</v>
      </c>
      <c r="F363" t="s">
        <v>649</v>
      </c>
      <c r="G363" t="s">
        <v>649</v>
      </c>
      <c r="H363" s="3">
        <v>43693467.939999998</v>
      </c>
      <c r="I363" s="3">
        <v>37970759.969999999</v>
      </c>
      <c r="J363" s="3">
        <v>2678.7</v>
      </c>
      <c r="K363" s="4">
        <v>2184673.3969999999</v>
      </c>
      <c r="L363" s="4">
        <v>0.22140923254220249</v>
      </c>
      <c r="M363" s="3">
        <v>3</v>
      </c>
      <c r="N363" t="s">
        <v>959</v>
      </c>
      <c r="O363" t="s">
        <v>896</v>
      </c>
      <c r="P363" t="s">
        <v>873</v>
      </c>
    </row>
    <row r="364" spans="1:16" x14ac:dyDescent="0.4">
      <c r="A364" s="2">
        <v>45882</v>
      </c>
      <c r="B364" t="s">
        <v>39</v>
      </c>
      <c r="C364" t="s">
        <v>649</v>
      </c>
      <c r="D364" s="3" t="str">
        <f t="shared" si="10"/>
        <v>PASS</v>
      </c>
      <c r="E364" s="3" t="str">
        <f t="shared" si="11"/>
        <v>PASS</v>
      </c>
      <c r="F364" t="s">
        <v>649</v>
      </c>
      <c r="G364" t="s">
        <v>649</v>
      </c>
      <c r="H364" s="3">
        <v>79337383.75</v>
      </c>
      <c r="I364" s="3">
        <v>71445734.370000005</v>
      </c>
      <c r="J364" s="3">
        <v>5126.84</v>
      </c>
      <c r="K364" s="4">
        <v>3966869.1875</v>
      </c>
      <c r="L364" s="4">
        <v>0.21763358377626721</v>
      </c>
      <c r="M364" s="3">
        <v>3</v>
      </c>
      <c r="N364" t="s">
        <v>960</v>
      </c>
      <c r="O364" t="s">
        <v>912</v>
      </c>
      <c r="P364" t="s">
        <v>863</v>
      </c>
    </row>
    <row r="365" spans="1:16" x14ac:dyDescent="0.4">
      <c r="A365" s="2">
        <v>45883</v>
      </c>
      <c r="B365" t="s">
        <v>27</v>
      </c>
      <c r="C365" t="s">
        <v>649</v>
      </c>
      <c r="D365" s="3" t="str">
        <f t="shared" si="10"/>
        <v>PASS</v>
      </c>
      <c r="E365" s="3" t="str">
        <f t="shared" si="11"/>
        <v>PASS</v>
      </c>
      <c r="F365" t="s">
        <v>649</v>
      </c>
      <c r="G365" t="s">
        <v>649</v>
      </c>
      <c r="H365" s="3">
        <v>55447250.049999997</v>
      </c>
      <c r="I365" s="3">
        <v>50766261.549999997</v>
      </c>
      <c r="J365" s="3">
        <v>3654.28</v>
      </c>
      <c r="K365" s="4">
        <v>2772362.5024999999</v>
      </c>
      <c r="L365" s="4">
        <v>0</v>
      </c>
      <c r="M365" s="3">
        <v>0</v>
      </c>
      <c r="N365" t="s">
        <v>29</v>
      </c>
      <c r="O365" t="s">
        <v>937</v>
      </c>
      <c r="P365" t="s">
        <v>651</v>
      </c>
    </row>
    <row r="366" spans="1:16" x14ac:dyDescent="0.4">
      <c r="A366" s="2">
        <v>45883</v>
      </c>
      <c r="B366" t="s">
        <v>30</v>
      </c>
      <c r="C366" t="s">
        <v>649</v>
      </c>
      <c r="D366" s="3" t="str">
        <f t="shared" si="10"/>
        <v>PASS</v>
      </c>
      <c r="E366" s="3" t="str">
        <f t="shared" si="11"/>
        <v>PASS</v>
      </c>
      <c r="F366" t="s">
        <v>649</v>
      </c>
      <c r="G366" t="s">
        <v>649</v>
      </c>
      <c r="H366" s="3">
        <v>34975579.340000004</v>
      </c>
      <c r="I366" s="3">
        <v>33021912.27</v>
      </c>
      <c r="J366" s="3">
        <v>2355.54</v>
      </c>
      <c r="K366" s="4">
        <v>1748778.9669999999</v>
      </c>
      <c r="L366" s="4">
        <v>0.21855864256521421</v>
      </c>
      <c r="M366" s="3">
        <v>3</v>
      </c>
      <c r="N366" t="s">
        <v>961</v>
      </c>
      <c r="O366" t="s">
        <v>901</v>
      </c>
      <c r="P366" t="s">
        <v>861</v>
      </c>
    </row>
    <row r="367" spans="1:16" x14ac:dyDescent="0.4">
      <c r="A367" s="2">
        <v>45883</v>
      </c>
      <c r="B367" t="s">
        <v>31</v>
      </c>
      <c r="C367" t="s">
        <v>649</v>
      </c>
      <c r="D367" s="3" t="str">
        <f t="shared" si="10"/>
        <v>PASS</v>
      </c>
      <c r="E367" s="3" t="str">
        <f t="shared" si="11"/>
        <v>PASS</v>
      </c>
      <c r="F367" t="s">
        <v>649</v>
      </c>
      <c r="G367" t="s">
        <v>649</v>
      </c>
      <c r="H367" s="3">
        <v>23844178.210000001</v>
      </c>
      <c r="I367" s="3">
        <v>21726623.690000001</v>
      </c>
      <c r="J367" s="3">
        <v>1563.59</v>
      </c>
      <c r="K367" s="4">
        <v>1192208.9105</v>
      </c>
      <c r="L367" s="4">
        <v>0.21668830054839569</v>
      </c>
      <c r="M367" s="3">
        <v>3</v>
      </c>
      <c r="N367" t="s">
        <v>962</v>
      </c>
      <c r="O367" t="s">
        <v>912</v>
      </c>
      <c r="P367" t="s">
        <v>863</v>
      </c>
    </row>
    <row r="368" spans="1:16" x14ac:dyDescent="0.4">
      <c r="A368" s="2">
        <v>45883</v>
      </c>
      <c r="B368" t="s">
        <v>32</v>
      </c>
      <c r="C368" t="s">
        <v>649</v>
      </c>
      <c r="D368" s="3" t="str">
        <f t="shared" si="10"/>
        <v>PASS</v>
      </c>
      <c r="E368" s="3" t="str">
        <f t="shared" si="11"/>
        <v>PASS</v>
      </c>
      <c r="F368" t="s">
        <v>649</v>
      </c>
      <c r="G368" t="s">
        <v>649</v>
      </c>
      <c r="H368" s="3">
        <v>24687125.530000001</v>
      </c>
      <c r="I368" s="3">
        <v>20755413.879999999</v>
      </c>
      <c r="J368" s="3">
        <v>1503.28</v>
      </c>
      <c r="K368" s="4">
        <v>1234356.2764999999</v>
      </c>
      <c r="L368" s="4">
        <v>0.21534655170000999</v>
      </c>
      <c r="M368" s="3">
        <v>3</v>
      </c>
      <c r="N368" t="s">
        <v>963</v>
      </c>
      <c r="O368" t="s">
        <v>932</v>
      </c>
      <c r="P368" t="s">
        <v>866</v>
      </c>
    </row>
    <row r="369" spans="1:16" x14ac:dyDescent="0.4">
      <c r="A369" s="2">
        <v>45883</v>
      </c>
      <c r="B369" t="s">
        <v>33</v>
      </c>
      <c r="C369" t="s">
        <v>649</v>
      </c>
      <c r="D369" s="3" t="str">
        <f t="shared" si="10"/>
        <v>PASS</v>
      </c>
      <c r="E369" s="3" t="str">
        <f t="shared" si="11"/>
        <v>PASS</v>
      </c>
      <c r="F369" t="s">
        <v>649</v>
      </c>
      <c r="G369" t="s">
        <v>649</v>
      </c>
      <c r="H369" s="3">
        <v>15523839.119999999</v>
      </c>
      <c r="I369" s="3">
        <v>13783533.140000001</v>
      </c>
      <c r="J369" s="3">
        <v>993.42</v>
      </c>
      <c r="K369" s="4">
        <v>776191.95600000001</v>
      </c>
      <c r="L369" s="4">
        <v>0.2165673988839312</v>
      </c>
      <c r="M369" s="3">
        <v>3</v>
      </c>
      <c r="N369" t="s">
        <v>962</v>
      </c>
      <c r="O369" t="s">
        <v>912</v>
      </c>
      <c r="P369" t="s">
        <v>863</v>
      </c>
    </row>
    <row r="370" spans="1:16" x14ac:dyDescent="0.4">
      <c r="A370" s="2">
        <v>45883</v>
      </c>
      <c r="B370" t="s">
        <v>34</v>
      </c>
      <c r="C370" t="s">
        <v>649</v>
      </c>
      <c r="D370" s="3" t="str">
        <f t="shared" si="10"/>
        <v>PASS</v>
      </c>
      <c r="E370" s="3" t="str">
        <f t="shared" si="11"/>
        <v>PASS</v>
      </c>
      <c r="F370" t="s">
        <v>649</v>
      </c>
      <c r="G370" t="s">
        <v>649</v>
      </c>
      <c r="H370" s="3">
        <v>167285412.21000001</v>
      </c>
      <c r="I370" s="3">
        <v>143477389.18000001</v>
      </c>
      <c r="J370" s="3">
        <v>10378.17</v>
      </c>
      <c r="K370" s="4">
        <v>8364270.6105000004</v>
      </c>
      <c r="L370" s="4">
        <v>0.21559444256536231</v>
      </c>
      <c r="M370" s="3">
        <v>3</v>
      </c>
      <c r="N370" t="s">
        <v>964</v>
      </c>
      <c r="O370" t="s">
        <v>932</v>
      </c>
      <c r="P370" t="s">
        <v>863</v>
      </c>
    </row>
    <row r="371" spans="1:16" x14ac:dyDescent="0.4">
      <c r="A371" s="2">
        <v>45883</v>
      </c>
      <c r="B371" t="s">
        <v>35</v>
      </c>
      <c r="C371" t="s">
        <v>649</v>
      </c>
      <c r="D371" s="3" t="str">
        <f t="shared" si="10"/>
        <v>PASS</v>
      </c>
      <c r="E371" s="3" t="str">
        <f t="shared" si="11"/>
        <v>PASS</v>
      </c>
      <c r="F371" t="s">
        <v>649</v>
      </c>
      <c r="G371" t="s">
        <v>649</v>
      </c>
      <c r="H371" s="3">
        <v>137739169.83000001</v>
      </c>
      <c r="I371" s="3">
        <v>124486606.56</v>
      </c>
      <c r="J371" s="3">
        <v>8737.81</v>
      </c>
      <c r="K371" s="4">
        <v>6886958.4915000014</v>
      </c>
      <c r="L371" s="4">
        <v>0.22214731694233719</v>
      </c>
      <c r="M371" s="3">
        <v>3</v>
      </c>
      <c r="N371" t="s">
        <v>965</v>
      </c>
      <c r="O371" t="s">
        <v>956</v>
      </c>
      <c r="P371" t="s">
        <v>757</v>
      </c>
    </row>
    <row r="372" spans="1:16" x14ac:dyDescent="0.4">
      <c r="A372" s="2">
        <v>45883</v>
      </c>
      <c r="B372" t="s">
        <v>36</v>
      </c>
      <c r="C372" t="s">
        <v>649</v>
      </c>
      <c r="D372" s="3" t="str">
        <f t="shared" si="10"/>
        <v>PASS</v>
      </c>
      <c r="E372" s="3" t="str">
        <f t="shared" si="11"/>
        <v>PASS</v>
      </c>
      <c r="F372" t="s">
        <v>649</v>
      </c>
      <c r="G372" t="s">
        <v>649</v>
      </c>
      <c r="H372" s="3">
        <v>102686190.28</v>
      </c>
      <c r="I372" s="3">
        <v>92696437.140000015</v>
      </c>
      <c r="J372" s="3">
        <v>6717.95</v>
      </c>
      <c r="K372" s="4">
        <v>5134309.5140000004</v>
      </c>
      <c r="L372" s="4">
        <v>0.21516646441782961</v>
      </c>
      <c r="M372" s="3">
        <v>3</v>
      </c>
      <c r="N372" t="s">
        <v>966</v>
      </c>
      <c r="O372" t="s">
        <v>932</v>
      </c>
      <c r="P372" t="s">
        <v>866</v>
      </c>
    </row>
    <row r="373" spans="1:16" x14ac:dyDescent="0.4">
      <c r="A373" s="2">
        <v>45883</v>
      </c>
      <c r="B373" t="s">
        <v>37</v>
      </c>
      <c r="C373" t="s">
        <v>649</v>
      </c>
      <c r="D373" s="3" t="str">
        <f t="shared" si="10"/>
        <v>PASS</v>
      </c>
      <c r="E373" s="3" t="str">
        <f t="shared" si="11"/>
        <v>PASS</v>
      </c>
      <c r="F373" t="s">
        <v>649</v>
      </c>
      <c r="G373" t="s">
        <v>649</v>
      </c>
      <c r="H373" s="3">
        <v>40703366.57</v>
      </c>
      <c r="I373" s="3">
        <v>35028732.229999997</v>
      </c>
      <c r="J373" s="3">
        <v>2543.7800000000002</v>
      </c>
      <c r="K373" s="4">
        <v>2035168.3285000001</v>
      </c>
      <c r="L373" s="4">
        <v>0.21460737700324209</v>
      </c>
      <c r="M373" s="3">
        <v>3</v>
      </c>
      <c r="N373" t="s">
        <v>967</v>
      </c>
      <c r="O373" t="s">
        <v>932</v>
      </c>
      <c r="P373" t="s">
        <v>866</v>
      </c>
    </row>
    <row r="374" spans="1:16" x14ac:dyDescent="0.4">
      <c r="A374" s="2">
        <v>45883</v>
      </c>
      <c r="B374" t="s">
        <v>38</v>
      </c>
      <c r="C374" t="s">
        <v>649</v>
      </c>
      <c r="D374" s="3" t="str">
        <f t="shared" si="10"/>
        <v>PASS</v>
      </c>
      <c r="E374" s="3" t="str">
        <f t="shared" si="11"/>
        <v>PASS</v>
      </c>
      <c r="F374" t="s">
        <v>649</v>
      </c>
      <c r="G374" t="s">
        <v>649</v>
      </c>
      <c r="H374" s="3">
        <v>43736908.579999998</v>
      </c>
      <c r="I374" s="3">
        <v>38050539.479999997</v>
      </c>
      <c r="J374" s="3">
        <v>2682.18</v>
      </c>
      <c r="K374" s="4">
        <v>2186845.429</v>
      </c>
      <c r="L374" s="4">
        <v>0.22123791187120129</v>
      </c>
      <c r="M374" s="3">
        <v>3</v>
      </c>
      <c r="N374" t="s">
        <v>968</v>
      </c>
      <c r="O374" t="s">
        <v>969</v>
      </c>
      <c r="P374" t="s">
        <v>759</v>
      </c>
    </row>
    <row r="375" spans="1:16" x14ac:dyDescent="0.4">
      <c r="A375" s="2">
        <v>45883</v>
      </c>
      <c r="B375" t="s">
        <v>39</v>
      </c>
      <c r="C375" t="s">
        <v>649</v>
      </c>
      <c r="D375" s="3" t="str">
        <f t="shared" si="10"/>
        <v>PASS</v>
      </c>
      <c r="E375" s="3" t="str">
        <f t="shared" si="11"/>
        <v>PASS</v>
      </c>
      <c r="F375" t="s">
        <v>649</v>
      </c>
      <c r="G375" t="s">
        <v>649</v>
      </c>
      <c r="H375" s="3">
        <v>79429720.640000001</v>
      </c>
      <c r="I375" s="3">
        <v>71593986.960000008</v>
      </c>
      <c r="J375" s="3">
        <v>5133.37</v>
      </c>
      <c r="K375" s="4">
        <v>3971486.0320000001</v>
      </c>
      <c r="L375" s="4">
        <v>0.21743693871170069</v>
      </c>
      <c r="M375" s="3">
        <v>3</v>
      </c>
      <c r="N375" t="s">
        <v>970</v>
      </c>
      <c r="O375" t="s">
        <v>901</v>
      </c>
      <c r="P375" t="s">
        <v>869</v>
      </c>
    </row>
    <row r="376" spans="1:16" x14ac:dyDescent="0.4">
      <c r="A376" s="2">
        <v>45884</v>
      </c>
      <c r="B376" t="s">
        <v>27</v>
      </c>
      <c r="C376" t="s">
        <v>649</v>
      </c>
      <c r="D376" s="3" t="str">
        <f t="shared" si="10"/>
        <v>PASS</v>
      </c>
      <c r="E376" s="3" t="str">
        <f t="shared" si="11"/>
        <v>PASS</v>
      </c>
      <c r="F376" t="s">
        <v>649</v>
      </c>
      <c r="G376" t="s">
        <v>649</v>
      </c>
      <c r="H376" s="3">
        <v>54285267.359999999</v>
      </c>
      <c r="I376" s="3">
        <v>49871061.439999998</v>
      </c>
      <c r="J376" s="3">
        <v>10936.29</v>
      </c>
      <c r="K376" s="4">
        <v>2714263.3679999998</v>
      </c>
      <c r="L376" s="4">
        <v>0</v>
      </c>
      <c r="M376" s="3">
        <v>0</v>
      </c>
      <c r="N376" t="s">
        <v>29</v>
      </c>
      <c r="O376" t="s">
        <v>971</v>
      </c>
      <c r="P376" t="s">
        <v>972</v>
      </c>
    </row>
    <row r="377" spans="1:16" x14ac:dyDescent="0.4">
      <c r="A377" s="2">
        <v>45884</v>
      </c>
      <c r="B377" t="s">
        <v>30</v>
      </c>
      <c r="C377" t="s">
        <v>649</v>
      </c>
      <c r="D377" s="3" t="str">
        <f t="shared" si="10"/>
        <v>PASS</v>
      </c>
      <c r="E377" s="3" t="str">
        <f t="shared" si="11"/>
        <v>PASS</v>
      </c>
      <c r="F377" t="s">
        <v>649</v>
      </c>
      <c r="G377" t="s">
        <v>649</v>
      </c>
      <c r="H377" s="3">
        <v>34639203.710000001</v>
      </c>
      <c r="I377" s="3">
        <v>32613128.359999999</v>
      </c>
      <c r="J377" s="3">
        <v>7075.59</v>
      </c>
      <c r="K377" s="4">
        <v>1731960.1854999999</v>
      </c>
      <c r="L377" s="4">
        <v>0.2173848958782606</v>
      </c>
      <c r="M377" s="3">
        <v>3</v>
      </c>
      <c r="N377" t="s">
        <v>973</v>
      </c>
      <c r="O377" t="s">
        <v>869</v>
      </c>
      <c r="P377" t="s">
        <v>974</v>
      </c>
    </row>
    <row r="378" spans="1:16" x14ac:dyDescent="0.4">
      <c r="A378" s="2">
        <v>45884</v>
      </c>
      <c r="B378" t="s">
        <v>31</v>
      </c>
      <c r="C378" t="s">
        <v>649</v>
      </c>
      <c r="D378" s="3" t="str">
        <f t="shared" si="10"/>
        <v>PASS</v>
      </c>
      <c r="E378" s="3" t="str">
        <f t="shared" si="11"/>
        <v>PASS</v>
      </c>
      <c r="F378" t="s">
        <v>649</v>
      </c>
      <c r="G378" t="s">
        <v>649</v>
      </c>
      <c r="H378" s="3">
        <v>23467122.73</v>
      </c>
      <c r="I378" s="3">
        <v>21522407.670000002</v>
      </c>
      <c r="J378" s="3">
        <v>4696.47</v>
      </c>
      <c r="K378" s="4">
        <v>1173356.1365</v>
      </c>
      <c r="L378" s="4">
        <v>0.21549284789058151</v>
      </c>
      <c r="M378" s="3">
        <v>3</v>
      </c>
      <c r="N378" t="s">
        <v>975</v>
      </c>
      <c r="O378" t="s">
        <v>863</v>
      </c>
      <c r="P378" t="s">
        <v>976</v>
      </c>
    </row>
    <row r="379" spans="1:16" x14ac:dyDescent="0.4">
      <c r="A379" s="2">
        <v>45884</v>
      </c>
      <c r="B379" t="s">
        <v>32</v>
      </c>
      <c r="C379" t="s">
        <v>649</v>
      </c>
      <c r="D379" s="3" t="str">
        <f t="shared" si="10"/>
        <v>PASS</v>
      </c>
      <c r="E379" s="3" t="str">
        <f t="shared" si="11"/>
        <v>PASS</v>
      </c>
      <c r="F379" t="s">
        <v>649</v>
      </c>
      <c r="G379" t="s">
        <v>649</v>
      </c>
      <c r="H379" s="3">
        <v>24673328.960000001</v>
      </c>
      <c r="I379" s="3">
        <v>20630684.530000001</v>
      </c>
      <c r="J379" s="3">
        <v>4513.8599999999997</v>
      </c>
      <c r="K379" s="4">
        <v>1233666.4480000001</v>
      </c>
      <c r="L379" s="4">
        <v>0.214184430549964</v>
      </c>
      <c r="M379" s="3">
        <v>3</v>
      </c>
      <c r="N379" t="s">
        <v>977</v>
      </c>
      <c r="O379" t="s">
        <v>946</v>
      </c>
      <c r="P379" t="s">
        <v>866</v>
      </c>
    </row>
    <row r="380" spans="1:16" x14ac:dyDescent="0.4">
      <c r="A380" s="2">
        <v>45884</v>
      </c>
      <c r="B380" t="s">
        <v>33</v>
      </c>
      <c r="C380" t="s">
        <v>649</v>
      </c>
      <c r="D380" s="3" t="str">
        <f t="shared" si="10"/>
        <v>PASS</v>
      </c>
      <c r="E380" s="3" t="str">
        <f t="shared" si="11"/>
        <v>PASS</v>
      </c>
      <c r="F380" t="s">
        <v>649</v>
      </c>
      <c r="G380" t="s">
        <v>649</v>
      </c>
      <c r="H380" s="3">
        <v>15335080.57</v>
      </c>
      <c r="I380" s="3">
        <v>13635948.699999999</v>
      </c>
      <c r="J380" s="3">
        <v>2983.35</v>
      </c>
      <c r="K380" s="4">
        <v>766754.02850000001</v>
      </c>
      <c r="L380" s="4">
        <v>0.2154098715176615</v>
      </c>
      <c r="M380" s="3">
        <v>3</v>
      </c>
      <c r="N380" t="s">
        <v>957</v>
      </c>
      <c r="O380" t="s">
        <v>863</v>
      </c>
      <c r="P380" t="s">
        <v>976</v>
      </c>
    </row>
    <row r="381" spans="1:16" x14ac:dyDescent="0.4">
      <c r="A381" s="2">
        <v>45884</v>
      </c>
      <c r="B381" t="s">
        <v>34</v>
      </c>
      <c r="C381" t="s">
        <v>649</v>
      </c>
      <c r="D381" s="3" t="str">
        <f t="shared" si="10"/>
        <v>PASS</v>
      </c>
      <c r="E381" s="3" t="str">
        <f t="shared" si="11"/>
        <v>PASS</v>
      </c>
      <c r="F381" t="s">
        <v>649</v>
      </c>
      <c r="G381" t="s">
        <v>649</v>
      </c>
      <c r="H381" s="3">
        <v>167232880.87</v>
      </c>
      <c r="I381" s="3">
        <v>142580386.19</v>
      </c>
      <c r="J381" s="3">
        <v>31166.25</v>
      </c>
      <c r="K381" s="4">
        <v>8361644.0435000006</v>
      </c>
      <c r="L381" s="4">
        <v>0.21436572936714809</v>
      </c>
      <c r="M381" s="3">
        <v>3</v>
      </c>
      <c r="N381" t="s">
        <v>978</v>
      </c>
      <c r="O381" t="s">
        <v>946</v>
      </c>
      <c r="P381" t="s">
        <v>866</v>
      </c>
    </row>
    <row r="382" spans="1:16" x14ac:dyDescent="0.4">
      <c r="A382" s="2">
        <v>45884</v>
      </c>
      <c r="B382" t="s">
        <v>35</v>
      </c>
      <c r="C382" t="s">
        <v>649</v>
      </c>
      <c r="D382" s="3" t="str">
        <f t="shared" si="10"/>
        <v>PASS</v>
      </c>
      <c r="E382" s="3" t="str">
        <f t="shared" si="11"/>
        <v>PASS</v>
      </c>
      <c r="F382" t="s">
        <v>649</v>
      </c>
      <c r="G382" t="s">
        <v>649</v>
      </c>
      <c r="H382" s="3">
        <v>135759686.16</v>
      </c>
      <c r="I382" s="3">
        <v>123444948.56</v>
      </c>
      <c r="J382" s="3">
        <v>26246.880000000001</v>
      </c>
      <c r="K382" s="4">
        <v>6787984.3080000002</v>
      </c>
      <c r="L382" s="4">
        <v>0.22096003921612931</v>
      </c>
      <c r="M382" s="3">
        <v>3</v>
      </c>
      <c r="N382" t="s">
        <v>979</v>
      </c>
      <c r="O382" t="s">
        <v>944</v>
      </c>
      <c r="P382" t="s">
        <v>710</v>
      </c>
    </row>
    <row r="383" spans="1:16" x14ac:dyDescent="0.4">
      <c r="A383" s="2">
        <v>45884</v>
      </c>
      <c r="B383" t="s">
        <v>36</v>
      </c>
      <c r="C383" t="s">
        <v>649</v>
      </c>
      <c r="D383" s="3" t="str">
        <f t="shared" si="10"/>
        <v>PASS</v>
      </c>
      <c r="E383" s="3" t="str">
        <f t="shared" si="11"/>
        <v>PASS</v>
      </c>
      <c r="F383" t="s">
        <v>649</v>
      </c>
      <c r="G383" t="s">
        <v>649</v>
      </c>
      <c r="H383" s="3">
        <v>101497508.09</v>
      </c>
      <c r="I383" s="3">
        <v>91803771.809999987</v>
      </c>
      <c r="J383" s="3">
        <v>20175.72</v>
      </c>
      <c r="K383" s="4">
        <v>5074875.4045000002</v>
      </c>
      <c r="L383" s="4">
        <v>0.2139304987682033</v>
      </c>
      <c r="M383" s="3">
        <v>3</v>
      </c>
      <c r="N383" t="s">
        <v>980</v>
      </c>
      <c r="O383" t="s">
        <v>866</v>
      </c>
      <c r="P383" t="s">
        <v>981</v>
      </c>
    </row>
    <row r="384" spans="1:16" x14ac:dyDescent="0.4">
      <c r="A384" s="2">
        <v>45884</v>
      </c>
      <c r="B384" t="s">
        <v>37</v>
      </c>
      <c r="C384" t="s">
        <v>649</v>
      </c>
      <c r="D384" s="3" t="str">
        <f t="shared" si="10"/>
        <v>PASS</v>
      </c>
      <c r="E384" s="3" t="str">
        <f t="shared" si="11"/>
        <v>PASS</v>
      </c>
      <c r="F384" t="s">
        <v>649</v>
      </c>
      <c r="G384" t="s">
        <v>649</v>
      </c>
      <c r="H384" s="3">
        <v>40270098.68</v>
      </c>
      <c r="I384" s="3">
        <v>34693846.530000001</v>
      </c>
      <c r="J384" s="3">
        <v>7639.59</v>
      </c>
      <c r="K384" s="4">
        <v>2013504.9339999999</v>
      </c>
      <c r="L384" s="4">
        <v>0.21346185738740539</v>
      </c>
      <c r="M384" s="3">
        <v>3</v>
      </c>
      <c r="N384" t="s">
        <v>982</v>
      </c>
      <c r="O384" t="s">
        <v>983</v>
      </c>
      <c r="P384" t="s">
        <v>984</v>
      </c>
    </row>
    <row r="385" spans="1:16" x14ac:dyDescent="0.4">
      <c r="A385" s="2">
        <v>45884</v>
      </c>
      <c r="B385" t="s">
        <v>38</v>
      </c>
      <c r="C385" t="s">
        <v>649</v>
      </c>
      <c r="D385" s="3" t="str">
        <f t="shared" si="10"/>
        <v>PASS</v>
      </c>
      <c r="E385" s="3" t="str">
        <f t="shared" si="11"/>
        <v>PASS</v>
      </c>
      <c r="F385" t="s">
        <v>649</v>
      </c>
      <c r="G385" t="s">
        <v>649</v>
      </c>
      <c r="H385" s="3">
        <v>43317718.32</v>
      </c>
      <c r="I385" s="3">
        <v>37807168.840000004</v>
      </c>
      <c r="J385" s="3">
        <v>8055.48</v>
      </c>
      <c r="K385" s="4">
        <v>2165885.9160000002</v>
      </c>
      <c r="L385" s="4">
        <v>0.22007659158310861</v>
      </c>
      <c r="M385" s="3">
        <v>3</v>
      </c>
      <c r="N385" t="s">
        <v>985</v>
      </c>
      <c r="O385" t="s">
        <v>896</v>
      </c>
      <c r="P385" t="s">
        <v>873</v>
      </c>
    </row>
    <row r="386" spans="1:16" x14ac:dyDescent="0.4">
      <c r="A386" s="2">
        <v>45884</v>
      </c>
      <c r="B386" t="s">
        <v>39</v>
      </c>
      <c r="C386" t="s">
        <v>649</v>
      </c>
      <c r="D386" s="3" t="str">
        <f t="shared" ref="D386:D449" si="12">IF(I386/H386&gt;=0.5,"PASS","FAIL")</f>
        <v>PASS</v>
      </c>
      <c r="E386" s="3" t="str">
        <f t="shared" ref="E386:E449" si="13">IF(L386&lt;=0.5,"PASS","FAIL")</f>
        <v>PASS</v>
      </c>
      <c r="F386" t="s">
        <v>649</v>
      </c>
      <c r="G386" t="s">
        <v>649</v>
      </c>
      <c r="H386" s="3">
        <v>78609434.439999998</v>
      </c>
      <c r="I386" s="3">
        <v>70928080.25</v>
      </c>
      <c r="J386" s="3">
        <v>15419.19</v>
      </c>
      <c r="K386" s="4">
        <v>3930471.7220000001</v>
      </c>
      <c r="L386" s="4">
        <v>0.21629832539860991</v>
      </c>
      <c r="M386" s="3">
        <v>3</v>
      </c>
      <c r="N386" t="s">
        <v>986</v>
      </c>
      <c r="O386" t="s">
        <v>869</v>
      </c>
      <c r="P386" t="s">
        <v>974</v>
      </c>
    </row>
    <row r="387" spans="1:16" x14ac:dyDescent="0.4">
      <c r="A387" s="2">
        <v>45887</v>
      </c>
      <c r="B387" t="s">
        <v>27</v>
      </c>
      <c r="C387" t="s">
        <v>649</v>
      </c>
      <c r="D387" s="3" t="str">
        <f t="shared" si="12"/>
        <v>PASS</v>
      </c>
      <c r="E387" s="3" t="str">
        <f t="shared" si="13"/>
        <v>PASS</v>
      </c>
      <c r="F387" t="s">
        <v>649</v>
      </c>
      <c r="G387" t="s">
        <v>649</v>
      </c>
      <c r="H387" s="3">
        <v>54287795.560000002</v>
      </c>
      <c r="I387" s="3">
        <v>49734308.789999999</v>
      </c>
      <c r="J387" s="3">
        <v>3614.09</v>
      </c>
      <c r="K387" s="4">
        <v>2714389.7779999999</v>
      </c>
      <c r="L387" s="4">
        <v>0</v>
      </c>
      <c r="M387" s="3">
        <v>0</v>
      </c>
      <c r="N387" t="s">
        <v>29</v>
      </c>
      <c r="O387" t="s">
        <v>702</v>
      </c>
      <c r="P387" t="s">
        <v>987</v>
      </c>
    </row>
    <row r="388" spans="1:16" x14ac:dyDescent="0.4">
      <c r="A388" s="2">
        <v>45887</v>
      </c>
      <c r="B388" t="s">
        <v>30</v>
      </c>
      <c r="C388" t="s">
        <v>649</v>
      </c>
      <c r="D388" s="3" t="str">
        <f t="shared" si="12"/>
        <v>PASS</v>
      </c>
      <c r="E388" s="3" t="str">
        <f t="shared" si="13"/>
        <v>PASS</v>
      </c>
      <c r="F388" t="s">
        <v>649</v>
      </c>
      <c r="G388" t="s">
        <v>649</v>
      </c>
      <c r="H388" s="3">
        <v>34641542.770000003</v>
      </c>
      <c r="I388" s="3">
        <v>33423329.829999998</v>
      </c>
      <c r="J388" s="3">
        <v>2356.5500000000002</v>
      </c>
      <c r="K388" s="4">
        <v>1732077.1384999999</v>
      </c>
      <c r="L388" s="4">
        <v>0.23624954491905409</v>
      </c>
      <c r="M388" s="3">
        <v>3</v>
      </c>
      <c r="N388" t="s">
        <v>988</v>
      </c>
      <c r="O388" t="s">
        <v>912</v>
      </c>
      <c r="P388" t="s">
        <v>863</v>
      </c>
    </row>
    <row r="389" spans="1:16" x14ac:dyDescent="0.4">
      <c r="A389" s="2">
        <v>45887</v>
      </c>
      <c r="B389" t="s">
        <v>31</v>
      </c>
      <c r="C389" t="s">
        <v>649</v>
      </c>
      <c r="D389" s="3" t="str">
        <f t="shared" si="12"/>
        <v>PASS</v>
      </c>
      <c r="E389" s="3" t="str">
        <f t="shared" si="13"/>
        <v>PASS</v>
      </c>
      <c r="F389" t="s">
        <v>649</v>
      </c>
      <c r="G389" t="s">
        <v>649</v>
      </c>
      <c r="H389" s="3">
        <v>23466942.350000001</v>
      </c>
      <c r="I389" s="3">
        <v>21972027.420000002</v>
      </c>
      <c r="J389" s="3">
        <v>1564.41</v>
      </c>
      <c r="K389" s="4">
        <v>1173347.1174999999</v>
      </c>
      <c r="L389" s="4">
        <v>0.23424731316388339</v>
      </c>
      <c r="M389" s="3">
        <v>3</v>
      </c>
      <c r="N389" t="s">
        <v>989</v>
      </c>
      <c r="O389" t="s">
        <v>932</v>
      </c>
      <c r="P389" t="s">
        <v>866</v>
      </c>
    </row>
    <row r="390" spans="1:16" x14ac:dyDescent="0.4">
      <c r="A390" s="2">
        <v>45887</v>
      </c>
      <c r="B390" t="s">
        <v>32</v>
      </c>
      <c r="C390" t="s">
        <v>649</v>
      </c>
      <c r="D390" s="3" t="str">
        <f t="shared" si="12"/>
        <v>PASS</v>
      </c>
      <c r="E390" s="3" t="str">
        <f t="shared" si="13"/>
        <v>PASS</v>
      </c>
      <c r="F390" t="s">
        <v>649</v>
      </c>
      <c r="G390" t="s">
        <v>649</v>
      </c>
      <c r="H390" s="3">
        <v>24676467.460000001</v>
      </c>
      <c r="I390" s="3">
        <v>20991004.32</v>
      </c>
      <c r="J390" s="3">
        <v>1503.39</v>
      </c>
      <c r="K390" s="4">
        <v>1233823.3729999999</v>
      </c>
      <c r="L390" s="4">
        <v>0.23150984470720079</v>
      </c>
      <c r="M390" s="3">
        <v>3</v>
      </c>
      <c r="N390" t="s">
        <v>990</v>
      </c>
      <c r="O390" t="s">
        <v>910</v>
      </c>
      <c r="P390" t="s">
        <v>991</v>
      </c>
    </row>
    <row r="391" spans="1:16" x14ac:dyDescent="0.4">
      <c r="A391" s="2">
        <v>45887</v>
      </c>
      <c r="B391" t="s">
        <v>33</v>
      </c>
      <c r="C391" t="s">
        <v>649</v>
      </c>
      <c r="D391" s="3" t="str">
        <f t="shared" si="12"/>
        <v>PASS</v>
      </c>
      <c r="E391" s="3" t="str">
        <f t="shared" si="13"/>
        <v>PASS</v>
      </c>
      <c r="F391" t="s">
        <v>649</v>
      </c>
      <c r="G391" t="s">
        <v>649</v>
      </c>
      <c r="H391" s="3">
        <v>15337230.18</v>
      </c>
      <c r="I391" s="3">
        <v>13916058.810000001</v>
      </c>
      <c r="J391" s="3">
        <v>993.58</v>
      </c>
      <c r="K391" s="4">
        <v>766861.50900000008</v>
      </c>
      <c r="L391" s="4">
        <v>0.23368681618677811</v>
      </c>
      <c r="M391" s="3">
        <v>3</v>
      </c>
      <c r="N391" t="s">
        <v>992</v>
      </c>
      <c r="O391" t="s">
        <v>932</v>
      </c>
      <c r="P391" t="s">
        <v>866</v>
      </c>
    </row>
    <row r="392" spans="1:16" x14ac:dyDescent="0.4">
      <c r="A392" s="2">
        <v>45887</v>
      </c>
      <c r="B392" t="s">
        <v>34</v>
      </c>
      <c r="C392" t="s">
        <v>649</v>
      </c>
      <c r="D392" s="3" t="str">
        <f t="shared" si="12"/>
        <v>PASS</v>
      </c>
      <c r="E392" s="3" t="str">
        <f t="shared" si="13"/>
        <v>PASS</v>
      </c>
      <c r="F392" t="s">
        <v>649</v>
      </c>
      <c r="G392" t="s">
        <v>649</v>
      </c>
      <c r="H392" s="3">
        <v>167246407.99000001</v>
      </c>
      <c r="I392" s="3">
        <v>145547614.94999999</v>
      </c>
      <c r="J392" s="3">
        <v>10383.44</v>
      </c>
      <c r="K392" s="4">
        <v>8362320.3995000012</v>
      </c>
      <c r="L392" s="4">
        <v>0.2341105675158143</v>
      </c>
      <c r="M392" s="3">
        <v>3</v>
      </c>
      <c r="N392" t="s">
        <v>993</v>
      </c>
      <c r="O392" t="s">
        <v>946</v>
      </c>
      <c r="P392" t="s">
        <v>910</v>
      </c>
    </row>
    <row r="393" spans="1:16" x14ac:dyDescent="0.4">
      <c r="A393" s="2">
        <v>45887</v>
      </c>
      <c r="B393" t="s">
        <v>35</v>
      </c>
      <c r="C393" t="s">
        <v>649</v>
      </c>
      <c r="D393" s="3" t="str">
        <f t="shared" si="12"/>
        <v>PASS</v>
      </c>
      <c r="E393" s="3" t="str">
        <f t="shared" si="13"/>
        <v>PASS</v>
      </c>
      <c r="F393" t="s">
        <v>649</v>
      </c>
      <c r="G393" t="s">
        <v>649</v>
      </c>
      <c r="H393" s="3">
        <v>135777661.97999999</v>
      </c>
      <c r="I393" s="3">
        <v>126007504.11</v>
      </c>
      <c r="J393" s="3">
        <v>8741.3700000000008</v>
      </c>
      <c r="K393" s="4">
        <v>6788883.0989999995</v>
      </c>
      <c r="L393" s="4">
        <v>0.2408978691403599</v>
      </c>
      <c r="M393" s="3">
        <v>3</v>
      </c>
      <c r="N393" t="s">
        <v>994</v>
      </c>
      <c r="O393" t="s">
        <v>759</v>
      </c>
      <c r="P393" t="s">
        <v>873</v>
      </c>
    </row>
    <row r="394" spans="1:16" x14ac:dyDescent="0.4">
      <c r="A394" s="2">
        <v>45887</v>
      </c>
      <c r="B394" t="s">
        <v>36</v>
      </c>
      <c r="C394" t="s">
        <v>649</v>
      </c>
      <c r="D394" s="3" t="str">
        <f t="shared" si="12"/>
        <v>PASS</v>
      </c>
      <c r="E394" s="3" t="str">
        <f t="shared" si="13"/>
        <v>PASS</v>
      </c>
      <c r="F394" t="s">
        <v>649</v>
      </c>
      <c r="G394" t="s">
        <v>649</v>
      </c>
      <c r="H394" s="3">
        <v>101490868.86</v>
      </c>
      <c r="I394" s="3">
        <v>93914785.640000001</v>
      </c>
      <c r="J394" s="3">
        <v>6722.1</v>
      </c>
      <c r="K394" s="4">
        <v>5074543.443</v>
      </c>
      <c r="L394" s="4">
        <v>0.23303040529282229</v>
      </c>
      <c r="M394" s="3">
        <v>3</v>
      </c>
      <c r="N394" t="s">
        <v>995</v>
      </c>
      <c r="O394" t="s">
        <v>910</v>
      </c>
      <c r="P394" t="s">
        <v>996</v>
      </c>
    </row>
    <row r="395" spans="1:16" x14ac:dyDescent="0.4">
      <c r="A395" s="2">
        <v>45887</v>
      </c>
      <c r="B395" t="s">
        <v>37</v>
      </c>
      <c r="C395" t="s">
        <v>649</v>
      </c>
      <c r="D395" s="3" t="str">
        <f t="shared" si="12"/>
        <v>PASS</v>
      </c>
      <c r="E395" s="3" t="str">
        <f t="shared" si="13"/>
        <v>PASS</v>
      </c>
      <c r="F395" t="s">
        <v>649</v>
      </c>
      <c r="G395" t="s">
        <v>649</v>
      </c>
      <c r="H395" s="3">
        <v>40278255.460000001</v>
      </c>
      <c r="I395" s="3">
        <v>35494935.969999999</v>
      </c>
      <c r="J395" s="3">
        <v>2544.3000000000002</v>
      </c>
      <c r="K395" s="4">
        <v>2013912.773</v>
      </c>
      <c r="L395" s="4">
        <v>0.22911458982835459</v>
      </c>
      <c r="M395" s="3">
        <v>3</v>
      </c>
      <c r="N395" t="s">
        <v>997</v>
      </c>
      <c r="O395" t="s">
        <v>998</v>
      </c>
      <c r="P395" t="s">
        <v>915</v>
      </c>
    </row>
    <row r="396" spans="1:16" x14ac:dyDescent="0.4">
      <c r="A396" s="2">
        <v>45887</v>
      </c>
      <c r="B396" t="s">
        <v>38</v>
      </c>
      <c r="C396" t="s">
        <v>649</v>
      </c>
      <c r="D396" s="3" t="str">
        <f t="shared" si="12"/>
        <v>PASS</v>
      </c>
      <c r="E396" s="3" t="str">
        <f t="shared" si="13"/>
        <v>PASS</v>
      </c>
      <c r="F396" t="s">
        <v>649</v>
      </c>
      <c r="G396" t="s">
        <v>649</v>
      </c>
      <c r="H396" s="3">
        <v>43325302.509999998</v>
      </c>
      <c r="I396" s="3">
        <v>38495684.229999997</v>
      </c>
      <c r="J396" s="3">
        <v>2682.57</v>
      </c>
      <c r="K396" s="4">
        <v>2166265.1255000001</v>
      </c>
      <c r="L396" s="4">
        <v>0.23672903422551611</v>
      </c>
      <c r="M396" s="3">
        <v>3</v>
      </c>
      <c r="N396" t="s">
        <v>999</v>
      </c>
      <c r="O396" t="s">
        <v>896</v>
      </c>
      <c r="P396" t="s">
        <v>861</v>
      </c>
    </row>
    <row r="397" spans="1:16" x14ac:dyDescent="0.4">
      <c r="A397" s="2">
        <v>45887</v>
      </c>
      <c r="B397" t="s">
        <v>39</v>
      </c>
      <c r="C397" t="s">
        <v>649</v>
      </c>
      <c r="D397" s="3" t="str">
        <f t="shared" si="12"/>
        <v>PASS</v>
      </c>
      <c r="E397" s="3" t="str">
        <f t="shared" si="13"/>
        <v>PASS</v>
      </c>
      <c r="F397" t="s">
        <v>649</v>
      </c>
      <c r="G397" t="s">
        <v>649</v>
      </c>
      <c r="H397" s="3">
        <v>78617927.930000007</v>
      </c>
      <c r="I397" s="3">
        <v>72284567.189999998</v>
      </c>
      <c r="J397" s="3">
        <v>5134.71</v>
      </c>
      <c r="K397" s="4">
        <v>3930896.3965000012</v>
      </c>
      <c r="L397" s="4">
        <v>0.2321075047593609</v>
      </c>
      <c r="M397" s="3">
        <v>3</v>
      </c>
      <c r="N397" t="s">
        <v>1000</v>
      </c>
      <c r="O397" t="s">
        <v>912</v>
      </c>
      <c r="P397" t="s">
        <v>863</v>
      </c>
    </row>
    <row r="398" spans="1:16" x14ac:dyDescent="0.4">
      <c r="A398" s="2">
        <v>45888</v>
      </c>
      <c r="B398" t="s">
        <v>27</v>
      </c>
      <c r="C398" t="s">
        <v>649</v>
      </c>
      <c r="D398" s="3" t="str">
        <f t="shared" si="12"/>
        <v>PASS</v>
      </c>
      <c r="E398" s="3" t="str">
        <f t="shared" si="13"/>
        <v>PASS</v>
      </c>
      <c r="F398" t="s">
        <v>649</v>
      </c>
      <c r="G398" t="s">
        <v>649</v>
      </c>
      <c r="H398" s="3">
        <v>54591282.280000001</v>
      </c>
      <c r="I398" s="3">
        <v>49860397.979999997</v>
      </c>
      <c r="J398" s="3">
        <v>3614.16</v>
      </c>
      <c r="K398" s="4">
        <v>2729564.1140000001</v>
      </c>
      <c r="L398" s="4">
        <v>0</v>
      </c>
      <c r="M398" s="3">
        <v>0</v>
      </c>
      <c r="N398" t="s">
        <v>29</v>
      </c>
      <c r="O398" t="s">
        <v>1001</v>
      </c>
      <c r="P398" t="s">
        <v>1002</v>
      </c>
    </row>
    <row r="399" spans="1:16" x14ac:dyDescent="0.4">
      <c r="A399" s="2">
        <v>45888</v>
      </c>
      <c r="B399" t="s">
        <v>30</v>
      </c>
      <c r="C399" t="s">
        <v>649</v>
      </c>
      <c r="D399" s="3" t="str">
        <f t="shared" si="12"/>
        <v>PASS</v>
      </c>
      <c r="E399" s="3" t="str">
        <f t="shared" si="13"/>
        <v>PASS</v>
      </c>
      <c r="F399" t="s">
        <v>649</v>
      </c>
      <c r="G399" t="s">
        <v>649</v>
      </c>
      <c r="H399" s="3">
        <v>34469876.969999999</v>
      </c>
      <c r="I399" s="3">
        <v>32689088.98</v>
      </c>
      <c r="J399" s="3">
        <v>2355.64</v>
      </c>
      <c r="K399" s="4">
        <v>1723493.8485000001</v>
      </c>
      <c r="L399" s="4">
        <v>0.2143041214462493</v>
      </c>
      <c r="M399" s="3">
        <v>3</v>
      </c>
      <c r="N399" t="s">
        <v>1003</v>
      </c>
      <c r="O399" t="s">
        <v>896</v>
      </c>
      <c r="P399" t="s">
        <v>869</v>
      </c>
    </row>
    <row r="400" spans="1:16" x14ac:dyDescent="0.4">
      <c r="A400" s="2">
        <v>45888</v>
      </c>
      <c r="B400" t="s">
        <v>31</v>
      </c>
      <c r="C400" t="s">
        <v>649</v>
      </c>
      <c r="D400" s="3" t="str">
        <f t="shared" si="12"/>
        <v>PASS</v>
      </c>
      <c r="E400" s="3" t="str">
        <f t="shared" si="13"/>
        <v>PASS</v>
      </c>
      <c r="F400" t="s">
        <v>649</v>
      </c>
      <c r="G400" t="s">
        <v>649</v>
      </c>
      <c r="H400" s="3">
        <v>23367308.5</v>
      </c>
      <c r="I400" s="3">
        <v>21482591.670000002</v>
      </c>
      <c r="J400" s="3">
        <v>1563.78</v>
      </c>
      <c r="K400" s="4">
        <v>1168365.425</v>
      </c>
      <c r="L400" s="4">
        <v>0.21209775238003001</v>
      </c>
      <c r="M400" s="3">
        <v>3</v>
      </c>
      <c r="N400" t="s">
        <v>1004</v>
      </c>
      <c r="O400" t="s">
        <v>863</v>
      </c>
      <c r="P400" t="s">
        <v>976</v>
      </c>
    </row>
    <row r="401" spans="1:16" x14ac:dyDescent="0.4">
      <c r="A401" s="2">
        <v>45888</v>
      </c>
      <c r="B401" t="s">
        <v>32</v>
      </c>
      <c r="C401" t="s">
        <v>649</v>
      </c>
      <c r="D401" s="3" t="str">
        <f t="shared" si="12"/>
        <v>PASS</v>
      </c>
      <c r="E401" s="3" t="str">
        <f t="shared" si="13"/>
        <v>PASS</v>
      </c>
      <c r="F401" t="s">
        <v>649</v>
      </c>
      <c r="G401" t="s">
        <v>649</v>
      </c>
      <c r="H401" s="3">
        <v>24585274.66</v>
      </c>
      <c r="I401" s="3">
        <v>20548204.02</v>
      </c>
      <c r="J401" s="3">
        <v>1503.1</v>
      </c>
      <c r="K401" s="4">
        <v>1229263.733</v>
      </c>
      <c r="L401" s="4">
        <v>0.2110516910712219</v>
      </c>
      <c r="M401" s="3">
        <v>3</v>
      </c>
      <c r="N401" t="s">
        <v>1005</v>
      </c>
      <c r="O401" t="s">
        <v>866</v>
      </c>
      <c r="P401" t="s">
        <v>976</v>
      </c>
    </row>
    <row r="402" spans="1:16" x14ac:dyDescent="0.4">
      <c r="A402" s="2">
        <v>45888</v>
      </c>
      <c r="B402" t="s">
        <v>33</v>
      </c>
      <c r="C402" t="s">
        <v>649</v>
      </c>
      <c r="D402" s="3" t="str">
        <f t="shared" si="12"/>
        <v>PASS</v>
      </c>
      <c r="E402" s="3" t="str">
        <f t="shared" si="13"/>
        <v>PASS</v>
      </c>
      <c r="F402" t="s">
        <v>649</v>
      </c>
      <c r="G402" t="s">
        <v>649</v>
      </c>
      <c r="H402" s="3">
        <v>15270757.35</v>
      </c>
      <c r="I402" s="3">
        <v>13625057.18</v>
      </c>
      <c r="J402" s="3">
        <v>993.33</v>
      </c>
      <c r="K402" s="4">
        <v>763537.86750000005</v>
      </c>
      <c r="L402" s="4">
        <v>0.21189443498985819</v>
      </c>
      <c r="M402" s="3">
        <v>3</v>
      </c>
      <c r="N402" t="s">
        <v>1006</v>
      </c>
      <c r="O402" t="s">
        <v>866</v>
      </c>
      <c r="P402" t="s">
        <v>976</v>
      </c>
    </row>
    <row r="403" spans="1:16" x14ac:dyDescent="0.4">
      <c r="A403" s="2">
        <v>45888</v>
      </c>
      <c r="B403" t="s">
        <v>34</v>
      </c>
      <c r="C403" t="s">
        <v>649</v>
      </c>
      <c r="D403" s="3" t="str">
        <f t="shared" si="12"/>
        <v>PASS</v>
      </c>
      <c r="E403" s="3" t="str">
        <f t="shared" si="13"/>
        <v>PASS</v>
      </c>
      <c r="F403" t="s">
        <v>649</v>
      </c>
      <c r="G403" t="s">
        <v>649</v>
      </c>
      <c r="H403" s="3">
        <v>166627224.40000001</v>
      </c>
      <c r="I403" s="3">
        <v>142100788.58000001</v>
      </c>
      <c r="J403" s="3">
        <v>10380.56</v>
      </c>
      <c r="K403" s="4">
        <v>8331361.2200000007</v>
      </c>
      <c r="L403" s="4">
        <v>0.2112312639513963</v>
      </c>
      <c r="M403" s="3">
        <v>3</v>
      </c>
      <c r="N403" t="s">
        <v>1007</v>
      </c>
      <c r="O403" t="s">
        <v>866</v>
      </c>
      <c r="P403" t="s">
        <v>976</v>
      </c>
    </row>
    <row r="404" spans="1:16" x14ac:dyDescent="0.4">
      <c r="A404" s="2">
        <v>45888</v>
      </c>
      <c r="B404" t="s">
        <v>35</v>
      </c>
      <c r="C404" t="s">
        <v>649</v>
      </c>
      <c r="D404" s="3" t="str">
        <f t="shared" si="12"/>
        <v>PASS</v>
      </c>
      <c r="E404" s="3" t="str">
        <f t="shared" si="13"/>
        <v>PASS</v>
      </c>
      <c r="F404" t="s">
        <v>649</v>
      </c>
      <c r="G404" t="s">
        <v>649</v>
      </c>
      <c r="H404" s="3">
        <v>135149641.22</v>
      </c>
      <c r="I404" s="3">
        <v>123015858.14</v>
      </c>
      <c r="J404" s="3">
        <v>8739.0400000000009</v>
      </c>
      <c r="K404" s="4">
        <v>6757482.0610000007</v>
      </c>
      <c r="L404" s="4">
        <v>0.21739836480447769</v>
      </c>
      <c r="M404" s="3">
        <v>3</v>
      </c>
      <c r="N404" t="s">
        <v>1008</v>
      </c>
      <c r="O404" t="s">
        <v>753</v>
      </c>
      <c r="P404" t="s">
        <v>873</v>
      </c>
    </row>
    <row r="405" spans="1:16" x14ac:dyDescent="0.4">
      <c r="A405" s="2">
        <v>45888</v>
      </c>
      <c r="B405" t="s">
        <v>36</v>
      </c>
      <c r="C405" t="s">
        <v>649</v>
      </c>
      <c r="D405" s="3" t="str">
        <f t="shared" si="12"/>
        <v>PASS</v>
      </c>
      <c r="E405" s="3" t="str">
        <f t="shared" si="13"/>
        <v>PASS</v>
      </c>
      <c r="F405" t="s">
        <v>649</v>
      </c>
      <c r="G405" t="s">
        <v>649</v>
      </c>
      <c r="H405" s="3">
        <v>101086404.78</v>
      </c>
      <c r="I405" s="3">
        <v>91653821</v>
      </c>
      <c r="J405" s="3">
        <v>6718.86</v>
      </c>
      <c r="K405" s="4">
        <v>5054320.2390000001</v>
      </c>
      <c r="L405" s="4">
        <v>0.21050378450187809</v>
      </c>
      <c r="M405" s="3">
        <v>3</v>
      </c>
      <c r="N405" t="s">
        <v>1009</v>
      </c>
      <c r="O405" t="s">
        <v>910</v>
      </c>
      <c r="P405" t="s">
        <v>983</v>
      </c>
    </row>
    <row r="406" spans="1:16" x14ac:dyDescent="0.4">
      <c r="A406" s="2">
        <v>45888</v>
      </c>
      <c r="B406" t="s">
        <v>37</v>
      </c>
      <c r="C406" t="s">
        <v>649</v>
      </c>
      <c r="D406" s="3" t="str">
        <f t="shared" si="12"/>
        <v>PASS</v>
      </c>
      <c r="E406" s="3" t="str">
        <f t="shared" si="13"/>
        <v>PASS</v>
      </c>
      <c r="F406" t="s">
        <v>649</v>
      </c>
      <c r="G406" t="s">
        <v>649</v>
      </c>
      <c r="H406" s="3">
        <v>40119486.079999998</v>
      </c>
      <c r="I406" s="3">
        <v>34600905.68</v>
      </c>
      <c r="J406" s="3">
        <v>2543.9499999999998</v>
      </c>
      <c r="K406" s="4">
        <v>2005974.304</v>
      </c>
      <c r="L406" s="4">
        <v>0.20995138912162339</v>
      </c>
      <c r="M406" s="3">
        <v>3</v>
      </c>
      <c r="N406" t="s">
        <v>1010</v>
      </c>
      <c r="O406" t="s">
        <v>910</v>
      </c>
      <c r="P406" t="s">
        <v>983</v>
      </c>
    </row>
    <row r="407" spans="1:16" x14ac:dyDescent="0.4">
      <c r="A407" s="2">
        <v>45888</v>
      </c>
      <c r="B407" t="s">
        <v>38</v>
      </c>
      <c r="C407" t="s">
        <v>649</v>
      </c>
      <c r="D407" s="3" t="str">
        <f t="shared" si="12"/>
        <v>PASS</v>
      </c>
      <c r="E407" s="3" t="str">
        <f t="shared" si="13"/>
        <v>PASS</v>
      </c>
      <c r="F407" t="s">
        <v>649</v>
      </c>
      <c r="G407" t="s">
        <v>649</v>
      </c>
      <c r="H407" s="3">
        <v>43133520.450000003</v>
      </c>
      <c r="I407" s="3">
        <v>37688588.899999999</v>
      </c>
      <c r="J407" s="3">
        <v>2682.04</v>
      </c>
      <c r="K407" s="4">
        <v>2156676.0225</v>
      </c>
      <c r="L407" s="4">
        <v>0.21704970029870191</v>
      </c>
      <c r="M407" s="3">
        <v>3</v>
      </c>
      <c r="N407" t="s">
        <v>1011</v>
      </c>
      <c r="O407" t="s">
        <v>757</v>
      </c>
      <c r="P407" t="s">
        <v>873</v>
      </c>
    </row>
    <row r="408" spans="1:16" x14ac:dyDescent="0.4">
      <c r="A408" s="2">
        <v>45888</v>
      </c>
      <c r="B408" t="s">
        <v>39</v>
      </c>
      <c r="C408" t="s">
        <v>649</v>
      </c>
      <c r="D408" s="3" t="str">
        <f t="shared" si="12"/>
        <v>PASS</v>
      </c>
      <c r="E408" s="3" t="str">
        <f t="shared" si="13"/>
        <v>PASS</v>
      </c>
      <c r="F408" t="s">
        <v>649</v>
      </c>
      <c r="G408" t="s">
        <v>649</v>
      </c>
      <c r="H408" s="3">
        <v>78247529.840000004</v>
      </c>
      <c r="I408" s="3">
        <v>70867098.170000002</v>
      </c>
      <c r="J408" s="3">
        <v>5133.4399999999996</v>
      </c>
      <c r="K408" s="4">
        <v>3912376.492000001</v>
      </c>
      <c r="L408" s="4">
        <v>0.21320068986617979</v>
      </c>
      <c r="M408" s="3">
        <v>3</v>
      </c>
      <c r="N408" t="s">
        <v>1012</v>
      </c>
      <c r="O408" t="s">
        <v>901</v>
      </c>
      <c r="P408" t="s">
        <v>863</v>
      </c>
    </row>
    <row r="409" spans="1:16" x14ac:dyDescent="0.4">
      <c r="A409" s="2">
        <v>45889</v>
      </c>
      <c r="B409" t="s">
        <v>27</v>
      </c>
      <c r="C409" t="s">
        <v>649</v>
      </c>
      <c r="D409" s="3" t="str">
        <f t="shared" si="12"/>
        <v>PASS</v>
      </c>
      <c r="E409" s="3" t="str">
        <f t="shared" si="13"/>
        <v>PASS</v>
      </c>
      <c r="F409" t="s">
        <v>649</v>
      </c>
      <c r="G409" t="s">
        <v>649</v>
      </c>
      <c r="H409" s="3">
        <v>54618565.159999996</v>
      </c>
      <c r="I409" s="3">
        <v>49789820.270000011</v>
      </c>
      <c r="J409" s="3">
        <v>3635.94</v>
      </c>
      <c r="K409" s="4">
        <v>2730928.2579999999</v>
      </c>
      <c r="L409" s="4">
        <v>0</v>
      </c>
      <c r="M409" s="3">
        <v>0</v>
      </c>
      <c r="N409" t="s">
        <v>29</v>
      </c>
      <c r="O409" t="s">
        <v>1013</v>
      </c>
      <c r="P409" t="s">
        <v>690</v>
      </c>
    </row>
    <row r="410" spans="1:16" x14ac:dyDescent="0.4">
      <c r="A410" s="2">
        <v>45889</v>
      </c>
      <c r="B410" t="s">
        <v>30</v>
      </c>
      <c r="C410" t="s">
        <v>649</v>
      </c>
      <c r="D410" s="3" t="str">
        <f t="shared" si="12"/>
        <v>PASS</v>
      </c>
      <c r="E410" s="3" t="str">
        <f t="shared" si="13"/>
        <v>PASS</v>
      </c>
      <c r="F410" t="s">
        <v>649</v>
      </c>
      <c r="G410" t="s">
        <v>649</v>
      </c>
      <c r="H410" s="3">
        <v>34440299.079999998</v>
      </c>
      <c r="I410" s="3">
        <v>32633621.52</v>
      </c>
      <c r="J410" s="3">
        <v>2343</v>
      </c>
      <c r="K410" s="4">
        <v>1722014.9539999999</v>
      </c>
      <c r="L410" s="4">
        <v>0.21257594508947969</v>
      </c>
      <c r="M410" s="3">
        <v>3</v>
      </c>
      <c r="N410" t="s">
        <v>1014</v>
      </c>
      <c r="O410" t="s">
        <v>757</v>
      </c>
      <c r="P410" t="s">
        <v>861</v>
      </c>
    </row>
    <row r="411" spans="1:16" x14ac:dyDescent="0.4">
      <c r="A411" s="2">
        <v>45889</v>
      </c>
      <c r="B411" t="s">
        <v>31</v>
      </c>
      <c r="C411" t="s">
        <v>649</v>
      </c>
      <c r="D411" s="3" t="str">
        <f t="shared" si="12"/>
        <v>PASS</v>
      </c>
      <c r="E411" s="3" t="str">
        <f t="shared" si="13"/>
        <v>PASS</v>
      </c>
      <c r="F411" t="s">
        <v>649</v>
      </c>
      <c r="G411" t="s">
        <v>649</v>
      </c>
      <c r="H411" s="3">
        <v>23355135.109999999</v>
      </c>
      <c r="I411" s="3">
        <v>21520833.920000002</v>
      </c>
      <c r="J411" s="3">
        <v>1556.43</v>
      </c>
      <c r="K411" s="4">
        <v>1167756.7555</v>
      </c>
      <c r="L411" s="4">
        <v>0.21105028083155891</v>
      </c>
      <c r="M411" s="3">
        <v>3</v>
      </c>
      <c r="N411" t="s">
        <v>1015</v>
      </c>
      <c r="O411" t="s">
        <v>869</v>
      </c>
      <c r="P411" t="s">
        <v>1016</v>
      </c>
    </row>
    <row r="412" spans="1:16" x14ac:dyDescent="0.4">
      <c r="A412" s="2">
        <v>45889</v>
      </c>
      <c r="B412" t="s">
        <v>32</v>
      </c>
      <c r="C412" t="s">
        <v>649</v>
      </c>
      <c r="D412" s="3" t="str">
        <f t="shared" si="12"/>
        <v>PASS</v>
      </c>
      <c r="E412" s="3" t="str">
        <f t="shared" si="13"/>
        <v>PASS</v>
      </c>
      <c r="F412" t="s">
        <v>649</v>
      </c>
      <c r="G412" t="s">
        <v>649</v>
      </c>
      <c r="H412" s="3">
        <v>24577663.379999999</v>
      </c>
      <c r="I412" s="3">
        <v>20574457.800000001</v>
      </c>
      <c r="J412" s="3">
        <v>1496.37</v>
      </c>
      <c r="K412" s="4">
        <v>1228883.169</v>
      </c>
      <c r="L412" s="4">
        <v>0.20982018953130269</v>
      </c>
      <c r="M412" s="3">
        <v>3</v>
      </c>
      <c r="N412" t="s">
        <v>1017</v>
      </c>
      <c r="O412" t="s">
        <v>863</v>
      </c>
      <c r="P412" t="s">
        <v>1018</v>
      </c>
    </row>
    <row r="413" spans="1:16" x14ac:dyDescent="0.4">
      <c r="A413" s="2">
        <v>45889</v>
      </c>
      <c r="B413" t="s">
        <v>33</v>
      </c>
      <c r="C413" t="s">
        <v>649</v>
      </c>
      <c r="D413" s="3" t="str">
        <f t="shared" si="12"/>
        <v>PASS</v>
      </c>
      <c r="E413" s="3" t="str">
        <f t="shared" si="13"/>
        <v>PASS</v>
      </c>
      <c r="F413" t="s">
        <v>649</v>
      </c>
      <c r="G413" t="s">
        <v>649</v>
      </c>
      <c r="H413" s="3">
        <v>15261733.18</v>
      </c>
      <c r="I413" s="3">
        <v>13638962.57</v>
      </c>
      <c r="J413" s="3">
        <v>988.44</v>
      </c>
      <c r="K413" s="4">
        <v>763086.65899999999</v>
      </c>
      <c r="L413" s="4">
        <v>0.21069113830790939</v>
      </c>
      <c r="M413" s="3">
        <v>3</v>
      </c>
      <c r="N413" t="s">
        <v>1019</v>
      </c>
      <c r="O413" t="s">
        <v>869</v>
      </c>
      <c r="P413" t="s">
        <v>1018</v>
      </c>
    </row>
    <row r="414" spans="1:16" x14ac:dyDescent="0.4">
      <c r="A414" s="2">
        <v>45889</v>
      </c>
      <c r="B414" t="s">
        <v>34</v>
      </c>
      <c r="C414" t="s">
        <v>649</v>
      </c>
      <c r="D414" s="3" t="str">
        <f t="shared" si="12"/>
        <v>PASS</v>
      </c>
      <c r="E414" s="3" t="str">
        <f t="shared" si="13"/>
        <v>PASS</v>
      </c>
      <c r="F414" t="s">
        <v>649</v>
      </c>
      <c r="G414" t="s">
        <v>649</v>
      </c>
      <c r="H414" s="3">
        <v>166565442.62</v>
      </c>
      <c r="I414" s="3">
        <v>142314938.96000001</v>
      </c>
      <c r="J414" s="3">
        <v>10334.85</v>
      </c>
      <c r="K414" s="4">
        <v>8328272.131000001</v>
      </c>
      <c r="L414" s="4">
        <v>0.21009882218580389</v>
      </c>
      <c r="M414" s="3">
        <v>3</v>
      </c>
      <c r="N414" t="s">
        <v>1020</v>
      </c>
      <c r="O414" t="s">
        <v>863</v>
      </c>
      <c r="P414" t="s">
        <v>1018</v>
      </c>
    </row>
    <row r="415" spans="1:16" x14ac:dyDescent="0.4">
      <c r="A415" s="2">
        <v>45889</v>
      </c>
      <c r="B415" t="s">
        <v>35</v>
      </c>
      <c r="C415" t="s">
        <v>649</v>
      </c>
      <c r="D415" s="3" t="str">
        <f t="shared" si="12"/>
        <v>PASS</v>
      </c>
      <c r="E415" s="3" t="str">
        <f t="shared" si="13"/>
        <v>PASS</v>
      </c>
      <c r="F415" t="s">
        <v>649</v>
      </c>
      <c r="G415" t="s">
        <v>649</v>
      </c>
      <c r="H415" s="3">
        <v>135066113.87</v>
      </c>
      <c r="I415" s="3">
        <v>123156842.94</v>
      </c>
      <c r="J415" s="3">
        <v>8692.81</v>
      </c>
      <c r="K415" s="4">
        <v>6753305.693500001</v>
      </c>
      <c r="L415" s="4">
        <v>0.21621921692574289</v>
      </c>
      <c r="M415" s="3">
        <v>3</v>
      </c>
      <c r="N415" t="s">
        <v>1021</v>
      </c>
      <c r="O415" t="s">
        <v>740</v>
      </c>
      <c r="P415" t="s">
        <v>705</v>
      </c>
    </row>
    <row r="416" spans="1:16" x14ac:dyDescent="0.4">
      <c r="A416" s="2">
        <v>45889</v>
      </c>
      <c r="B416" t="s">
        <v>36</v>
      </c>
      <c r="C416" t="s">
        <v>649</v>
      </c>
      <c r="D416" s="3" t="str">
        <f t="shared" si="12"/>
        <v>PASS</v>
      </c>
      <c r="E416" s="3" t="str">
        <f t="shared" si="13"/>
        <v>PASS</v>
      </c>
      <c r="F416" t="s">
        <v>649</v>
      </c>
      <c r="G416" t="s">
        <v>649</v>
      </c>
      <c r="H416" s="3">
        <v>101053018</v>
      </c>
      <c r="I416" s="3">
        <v>91800393.039999992</v>
      </c>
      <c r="J416" s="3">
        <v>6689.01</v>
      </c>
      <c r="K416" s="4">
        <v>5052650.9000000004</v>
      </c>
      <c r="L416" s="4">
        <v>0.20938284480419631</v>
      </c>
      <c r="M416" s="3">
        <v>3</v>
      </c>
      <c r="N416" t="s">
        <v>1022</v>
      </c>
      <c r="O416" t="s">
        <v>863</v>
      </c>
      <c r="P416" t="s">
        <v>1018</v>
      </c>
    </row>
    <row r="417" spans="1:16" x14ac:dyDescent="0.4">
      <c r="A417" s="2">
        <v>45889</v>
      </c>
      <c r="B417" t="s">
        <v>37</v>
      </c>
      <c r="C417" t="s">
        <v>649</v>
      </c>
      <c r="D417" s="3" t="str">
        <f t="shared" si="12"/>
        <v>PASS</v>
      </c>
      <c r="E417" s="3" t="str">
        <f t="shared" si="13"/>
        <v>PASS</v>
      </c>
      <c r="F417" t="s">
        <v>649</v>
      </c>
      <c r="G417" t="s">
        <v>649</v>
      </c>
      <c r="H417" s="3">
        <v>40098586.670000002</v>
      </c>
      <c r="I417" s="3">
        <v>34704319.220000014</v>
      </c>
      <c r="J417" s="3">
        <v>2532.2399999999998</v>
      </c>
      <c r="K417" s="4">
        <v>2004929.3334999999</v>
      </c>
      <c r="L417" s="4">
        <v>0.20918741286251011</v>
      </c>
      <c r="M417" s="3">
        <v>3</v>
      </c>
      <c r="N417" t="s">
        <v>1023</v>
      </c>
      <c r="O417" t="s">
        <v>866</v>
      </c>
      <c r="P417" t="s">
        <v>1024</v>
      </c>
    </row>
    <row r="418" spans="1:16" x14ac:dyDescent="0.4">
      <c r="A418" s="2">
        <v>45889</v>
      </c>
      <c r="B418" t="s">
        <v>38</v>
      </c>
      <c r="C418" t="s">
        <v>649</v>
      </c>
      <c r="D418" s="3" t="str">
        <f t="shared" si="12"/>
        <v>PASS</v>
      </c>
      <c r="E418" s="3" t="str">
        <f t="shared" si="13"/>
        <v>PASS</v>
      </c>
      <c r="F418" t="s">
        <v>649</v>
      </c>
      <c r="G418" t="s">
        <v>649</v>
      </c>
      <c r="H418" s="3">
        <v>43100524.549999997</v>
      </c>
      <c r="I418" s="3">
        <v>37732707.560000002</v>
      </c>
      <c r="J418" s="3">
        <v>2667.92</v>
      </c>
      <c r="K418" s="4">
        <v>2155026.2275</v>
      </c>
      <c r="L418" s="4">
        <v>0.2159162394242545</v>
      </c>
      <c r="M418" s="3">
        <v>3</v>
      </c>
      <c r="N418" t="s">
        <v>1025</v>
      </c>
      <c r="O418" t="s">
        <v>740</v>
      </c>
      <c r="P418" t="s">
        <v>705</v>
      </c>
    </row>
    <row r="419" spans="1:16" x14ac:dyDescent="0.4">
      <c r="A419" s="2">
        <v>45889</v>
      </c>
      <c r="B419" t="s">
        <v>39</v>
      </c>
      <c r="C419" t="s">
        <v>649</v>
      </c>
      <c r="D419" s="3" t="str">
        <f t="shared" si="12"/>
        <v>PASS</v>
      </c>
      <c r="E419" s="3" t="str">
        <f t="shared" si="13"/>
        <v>PASS</v>
      </c>
      <c r="F419" t="s">
        <v>649</v>
      </c>
      <c r="G419" t="s">
        <v>649</v>
      </c>
      <c r="H419" s="3">
        <v>78198631.969999999</v>
      </c>
      <c r="I419" s="3">
        <v>70937655.640000015</v>
      </c>
      <c r="J419" s="3">
        <v>5106.18</v>
      </c>
      <c r="K419" s="4">
        <v>3909931.5984999998</v>
      </c>
      <c r="L419" s="4">
        <v>0.2120092939232624</v>
      </c>
      <c r="M419" s="3">
        <v>3</v>
      </c>
      <c r="N419" t="s">
        <v>1026</v>
      </c>
      <c r="O419" t="s">
        <v>861</v>
      </c>
      <c r="P419" t="s">
        <v>1016</v>
      </c>
    </row>
    <row r="420" spans="1:16" x14ac:dyDescent="0.4">
      <c r="A420" s="2">
        <v>45890</v>
      </c>
      <c r="B420" t="s">
        <v>27</v>
      </c>
      <c r="C420" t="s">
        <v>649</v>
      </c>
      <c r="D420" s="3" t="str">
        <f t="shared" si="12"/>
        <v>PASS</v>
      </c>
      <c r="E420" s="3" t="str">
        <f t="shared" si="13"/>
        <v>PASS</v>
      </c>
      <c r="F420" t="s">
        <v>649</v>
      </c>
      <c r="G420" t="s">
        <v>649</v>
      </c>
      <c r="H420" s="3">
        <v>54567359.810000002</v>
      </c>
      <c r="I420" s="3">
        <v>49649329.859999999</v>
      </c>
      <c r="J420" s="3">
        <v>3637.65</v>
      </c>
      <c r="K420" s="4">
        <v>2728367.9904999998</v>
      </c>
      <c r="L420" s="4">
        <v>0</v>
      </c>
      <c r="M420" s="3">
        <v>0</v>
      </c>
      <c r="N420" t="s">
        <v>29</v>
      </c>
      <c r="O420" t="s">
        <v>1027</v>
      </c>
      <c r="P420" t="s">
        <v>1028</v>
      </c>
    </row>
    <row r="421" spans="1:16" x14ac:dyDescent="0.4">
      <c r="A421" s="2">
        <v>45890</v>
      </c>
      <c r="B421" t="s">
        <v>30</v>
      </c>
      <c r="C421" t="s">
        <v>649</v>
      </c>
      <c r="D421" s="3" t="str">
        <f t="shared" si="12"/>
        <v>PASS</v>
      </c>
      <c r="E421" s="3" t="str">
        <f t="shared" si="13"/>
        <v>PASS</v>
      </c>
      <c r="F421" t="s">
        <v>649</v>
      </c>
      <c r="G421" t="s">
        <v>649</v>
      </c>
      <c r="H421" s="3">
        <v>34374720.350000001</v>
      </c>
      <c r="I421" s="3">
        <v>32522388.059999999</v>
      </c>
      <c r="J421" s="3">
        <v>2340.6799999999998</v>
      </c>
      <c r="K421" s="4">
        <v>1718736.0175000001</v>
      </c>
      <c r="L421" s="4">
        <v>0.2123179437666988</v>
      </c>
      <c r="M421" s="3">
        <v>3</v>
      </c>
      <c r="N421" t="s">
        <v>1029</v>
      </c>
      <c r="O421" t="s">
        <v>762</v>
      </c>
      <c r="P421" t="s">
        <v>861</v>
      </c>
    </row>
    <row r="422" spans="1:16" x14ac:dyDescent="0.4">
      <c r="A422" s="2">
        <v>45890</v>
      </c>
      <c r="B422" t="s">
        <v>31</v>
      </c>
      <c r="C422" t="s">
        <v>649</v>
      </c>
      <c r="D422" s="3" t="str">
        <f t="shared" si="12"/>
        <v>PASS</v>
      </c>
      <c r="E422" s="3" t="str">
        <f t="shared" si="13"/>
        <v>PASS</v>
      </c>
      <c r="F422" t="s">
        <v>649</v>
      </c>
      <c r="G422" t="s">
        <v>649</v>
      </c>
      <c r="H422" s="3">
        <v>23320271.82</v>
      </c>
      <c r="I422" s="3">
        <v>21447472.890000001</v>
      </c>
      <c r="J422" s="3">
        <v>1555.44</v>
      </c>
      <c r="K422" s="4">
        <v>1166013.591</v>
      </c>
      <c r="L422" s="4">
        <v>0.2107083830614471</v>
      </c>
      <c r="M422" s="3">
        <v>3</v>
      </c>
      <c r="N422" t="s">
        <v>1030</v>
      </c>
      <c r="O422" t="s">
        <v>869</v>
      </c>
      <c r="P422" t="s">
        <v>1018</v>
      </c>
    </row>
    <row r="423" spans="1:16" x14ac:dyDescent="0.4">
      <c r="A423" s="2">
        <v>45890</v>
      </c>
      <c r="B423" t="s">
        <v>32</v>
      </c>
      <c r="C423" t="s">
        <v>649</v>
      </c>
      <c r="D423" s="3" t="str">
        <f t="shared" si="12"/>
        <v>PASS</v>
      </c>
      <c r="E423" s="3" t="str">
        <f t="shared" si="13"/>
        <v>PASS</v>
      </c>
      <c r="F423" t="s">
        <v>649</v>
      </c>
      <c r="G423" t="s">
        <v>649</v>
      </c>
      <c r="H423" s="3">
        <v>24537976.16</v>
      </c>
      <c r="I423" s="3">
        <v>20504336.18</v>
      </c>
      <c r="J423" s="3">
        <v>1495.71</v>
      </c>
      <c r="K423" s="4">
        <v>1226898.808</v>
      </c>
      <c r="L423" s="4">
        <v>0.20954307586791471</v>
      </c>
      <c r="M423" s="3">
        <v>3</v>
      </c>
      <c r="N423" t="s">
        <v>1031</v>
      </c>
      <c r="O423" t="s">
        <v>863</v>
      </c>
      <c r="P423" t="s">
        <v>1018</v>
      </c>
    </row>
    <row r="424" spans="1:16" x14ac:dyDescent="0.4">
      <c r="A424" s="2">
        <v>45890</v>
      </c>
      <c r="B424" t="s">
        <v>33</v>
      </c>
      <c r="C424" t="s">
        <v>649</v>
      </c>
      <c r="D424" s="3" t="str">
        <f t="shared" si="12"/>
        <v>PASS</v>
      </c>
      <c r="E424" s="3" t="str">
        <f t="shared" si="13"/>
        <v>PASS</v>
      </c>
      <c r="F424" t="s">
        <v>649</v>
      </c>
      <c r="G424" t="s">
        <v>649</v>
      </c>
      <c r="H424" s="3">
        <v>15234919.630000001</v>
      </c>
      <c r="I424" s="3">
        <v>13592472.949999999</v>
      </c>
      <c r="J424" s="3">
        <v>987.71</v>
      </c>
      <c r="K424" s="4">
        <v>761745.98150000011</v>
      </c>
      <c r="L424" s="4">
        <v>0.21042240628428441</v>
      </c>
      <c r="M424" s="3">
        <v>3</v>
      </c>
      <c r="N424" t="s">
        <v>1032</v>
      </c>
      <c r="O424" t="s">
        <v>869</v>
      </c>
      <c r="P424" t="s">
        <v>1018</v>
      </c>
    </row>
    <row r="425" spans="1:16" x14ac:dyDescent="0.4">
      <c r="A425" s="2">
        <v>45890</v>
      </c>
      <c r="B425" t="s">
        <v>34</v>
      </c>
      <c r="C425" t="s">
        <v>649</v>
      </c>
      <c r="D425" s="3" t="str">
        <f t="shared" si="12"/>
        <v>PASS</v>
      </c>
      <c r="E425" s="3" t="str">
        <f t="shared" si="13"/>
        <v>PASS</v>
      </c>
      <c r="F425" t="s">
        <v>649</v>
      </c>
      <c r="G425" t="s">
        <v>649</v>
      </c>
      <c r="H425" s="3">
        <v>166335364.99000001</v>
      </c>
      <c r="I425" s="3">
        <v>141829673.69999999</v>
      </c>
      <c r="J425" s="3">
        <v>10329.620000000001</v>
      </c>
      <c r="K425" s="4">
        <v>8316768.2495000008</v>
      </c>
      <c r="L425" s="4">
        <v>0.2097562003377931</v>
      </c>
      <c r="M425" s="3">
        <v>3</v>
      </c>
      <c r="N425" t="s">
        <v>1033</v>
      </c>
      <c r="O425" t="s">
        <v>863</v>
      </c>
      <c r="P425" t="s">
        <v>1018</v>
      </c>
    </row>
    <row r="426" spans="1:16" x14ac:dyDescent="0.4">
      <c r="A426" s="2">
        <v>45890</v>
      </c>
      <c r="B426" t="s">
        <v>35</v>
      </c>
      <c r="C426" t="s">
        <v>649</v>
      </c>
      <c r="D426" s="3" t="str">
        <f t="shared" si="12"/>
        <v>PASS</v>
      </c>
      <c r="E426" s="3" t="str">
        <f t="shared" si="13"/>
        <v>PASS</v>
      </c>
      <c r="F426" t="s">
        <v>649</v>
      </c>
      <c r="G426" t="s">
        <v>649</v>
      </c>
      <c r="H426" s="3">
        <v>134819980.75</v>
      </c>
      <c r="I426" s="3">
        <v>122736874.98</v>
      </c>
      <c r="J426" s="3">
        <v>8686.11</v>
      </c>
      <c r="K426" s="4">
        <v>6740999.0375000006</v>
      </c>
      <c r="L426" s="4">
        <v>0.2159618466930526</v>
      </c>
      <c r="M426" s="3">
        <v>3</v>
      </c>
      <c r="N426" t="s">
        <v>1034</v>
      </c>
      <c r="O426" t="s">
        <v>786</v>
      </c>
      <c r="P426" t="s">
        <v>705</v>
      </c>
    </row>
    <row r="427" spans="1:16" x14ac:dyDescent="0.4">
      <c r="A427" s="2">
        <v>45890</v>
      </c>
      <c r="B427" t="s">
        <v>36</v>
      </c>
      <c r="C427" t="s">
        <v>649</v>
      </c>
      <c r="D427" s="3" t="str">
        <f t="shared" si="12"/>
        <v>PASS</v>
      </c>
      <c r="E427" s="3" t="str">
        <f t="shared" si="13"/>
        <v>PASS</v>
      </c>
      <c r="F427" t="s">
        <v>649</v>
      </c>
      <c r="G427" t="s">
        <v>649</v>
      </c>
      <c r="H427" s="3">
        <v>100914387.16</v>
      </c>
      <c r="I427" s="3">
        <v>91487350.079999998</v>
      </c>
      <c r="J427" s="3">
        <v>6686.1</v>
      </c>
      <c r="K427" s="4">
        <v>5045719.358</v>
      </c>
      <c r="L427" s="4">
        <v>0.2090180059947177</v>
      </c>
      <c r="M427" s="3">
        <v>3</v>
      </c>
      <c r="N427" t="s">
        <v>1035</v>
      </c>
      <c r="O427" t="s">
        <v>863</v>
      </c>
      <c r="P427" t="s">
        <v>1024</v>
      </c>
    </row>
    <row r="428" spans="1:16" x14ac:dyDescent="0.4">
      <c r="A428" s="2">
        <v>45890</v>
      </c>
      <c r="B428" t="s">
        <v>37</v>
      </c>
      <c r="C428" t="s">
        <v>649</v>
      </c>
      <c r="D428" s="3" t="str">
        <f t="shared" si="12"/>
        <v>PASS</v>
      </c>
      <c r="E428" s="3" t="str">
        <f t="shared" si="13"/>
        <v>PASS</v>
      </c>
      <c r="F428" t="s">
        <v>649</v>
      </c>
      <c r="G428" t="s">
        <v>649</v>
      </c>
      <c r="H428" s="3">
        <v>40037196.399999999</v>
      </c>
      <c r="I428" s="3">
        <v>34585983.770000003</v>
      </c>
      <c r="J428" s="3">
        <v>2530.54</v>
      </c>
      <c r="K428" s="4">
        <v>2001859.82</v>
      </c>
      <c r="L428" s="4">
        <v>0.2088765266775893</v>
      </c>
      <c r="M428" s="3">
        <v>3</v>
      </c>
      <c r="N428" t="s">
        <v>1036</v>
      </c>
      <c r="O428" t="s">
        <v>863</v>
      </c>
      <c r="P428" t="s">
        <v>1024</v>
      </c>
    </row>
    <row r="429" spans="1:16" x14ac:dyDescent="0.4">
      <c r="A429" s="2">
        <v>45890</v>
      </c>
      <c r="B429" t="s">
        <v>38</v>
      </c>
      <c r="C429" t="s">
        <v>649</v>
      </c>
      <c r="D429" s="3" t="str">
        <f t="shared" si="12"/>
        <v>PASS</v>
      </c>
      <c r="E429" s="3" t="str">
        <f t="shared" si="13"/>
        <v>PASS</v>
      </c>
      <c r="F429" t="s">
        <v>649</v>
      </c>
      <c r="G429" t="s">
        <v>649</v>
      </c>
      <c r="H429" s="3">
        <v>43021107.899999999</v>
      </c>
      <c r="I429" s="3">
        <v>37604049.020000003</v>
      </c>
      <c r="J429" s="3">
        <v>2665.33</v>
      </c>
      <c r="K429" s="4">
        <v>2151055.395</v>
      </c>
      <c r="L429" s="4">
        <v>0.21568220244071351</v>
      </c>
      <c r="M429" s="3">
        <v>3</v>
      </c>
      <c r="N429" t="s">
        <v>1037</v>
      </c>
      <c r="O429" t="s">
        <v>786</v>
      </c>
      <c r="P429" t="s">
        <v>705</v>
      </c>
    </row>
    <row r="430" spans="1:16" x14ac:dyDescent="0.4">
      <c r="A430" s="2">
        <v>45890</v>
      </c>
      <c r="B430" t="s">
        <v>39</v>
      </c>
      <c r="C430" t="s">
        <v>649</v>
      </c>
      <c r="D430" s="3" t="str">
        <f t="shared" si="12"/>
        <v>PASS</v>
      </c>
      <c r="E430" s="3" t="str">
        <f t="shared" si="13"/>
        <v>PASS</v>
      </c>
      <c r="F430" t="s">
        <v>649</v>
      </c>
      <c r="G430" t="s">
        <v>649</v>
      </c>
      <c r="H430" s="3">
        <v>78049299.040000007</v>
      </c>
      <c r="I430" s="3">
        <v>70695747.089999989</v>
      </c>
      <c r="J430" s="3">
        <v>5102.26</v>
      </c>
      <c r="K430" s="4">
        <v>3902464.952000001</v>
      </c>
      <c r="L430" s="4">
        <v>0.21177126145842201</v>
      </c>
      <c r="M430" s="3">
        <v>3</v>
      </c>
      <c r="N430" t="s">
        <v>1038</v>
      </c>
      <c r="O430" t="s">
        <v>861</v>
      </c>
      <c r="P430" t="s">
        <v>1016</v>
      </c>
    </row>
    <row r="431" spans="1:16" x14ac:dyDescent="0.4">
      <c r="A431" s="2">
        <v>45891</v>
      </c>
      <c r="B431" t="s">
        <v>27</v>
      </c>
      <c r="C431" t="s">
        <v>649</v>
      </c>
      <c r="D431" s="3" t="str">
        <f t="shared" si="12"/>
        <v>PASS</v>
      </c>
      <c r="E431" s="3" t="str">
        <f t="shared" si="13"/>
        <v>PASS</v>
      </c>
      <c r="F431" t="s">
        <v>649</v>
      </c>
      <c r="G431" t="s">
        <v>649</v>
      </c>
      <c r="H431" s="3">
        <v>55230371.060000002</v>
      </c>
      <c r="I431" s="3">
        <v>50640797.969999999</v>
      </c>
      <c r="J431" s="3">
        <v>10901.01</v>
      </c>
      <c r="K431" s="4">
        <v>2761518.5529999998</v>
      </c>
      <c r="L431" s="4">
        <v>0</v>
      </c>
      <c r="M431" s="3">
        <v>0</v>
      </c>
      <c r="N431" t="s">
        <v>29</v>
      </c>
      <c r="O431" t="s">
        <v>1001</v>
      </c>
      <c r="P431" t="s">
        <v>1039</v>
      </c>
    </row>
    <row r="432" spans="1:16" x14ac:dyDescent="0.4">
      <c r="A432" s="2">
        <v>45891</v>
      </c>
      <c r="B432" t="s">
        <v>30</v>
      </c>
      <c r="C432" t="s">
        <v>649</v>
      </c>
      <c r="D432" s="3" t="str">
        <f t="shared" si="12"/>
        <v>PASS</v>
      </c>
      <c r="E432" s="3" t="str">
        <f t="shared" si="13"/>
        <v>PASS</v>
      </c>
      <c r="F432" t="s">
        <v>649</v>
      </c>
      <c r="G432" t="s">
        <v>649</v>
      </c>
      <c r="H432" s="3">
        <v>34684836.049999997</v>
      </c>
      <c r="I432" s="3">
        <v>32931045.170000002</v>
      </c>
      <c r="J432" s="3">
        <v>7007.25</v>
      </c>
      <c r="K432" s="4">
        <v>1734241.8025</v>
      </c>
      <c r="L432" s="4">
        <v>0.21289503554009509</v>
      </c>
      <c r="M432" s="3">
        <v>3</v>
      </c>
      <c r="N432" t="s">
        <v>1040</v>
      </c>
      <c r="O432" t="s">
        <v>740</v>
      </c>
      <c r="P432" t="s">
        <v>710</v>
      </c>
    </row>
    <row r="433" spans="1:16" x14ac:dyDescent="0.4">
      <c r="A433" s="2">
        <v>45891</v>
      </c>
      <c r="B433" t="s">
        <v>31</v>
      </c>
      <c r="C433" t="s">
        <v>649</v>
      </c>
      <c r="D433" s="3" t="str">
        <f t="shared" si="12"/>
        <v>PASS</v>
      </c>
      <c r="E433" s="3" t="str">
        <f t="shared" si="13"/>
        <v>PASS</v>
      </c>
      <c r="F433" t="s">
        <v>649</v>
      </c>
      <c r="G433" t="s">
        <v>649</v>
      </c>
      <c r="H433" s="3">
        <v>23493131.120000001</v>
      </c>
      <c r="I433" s="3">
        <v>21706980.399999999</v>
      </c>
      <c r="J433" s="3">
        <v>4658.37</v>
      </c>
      <c r="K433" s="4">
        <v>1174656.5560000001</v>
      </c>
      <c r="L433" s="4">
        <v>0.21160573901789259</v>
      </c>
      <c r="M433" s="3">
        <v>3</v>
      </c>
      <c r="N433" t="s">
        <v>1041</v>
      </c>
      <c r="O433" t="s">
        <v>762</v>
      </c>
      <c r="P433" t="s">
        <v>873</v>
      </c>
    </row>
    <row r="434" spans="1:16" x14ac:dyDescent="0.4">
      <c r="A434" s="2">
        <v>45891</v>
      </c>
      <c r="B434" t="s">
        <v>32</v>
      </c>
      <c r="C434" t="s">
        <v>649</v>
      </c>
      <c r="D434" s="3" t="str">
        <f t="shared" si="12"/>
        <v>PASS</v>
      </c>
      <c r="E434" s="3" t="str">
        <f t="shared" si="13"/>
        <v>PASS</v>
      </c>
      <c r="F434" t="s">
        <v>649</v>
      </c>
      <c r="G434" t="s">
        <v>649</v>
      </c>
      <c r="H434" s="3">
        <v>24706494.620000001</v>
      </c>
      <c r="I434" s="3">
        <v>20751140.600000001</v>
      </c>
      <c r="J434" s="3">
        <v>4478.16</v>
      </c>
      <c r="K434" s="4">
        <v>1235324.7309999999</v>
      </c>
      <c r="L434" s="4">
        <v>0.2104115321587848</v>
      </c>
      <c r="M434" s="3">
        <v>3</v>
      </c>
      <c r="N434" t="s">
        <v>1042</v>
      </c>
      <c r="O434" t="s">
        <v>861</v>
      </c>
      <c r="P434" t="s">
        <v>1043</v>
      </c>
    </row>
    <row r="435" spans="1:16" x14ac:dyDescent="0.4">
      <c r="A435" s="2">
        <v>45891</v>
      </c>
      <c r="B435" t="s">
        <v>33</v>
      </c>
      <c r="C435" t="s">
        <v>649</v>
      </c>
      <c r="D435" s="3" t="str">
        <f t="shared" si="12"/>
        <v>PASS</v>
      </c>
      <c r="E435" s="3" t="str">
        <f t="shared" si="13"/>
        <v>PASS</v>
      </c>
      <c r="F435" t="s">
        <v>649</v>
      </c>
      <c r="G435" t="s">
        <v>649</v>
      </c>
      <c r="H435" s="3">
        <v>15348443.07</v>
      </c>
      <c r="I435" s="3">
        <v>13775587.880000001</v>
      </c>
      <c r="J435" s="3">
        <v>2957.07</v>
      </c>
      <c r="K435" s="4">
        <v>767422.15350000001</v>
      </c>
      <c r="L435" s="4">
        <v>0.21126266751831149</v>
      </c>
      <c r="M435" s="3">
        <v>3</v>
      </c>
      <c r="N435" t="s">
        <v>1044</v>
      </c>
      <c r="O435" t="s">
        <v>762</v>
      </c>
      <c r="P435" t="s">
        <v>861</v>
      </c>
    </row>
    <row r="436" spans="1:16" x14ac:dyDescent="0.4">
      <c r="A436" s="2">
        <v>45891</v>
      </c>
      <c r="B436" t="s">
        <v>34</v>
      </c>
      <c r="C436" t="s">
        <v>649</v>
      </c>
      <c r="D436" s="3" t="str">
        <f t="shared" si="12"/>
        <v>PASS</v>
      </c>
      <c r="E436" s="3" t="str">
        <f t="shared" si="13"/>
        <v>PASS</v>
      </c>
      <c r="F436" t="s">
        <v>649</v>
      </c>
      <c r="G436" t="s">
        <v>649</v>
      </c>
      <c r="H436" s="3">
        <v>167373373.53</v>
      </c>
      <c r="I436" s="3">
        <v>143593314.47999999</v>
      </c>
      <c r="J436" s="3">
        <v>30936.48</v>
      </c>
      <c r="K436" s="4">
        <v>8368668.6765000001</v>
      </c>
      <c r="L436" s="4">
        <v>0.21081286348852801</v>
      </c>
      <c r="M436" s="3">
        <v>3</v>
      </c>
      <c r="N436" t="s">
        <v>1045</v>
      </c>
      <c r="O436" t="s">
        <v>861</v>
      </c>
      <c r="P436" t="s">
        <v>1046</v>
      </c>
    </row>
    <row r="437" spans="1:16" x14ac:dyDescent="0.4">
      <c r="A437" s="2">
        <v>45891</v>
      </c>
      <c r="B437" t="s">
        <v>35</v>
      </c>
      <c r="C437" t="s">
        <v>649</v>
      </c>
      <c r="D437" s="3" t="str">
        <f t="shared" si="12"/>
        <v>PASS</v>
      </c>
      <c r="E437" s="3" t="str">
        <f t="shared" si="13"/>
        <v>PASS</v>
      </c>
      <c r="F437" t="s">
        <v>649</v>
      </c>
      <c r="G437" t="s">
        <v>649</v>
      </c>
      <c r="H437" s="3">
        <v>135943273.15000001</v>
      </c>
      <c r="I437" s="3">
        <v>124272676.16</v>
      </c>
      <c r="J437" s="3">
        <v>26002.83</v>
      </c>
      <c r="K437" s="4">
        <v>6797163.6575000007</v>
      </c>
      <c r="L437" s="4">
        <v>0.21659798190951979</v>
      </c>
      <c r="M437" s="3">
        <v>3</v>
      </c>
      <c r="N437" t="s">
        <v>1047</v>
      </c>
      <c r="O437" t="s">
        <v>744</v>
      </c>
      <c r="P437" t="s">
        <v>697</v>
      </c>
    </row>
    <row r="438" spans="1:16" x14ac:dyDescent="0.4">
      <c r="A438" s="2">
        <v>45891</v>
      </c>
      <c r="B438" t="s">
        <v>36</v>
      </c>
      <c r="C438" t="s">
        <v>649</v>
      </c>
      <c r="D438" s="3" t="str">
        <f t="shared" si="12"/>
        <v>PASS</v>
      </c>
      <c r="E438" s="3" t="str">
        <f t="shared" si="13"/>
        <v>PASS</v>
      </c>
      <c r="F438" t="s">
        <v>649</v>
      </c>
      <c r="G438" t="s">
        <v>649</v>
      </c>
      <c r="H438" s="3">
        <v>101595006.53</v>
      </c>
      <c r="I438" s="3">
        <v>92631568.760000005</v>
      </c>
      <c r="J438" s="3">
        <v>20026.650000000001</v>
      </c>
      <c r="K438" s="4">
        <v>5079750.3265000004</v>
      </c>
      <c r="L438" s="4">
        <v>0.21005138712463611</v>
      </c>
      <c r="M438" s="3">
        <v>3</v>
      </c>
      <c r="N438" t="s">
        <v>1048</v>
      </c>
      <c r="O438" t="s">
        <v>861</v>
      </c>
      <c r="P438" t="s">
        <v>1043</v>
      </c>
    </row>
    <row r="439" spans="1:16" x14ac:dyDescent="0.4">
      <c r="A439" s="2">
        <v>45891</v>
      </c>
      <c r="B439" t="s">
        <v>37</v>
      </c>
      <c r="C439" t="s">
        <v>649</v>
      </c>
      <c r="D439" s="3" t="str">
        <f t="shared" si="12"/>
        <v>PASS</v>
      </c>
      <c r="E439" s="3" t="str">
        <f t="shared" si="13"/>
        <v>PASS</v>
      </c>
      <c r="F439" t="s">
        <v>649</v>
      </c>
      <c r="G439" t="s">
        <v>649</v>
      </c>
      <c r="H439" s="3">
        <v>40318852.640000001</v>
      </c>
      <c r="I439" s="3">
        <v>35022462.530000001</v>
      </c>
      <c r="J439" s="3">
        <v>7577.7</v>
      </c>
      <c r="K439" s="4">
        <v>2015942.632</v>
      </c>
      <c r="L439" s="4">
        <v>0.20976479157908551</v>
      </c>
      <c r="M439" s="3">
        <v>3</v>
      </c>
      <c r="N439" t="s">
        <v>1049</v>
      </c>
      <c r="O439" t="s">
        <v>869</v>
      </c>
      <c r="P439" t="s">
        <v>1043</v>
      </c>
    </row>
    <row r="440" spans="1:16" x14ac:dyDescent="0.4">
      <c r="A440" s="2">
        <v>45891</v>
      </c>
      <c r="B440" t="s">
        <v>38</v>
      </c>
      <c r="C440" t="s">
        <v>649</v>
      </c>
      <c r="D440" s="3" t="str">
        <f t="shared" si="12"/>
        <v>PASS</v>
      </c>
      <c r="E440" s="3" t="str">
        <f t="shared" si="13"/>
        <v>PASS</v>
      </c>
      <c r="F440" t="s">
        <v>649</v>
      </c>
      <c r="G440" t="s">
        <v>649</v>
      </c>
      <c r="H440" s="3">
        <v>43379713.079999998</v>
      </c>
      <c r="I440" s="3">
        <v>38081210.990000002</v>
      </c>
      <c r="J440" s="3">
        <v>7978.11</v>
      </c>
      <c r="K440" s="4">
        <v>2168985.6540000001</v>
      </c>
      <c r="L440" s="4">
        <v>0.21623597783651391</v>
      </c>
      <c r="M440" s="3">
        <v>3</v>
      </c>
      <c r="N440" t="s">
        <v>1050</v>
      </c>
      <c r="O440" t="s">
        <v>744</v>
      </c>
      <c r="P440" t="s">
        <v>697</v>
      </c>
    </row>
    <row r="441" spans="1:16" x14ac:dyDescent="0.4">
      <c r="A441" s="2">
        <v>45891</v>
      </c>
      <c r="B441" t="s">
        <v>39</v>
      </c>
      <c r="C441" t="s">
        <v>649</v>
      </c>
      <c r="D441" s="3" t="str">
        <f t="shared" si="12"/>
        <v>PASS</v>
      </c>
      <c r="E441" s="3" t="str">
        <f t="shared" si="13"/>
        <v>PASS</v>
      </c>
      <c r="F441" t="s">
        <v>649</v>
      </c>
      <c r="G441" t="s">
        <v>649</v>
      </c>
      <c r="H441" s="3">
        <v>78700340.829999998</v>
      </c>
      <c r="I441" s="3">
        <v>71648032.160000011</v>
      </c>
      <c r="J441" s="3">
        <v>15273.15</v>
      </c>
      <c r="K441" s="4">
        <v>3935017.0414999998</v>
      </c>
      <c r="L441" s="4">
        <v>0.21242373533047759</v>
      </c>
      <c r="M441" s="3">
        <v>3</v>
      </c>
      <c r="N441" t="s">
        <v>1051</v>
      </c>
      <c r="O441" t="s">
        <v>740</v>
      </c>
      <c r="P441" t="s">
        <v>873</v>
      </c>
    </row>
    <row r="442" spans="1:16" x14ac:dyDescent="0.4">
      <c r="A442" s="2">
        <v>45894</v>
      </c>
      <c r="B442" t="s">
        <v>27</v>
      </c>
      <c r="C442" t="s">
        <v>649</v>
      </c>
      <c r="D442" s="3" t="str">
        <f t="shared" si="12"/>
        <v>PASS</v>
      </c>
      <c r="E442" s="3" t="str">
        <f t="shared" si="13"/>
        <v>PASS</v>
      </c>
      <c r="F442" t="s">
        <v>649</v>
      </c>
      <c r="G442" t="s">
        <v>649</v>
      </c>
      <c r="H442" s="3">
        <v>55153702.590000004</v>
      </c>
      <c r="I442" s="3">
        <v>50555582.770000003</v>
      </c>
      <c r="J442" s="3">
        <v>3681.02</v>
      </c>
      <c r="K442" s="4">
        <v>2757685.1294999998</v>
      </c>
      <c r="L442" s="4">
        <v>0</v>
      </c>
      <c r="M442" s="3">
        <v>0</v>
      </c>
      <c r="N442" t="s">
        <v>29</v>
      </c>
      <c r="O442" t="s">
        <v>1052</v>
      </c>
      <c r="P442" t="s">
        <v>1027</v>
      </c>
    </row>
    <row r="443" spans="1:16" x14ac:dyDescent="0.4">
      <c r="A443" s="2">
        <v>45894</v>
      </c>
      <c r="B443" t="s">
        <v>30</v>
      </c>
      <c r="C443" t="s">
        <v>649</v>
      </c>
      <c r="D443" s="3" t="str">
        <f t="shared" si="12"/>
        <v>PASS</v>
      </c>
      <c r="E443" s="3" t="str">
        <f t="shared" si="13"/>
        <v>PASS</v>
      </c>
      <c r="F443" t="s">
        <v>649</v>
      </c>
      <c r="G443" t="s">
        <v>649</v>
      </c>
      <c r="H443" s="3">
        <v>34590535.460000001</v>
      </c>
      <c r="I443" s="3">
        <v>32752943.579999998</v>
      </c>
      <c r="J443" s="3">
        <v>2357.7800000000002</v>
      </c>
      <c r="K443" s="4">
        <v>1729526.773</v>
      </c>
      <c r="L443" s="4">
        <v>0.2132587832831814</v>
      </c>
      <c r="M443" s="3">
        <v>3</v>
      </c>
      <c r="N443" t="s">
        <v>1053</v>
      </c>
      <c r="O443" t="s">
        <v>786</v>
      </c>
      <c r="P443" t="s">
        <v>873</v>
      </c>
    </row>
    <row r="444" spans="1:16" x14ac:dyDescent="0.4">
      <c r="A444" s="2">
        <v>45894</v>
      </c>
      <c r="B444" t="s">
        <v>31</v>
      </c>
      <c r="C444" t="s">
        <v>649</v>
      </c>
      <c r="D444" s="3" t="str">
        <f t="shared" si="12"/>
        <v>PASS</v>
      </c>
      <c r="E444" s="3" t="str">
        <f t="shared" si="13"/>
        <v>PASS</v>
      </c>
      <c r="F444" t="s">
        <v>649</v>
      </c>
      <c r="G444" t="s">
        <v>649</v>
      </c>
      <c r="H444" s="3">
        <v>23437026.350000001</v>
      </c>
      <c r="I444" s="3">
        <v>21592253.899999999</v>
      </c>
      <c r="J444" s="3">
        <v>1565.03</v>
      </c>
      <c r="K444" s="4">
        <v>1171851.3174999999</v>
      </c>
      <c r="L444" s="4">
        <v>0.2117918709276502</v>
      </c>
      <c r="M444" s="3">
        <v>3</v>
      </c>
      <c r="N444" t="s">
        <v>1054</v>
      </c>
      <c r="O444" t="s">
        <v>740</v>
      </c>
      <c r="P444" t="s">
        <v>861</v>
      </c>
    </row>
    <row r="445" spans="1:16" x14ac:dyDescent="0.4">
      <c r="A445" s="2">
        <v>45894</v>
      </c>
      <c r="B445" t="s">
        <v>32</v>
      </c>
      <c r="C445" t="s">
        <v>649</v>
      </c>
      <c r="D445" s="3" t="str">
        <f t="shared" si="12"/>
        <v>PASS</v>
      </c>
      <c r="E445" s="3" t="str">
        <f t="shared" si="13"/>
        <v>PASS</v>
      </c>
      <c r="F445" t="s">
        <v>649</v>
      </c>
      <c r="G445" t="s">
        <v>649</v>
      </c>
      <c r="H445" s="3">
        <v>24646236.640000001</v>
      </c>
      <c r="I445" s="3">
        <v>20650696.07</v>
      </c>
      <c r="J445" s="3">
        <v>1504.65</v>
      </c>
      <c r="K445" s="4">
        <v>1232311.8319999999</v>
      </c>
      <c r="L445" s="4">
        <v>0.21075098054721539</v>
      </c>
      <c r="M445" s="3">
        <v>3</v>
      </c>
      <c r="N445" t="s">
        <v>1055</v>
      </c>
      <c r="O445" t="s">
        <v>869</v>
      </c>
      <c r="P445" t="s">
        <v>1056</v>
      </c>
    </row>
    <row r="446" spans="1:16" x14ac:dyDescent="0.4">
      <c r="A446" s="2">
        <v>45894</v>
      </c>
      <c r="B446" t="s">
        <v>33</v>
      </c>
      <c r="C446" t="s">
        <v>649</v>
      </c>
      <c r="D446" s="3" t="str">
        <f t="shared" si="12"/>
        <v>PASS</v>
      </c>
      <c r="E446" s="3" t="str">
        <f t="shared" si="13"/>
        <v>PASS</v>
      </c>
      <c r="F446" t="s">
        <v>649</v>
      </c>
      <c r="G446" t="s">
        <v>649</v>
      </c>
      <c r="H446" s="3">
        <v>15310175.470000001</v>
      </c>
      <c r="I446" s="3">
        <v>13686407.949999999</v>
      </c>
      <c r="J446" s="3">
        <v>993.72</v>
      </c>
      <c r="K446" s="4">
        <v>765508.77350000013</v>
      </c>
      <c r="L446" s="4">
        <v>0.2115920975716139</v>
      </c>
      <c r="M446" s="3">
        <v>3</v>
      </c>
      <c r="N446" t="s">
        <v>1057</v>
      </c>
      <c r="O446" t="s">
        <v>740</v>
      </c>
      <c r="P446" t="s">
        <v>861</v>
      </c>
    </row>
    <row r="447" spans="1:16" x14ac:dyDescent="0.4">
      <c r="A447" s="2">
        <v>45894</v>
      </c>
      <c r="B447" t="s">
        <v>34</v>
      </c>
      <c r="C447" t="s">
        <v>649</v>
      </c>
      <c r="D447" s="3" t="str">
        <f t="shared" si="12"/>
        <v>PASS</v>
      </c>
      <c r="E447" s="3" t="str">
        <f t="shared" si="13"/>
        <v>PASS</v>
      </c>
      <c r="F447" t="s">
        <v>649</v>
      </c>
      <c r="G447" t="s">
        <v>649</v>
      </c>
      <c r="H447" s="3">
        <v>167041380.37</v>
      </c>
      <c r="I447" s="3">
        <v>142769414.44999999</v>
      </c>
      <c r="J447" s="3">
        <v>10385.4</v>
      </c>
      <c r="K447" s="4">
        <v>8352069.0185000002</v>
      </c>
      <c r="L447" s="4">
        <v>0.21092804290624631</v>
      </c>
      <c r="M447" s="3">
        <v>3</v>
      </c>
      <c r="N447" t="s">
        <v>1058</v>
      </c>
      <c r="O447" t="s">
        <v>869</v>
      </c>
      <c r="P447" t="s">
        <v>1056</v>
      </c>
    </row>
    <row r="448" spans="1:16" x14ac:dyDescent="0.4">
      <c r="A448" s="2">
        <v>45894</v>
      </c>
      <c r="B448" t="s">
        <v>35</v>
      </c>
      <c r="C448" t="s">
        <v>649</v>
      </c>
      <c r="D448" s="3" t="str">
        <f t="shared" si="12"/>
        <v>PASS</v>
      </c>
      <c r="E448" s="3" t="str">
        <f t="shared" si="13"/>
        <v>PASS</v>
      </c>
      <c r="F448" t="s">
        <v>649</v>
      </c>
      <c r="G448" t="s">
        <v>649</v>
      </c>
      <c r="H448" s="3">
        <v>135593074.78</v>
      </c>
      <c r="I448" s="3">
        <v>123573042.23999999</v>
      </c>
      <c r="J448" s="3">
        <v>8747.3700000000008</v>
      </c>
      <c r="K448" s="4">
        <v>6779653.7390000001</v>
      </c>
      <c r="L448" s="4">
        <v>0.21686842743578821</v>
      </c>
      <c r="M448" s="3">
        <v>3</v>
      </c>
      <c r="N448" t="s">
        <v>1059</v>
      </c>
      <c r="O448" t="s">
        <v>790</v>
      </c>
      <c r="P448" t="s">
        <v>697</v>
      </c>
    </row>
    <row r="449" spans="1:16" x14ac:dyDescent="0.4">
      <c r="A449" s="2">
        <v>45894</v>
      </c>
      <c r="B449" t="s">
        <v>36</v>
      </c>
      <c r="C449" t="s">
        <v>649</v>
      </c>
      <c r="D449" s="3" t="str">
        <f t="shared" si="12"/>
        <v>PASS</v>
      </c>
      <c r="E449" s="3" t="str">
        <f t="shared" si="13"/>
        <v>PASS</v>
      </c>
      <c r="F449" t="s">
        <v>649</v>
      </c>
      <c r="G449" t="s">
        <v>649</v>
      </c>
      <c r="H449" s="3">
        <v>101366496.51000001</v>
      </c>
      <c r="I449" s="3">
        <v>92118188.680000007</v>
      </c>
      <c r="J449" s="3">
        <v>6723.58</v>
      </c>
      <c r="K449" s="4">
        <v>5068324.8255000003</v>
      </c>
      <c r="L449" s="4">
        <v>0.21023765012454279</v>
      </c>
      <c r="M449" s="3">
        <v>3</v>
      </c>
      <c r="N449" t="s">
        <v>1060</v>
      </c>
      <c r="O449" t="s">
        <v>869</v>
      </c>
      <c r="P449" t="s">
        <v>1056</v>
      </c>
    </row>
    <row r="450" spans="1:16" x14ac:dyDescent="0.4">
      <c r="A450" s="2">
        <v>45894</v>
      </c>
      <c r="B450" t="s">
        <v>37</v>
      </c>
      <c r="C450" t="s">
        <v>649</v>
      </c>
      <c r="D450" s="3" t="str">
        <f t="shared" ref="D450:D513" si="14">IF(I450/H450&gt;=0.5,"PASS","FAIL")</f>
        <v>PASS</v>
      </c>
      <c r="E450" s="3" t="str">
        <f t="shared" ref="E450:E513" si="15">IF(L450&lt;=0.5,"PASS","FAIL")</f>
        <v>PASS</v>
      </c>
      <c r="F450" t="s">
        <v>649</v>
      </c>
      <c r="G450" t="s">
        <v>649</v>
      </c>
      <c r="H450" s="3">
        <v>40220797.280000001</v>
      </c>
      <c r="I450" s="3">
        <v>34839477.559999987</v>
      </c>
      <c r="J450" s="3">
        <v>2545.8200000000002</v>
      </c>
      <c r="K450" s="4">
        <v>2011039.8640000001</v>
      </c>
      <c r="L450" s="4">
        <v>0.21012557202935961</v>
      </c>
      <c r="M450" s="3">
        <v>3</v>
      </c>
      <c r="N450" t="s">
        <v>1061</v>
      </c>
      <c r="O450" t="s">
        <v>869</v>
      </c>
      <c r="P450" t="s">
        <v>1056</v>
      </c>
    </row>
    <row r="451" spans="1:16" x14ac:dyDescent="0.4">
      <c r="A451" s="2">
        <v>45894</v>
      </c>
      <c r="B451" t="s">
        <v>38</v>
      </c>
      <c r="C451" t="s">
        <v>649</v>
      </c>
      <c r="D451" s="3" t="str">
        <f t="shared" si="14"/>
        <v>PASS</v>
      </c>
      <c r="E451" s="3" t="str">
        <f t="shared" si="15"/>
        <v>PASS</v>
      </c>
      <c r="F451" t="s">
        <v>649</v>
      </c>
      <c r="G451" t="s">
        <v>649</v>
      </c>
      <c r="H451" s="3">
        <v>43261463.25</v>
      </c>
      <c r="I451" s="3">
        <v>37894331.850000001</v>
      </c>
      <c r="J451" s="3">
        <v>2684.85</v>
      </c>
      <c r="K451" s="4">
        <v>2163073.1625000001</v>
      </c>
      <c r="L451" s="4">
        <v>0.2166572492615651</v>
      </c>
      <c r="M451" s="3">
        <v>3</v>
      </c>
      <c r="N451" t="s">
        <v>1062</v>
      </c>
      <c r="O451" t="s">
        <v>790</v>
      </c>
      <c r="P451" t="s">
        <v>697</v>
      </c>
    </row>
    <row r="452" spans="1:16" x14ac:dyDescent="0.4">
      <c r="A452" s="2">
        <v>45894</v>
      </c>
      <c r="B452" t="s">
        <v>39</v>
      </c>
      <c r="C452" t="s">
        <v>649</v>
      </c>
      <c r="D452" s="3" t="str">
        <f t="shared" si="14"/>
        <v>PASS</v>
      </c>
      <c r="E452" s="3" t="str">
        <f t="shared" si="15"/>
        <v>PASS</v>
      </c>
      <c r="F452" t="s">
        <v>649</v>
      </c>
      <c r="G452" t="s">
        <v>649</v>
      </c>
      <c r="H452" s="3">
        <v>78495505.269999996</v>
      </c>
      <c r="I452" s="3">
        <v>71217974.270000011</v>
      </c>
      <c r="J452" s="3">
        <v>5137.21</v>
      </c>
      <c r="K452" s="4">
        <v>3924775.2634999999</v>
      </c>
      <c r="L452" s="4">
        <v>0.21282280644573581</v>
      </c>
      <c r="M452" s="3">
        <v>3</v>
      </c>
      <c r="N452" t="s">
        <v>1063</v>
      </c>
      <c r="O452" t="s">
        <v>786</v>
      </c>
      <c r="P452" t="s">
        <v>873</v>
      </c>
    </row>
    <row r="453" spans="1:16" x14ac:dyDescent="0.4">
      <c r="A453" s="2">
        <v>45895</v>
      </c>
      <c r="B453" t="s">
        <v>27</v>
      </c>
      <c r="C453" t="s">
        <v>649</v>
      </c>
      <c r="D453" s="3" t="str">
        <f t="shared" si="14"/>
        <v>PASS</v>
      </c>
      <c r="E453" s="3" t="str">
        <f t="shared" si="15"/>
        <v>PASS</v>
      </c>
      <c r="F453" t="s">
        <v>649</v>
      </c>
      <c r="G453" t="s">
        <v>649</v>
      </c>
      <c r="H453" s="3">
        <v>55196910.450000003</v>
      </c>
      <c r="I453" s="3">
        <v>50685332.330000013</v>
      </c>
      <c r="J453" s="3">
        <v>3674.45</v>
      </c>
      <c r="K453" s="4">
        <v>2759845.5225</v>
      </c>
      <c r="L453" s="4">
        <v>0</v>
      </c>
      <c r="M453" s="3">
        <v>0</v>
      </c>
      <c r="N453" t="s">
        <v>29</v>
      </c>
      <c r="O453" t="s">
        <v>1064</v>
      </c>
      <c r="P453" t="s">
        <v>987</v>
      </c>
    </row>
    <row r="454" spans="1:16" x14ac:dyDescent="0.4">
      <c r="A454" s="2">
        <v>45895</v>
      </c>
      <c r="B454" t="s">
        <v>30</v>
      </c>
      <c r="C454" t="s">
        <v>649</v>
      </c>
      <c r="D454" s="3" t="str">
        <f t="shared" si="14"/>
        <v>PASS</v>
      </c>
      <c r="E454" s="3" t="str">
        <f t="shared" si="15"/>
        <v>PASS</v>
      </c>
      <c r="F454" t="s">
        <v>649</v>
      </c>
      <c r="G454" t="s">
        <v>649</v>
      </c>
      <c r="H454" s="3">
        <v>34704483.859999999</v>
      </c>
      <c r="I454" s="3">
        <v>32899181.140000001</v>
      </c>
      <c r="J454" s="3">
        <v>2351.14</v>
      </c>
      <c r="K454" s="4">
        <v>1735224.193</v>
      </c>
      <c r="L454" s="4">
        <v>0.21370089839129111</v>
      </c>
      <c r="M454" s="3">
        <v>3</v>
      </c>
      <c r="N454" t="s">
        <v>1065</v>
      </c>
      <c r="O454" t="s">
        <v>740</v>
      </c>
      <c r="P454" t="s">
        <v>710</v>
      </c>
    </row>
    <row r="455" spans="1:16" x14ac:dyDescent="0.4">
      <c r="A455" s="2">
        <v>45895</v>
      </c>
      <c r="B455" t="s">
        <v>31</v>
      </c>
      <c r="C455" t="s">
        <v>649</v>
      </c>
      <c r="D455" s="3" t="str">
        <f t="shared" si="14"/>
        <v>PASS</v>
      </c>
      <c r="E455" s="3" t="str">
        <f t="shared" si="15"/>
        <v>PASS</v>
      </c>
      <c r="F455" t="s">
        <v>649</v>
      </c>
      <c r="G455" t="s">
        <v>649</v>
      </c>
      <c r="H455" s="3">
        <v>23507716.82</v>
      </c>
      <c r="I455" s="3">
        <v>21688636.73</v>
      </c>
      <c r="J455" s="3">
        <v>1561.17</v>
      </c>
      <c r="K455" s="4">
        <v>1175385.841</v>
      </c>
      <c r="L455" s="4">
        <v>0.21227965099381421</v>
      </c>
      <c r="M455" s="3">
        <v>3</v>
      </c>
      <c r="N455" t="s">
        <v>1066</v>
      </c>
      <c r="O455" t="s">
        <v>762</v>
      </c>
      <c r="P455" t="s">
        <v>873</v>
      </c>
    </row>
    <row r="456" spans="1:16" x14ac:dyDescent="0.4">
      <c r="A456" s="2">
        <v>45895</v>
      </c>
      <c r="B456" t="s">
        <v>32</v>
      </c>
      <c r="C456" t="s">
        <v>649</v>
      </c>
      <c r="D456" s="3" t="str">
        <f t="shared" si="14"/>
        <v>PASS</v>
      </c>
      <c r="E456" s="3" t="str">
        <f t="shared" si="15"/>
        <v>PASS</v>
      </c>
      <c r="F456" t="s">
        <v>649</v>
      </c>
      <c r="G456" t="s">
        <v>649</v>
      </c>
      <c r="H456" s="3">
        <v>24720340.25</v>
      </c>
      <c r="I456" s="3">
        <v>20742879.309999999</v>
      </c>
      <c r="J456" s="3">
        <v>1500.37</v>
      </c>
      <c r="K456" s="4">
        <v>1236017.0125</v>
      </c>
      <c r="L456" s="4">
        <v>0.21117351624439101</v>
      </c>
      <c r="M456" s="3">
        <v>3</v>
      </c>
      <c r="N456" t="s">
        <v>1067</v>
      </c>
      <c r="O456" t="s">
        <v>861</v>
      </c>
      <c r="P456" t="s">
        <v>1068</v>
      </c>
    </row>
    <row r="457" spans="1:16" x14ac:dyDescent="0.4">
      <c r="A457" s="2">
        <v>45895</v>
      </c>
      <c r="B457" t="s">
        <v>33</v>
      </c>
      <c r="C457" t="s">
        <v>649</v>
      </c>
      <c r="D457" s="3" t="str">
        <f t="shared" si="14"/>
        <v>PASS</v>
      </c>
      <c r="E457" s="3" t="str">
        <f t="shared" si="15"/>
        <v>PASS</v>
      </c>
      <c r="F457" t="s">
        <v>649</v>
      </c>
      <c r="G457" t="s">
        <v>649</v>
      </c>
      <c r="H457" s="3">
        <v>15359865.58</v>
      </c>
      <c r="I457" s="3">
        <v>13747510.51</v>
      </c>
      <c r="J457" s="3">
        <v>991.01</v>
      </c>
      <c r="K457" s="4">
        <v>767993.2790000001</v>
      </c>
      <c r="L457" s="4">
        <v>0.21200444576688521</v>
      </c>
      <c r="M457" s="3">
        <v>3</v>
      </c>
      <c r="N457" t="s">
        <v>1069</v>
      </c>
      <c r="O457" t="s">
        <v>762</v>
      </c>
      <c r="P457" t="s">
        <v>861</v>
      </c>
    </row>
    <row r="458" spans="1:16" x14ac:dyDescent="0.4">
      <c r="A458" s="2">
        <v>45895</v>
      </c>
      <c r="B458" t="s">
        <v>34</v>
      </c>
      <c r="C458" t="s">
        <v>649</v>
      </c>
      <c r="D458" s="3" t="str">
        <f t="shared" si="14"/>
        <v>PASS</v>
      </c>
      <c r="E458" s="3" t="str">
        <f t="shared" si="15"/>
        <v>PASS</v>
      </c>
      <c r="F458" t="s">
        <v>649</v>
      </c>
      <c r="G458" t="s">
        <v>649</v>
      </c>
      <c r="H458" s="3">
        <v>167509633.66</v>
      </c>
      <c r="I458" s="3">
        <v>143406803.75999999</v>
      </c>
      <c r="J458" s="3">
        <v>10362.11</v>
      </c>
      <c r="K458" s="4">
        <v>8375481.6830000002</v>
      </c>
      <c r="L458" s="4">
        <v>0.21141542429332399</v>
      </c>
      <c r="M458" s="3">
        <v>3</v>
      </c>
      <c r="N458" t="s">
        <v>1070</v>
      </c>
      <c r="O458" t="s">
        <v>753</v>
      </c>
      <c r="P458" t="s">
        <v>861</v>
      </c>
    </row>
    <row r="459" spans="1:16" x14ac:dyDescent="0.4">
      <c r="A459" s="2">
        <v>45895</v>
      </c>
      <c r="B459" t="s">
        <v>35</v>
      </c>
      <c r="C459" t="s">
        <v>649</v>
      </c>
      <c r="D459" s="3" t="str">
        <f t="shared" si="14"/>
        <v>PASS</v>
      </c>
      <c r="E459" s="3" t="str">
        <f t="shared" si="15"/>
        <v>PASS</v>
      </c>
      <c r="F459" t="s">
        <v>649</v>
      </c>
      <c r="G459" t="s">
        <v>649</v>
      </c>
      <c r="H459" s="3">
        <v>136038927.72</v>
      </c>
      <c r="I459" s="3">
        <v>124124715.81999999</v>
      </c>
      <c r="J459" s="3">
        <v>8722.85</v>
      </c>
      <c r="K459" s="4">
        <v>6801946.3859999999</v>
      </c>
      <c r="L459" s="4">
        <v>0.2172763980777441</v>
      </c>
      <c r="M459" s="3">
        <v>3</v>
      </c>
      <c r="N459" t="s">
        <v>1071</v>
      </c>
      <c r="O459" t="s">
        <v>744</v>
      </c>
      <c r="P459" t="s">
        <v>697</v>
      </c>
    </row>
    <row r="460" spans="1:16" x14ac:dyDescent="0.4">
      <c r="A460" s="2">
        <v>45895</v>
      </c>
      <c r="B460" t="s">
        <v>36</v>
      </c>
      <c r="C460" t="s">
        <v>649</v>
      </c>
      <c r="D460" s="3" t="str">
        <f t="shared" si="14"/>
        <v>PASS</v>
      </c>
      <c r="E460" s="3" t="str">
        <f t="shared" si="15"/>
        <v>PASS</v>
      </c>
      <c r="F460" t="s">
        <v>649</v>
      </c>
      <c r="G460" t="s">
        <v>649</v>
      </c>
      <c r="H460" s="3">
        <v>101668825.65000001</v>
      </c>
      <c r="I460" s="3">
        <v>92525152.019999996</v>
      </c>
      <c r="J460" s="3">
        <v>6707.62</v>
      </c>
      <c r="K460" s="4">
        <v>5083441.2825000007</v>
      </c>
      <c r="L460" s="4">
        <v>0.21072518171925619</v>
      </c>
      <c r="M460" s="3">
        <v>3</v>
      </c>
      <c r="N460" t="s">
        <v>1072</v>
      </c>
      <c r="O460" t="s">
        <v>869</v>
      </c>
      <c r="P460" t="s">
        <v>1068</v>
      </c>
    </row>
    <row r="461" spans="1:16" x14ac:dyDescent="0.4">
      <c r="A461" s="2">
        <v>45895</v>
      </c>
      <c r="B461" t="s">
        <v>37</v>
      </c>
      <c r="C461" t="s">
        <v>649</v>
      </c>
      <c r="D461" s="3" t="str">
        <f t="shared" si="14"/>
        <v>PASS</v>
      </c>
      <c r="E461" s="3" t="str">
        <f t="shared" si="15"/>
        <v>PASS</v>
      </c>
      <c r="F461" t="s">
        <v>649</v>
      </c>
      <c r="G461" t="s">
        <v>649</v>
      </c>
      <c r="H461" s="3">
        <v>40350330.670000002</v>
      </c>
      <c r="I461" s="3">
        <v>34995003.820000008</v>
      </c>
      <c r="J461" s="3">
        <v>2538.91</v>
      </c>
      <c r="K461" s="4">
        <v>2017516.5334999999</v>
      </c>
      <c r="L461" s="4">
        <v>0.21052211304711901</v>
      </c>
      <c r="M461" s="3">
        <v>3</v>
      </c>
      <c r="N461" t="s">
        <v>1073</v>
      </c>
      <c r="O461" t="s">
        <v>869</v>
      </c>
      <c r="P461" t="s">
        <v>1068</v>
      </c>
    </row>
    <row r="462" spans="1:16" x14ac:dyDescent="0.4">
      <c r="A462" s="2">
        <v>45895</v>
      </c>
      <c r="B462" t="s">
        <v>38</v>
      </c>
      <c r="C462" t="s">
        <v>649</v>
      </c>
      <c r="D462" s="3" t="str">
        <f t="shared" si="14"/>
        <v>PASS</v>
      </c>
      <c r="E462" s="3" t="str">
        <f t="shared" si="15"/>
        <v>PASS</v>
      </c>
      <c r="F462" t="s">
        <v>649</v>
      </c>
      <c r="G462" t="s">
        <v>649</v>
      </c>
      <c r="H462" s="3">
        <v>43405823.659999996</v>
      </c>
      <c r="I462" s="3">
        <v>38047238.030000001</v>
      </c>
      <c r="J462" s="3">
        <v>2676.61</v>
      </c>
      <c r="K462" s="4">
        <v>2170291.1830000002</v>
      </c>
      <c r="L462" s="4">
        <v>0.2170204420829204</v>
      </c>
      <c r="M462" s="3">
        <v>3</v>
      </c>
      <c r="N462" t="s">
        <v>1074</v>
      </c>
      <c r="O462" t="s">
        <v>744</v>
      </c>
      <c r="P462" t="s">
        <v>697</v>
      </c>
    </row>
    <row r="463" spans="1:16" x14ac:dyDescent="0.4">
      <c r="A463" s="2">
        <v>45895</v>
      </c>
      <c r="B463" t="s">
        <v>39</v>
      </c>
      <c r="C463" t="s">
        <v>649</v>
      </c>
      <c r="D463" s="3" t="str">
        <f t="shared" si="14"/>
        <v>PASS</v>
      </c>
      <c r="E463" s="3" t="str">
        <f t="shared" si="15"/>
        <v>PASS</v>
      </c>
      <c r="F463" t="s">
        <v>649</v>
      </c>
      <c r="G463" t="s">
        <v>649</v>
      </c>
      <c r="H463" s="3">
        <v>78764206.709999993</v>
      </c>
      <c r="I463" s="3">
        <v>71535913.060000002</v>
      </c>
      <c r="J463" s="3">
        <v>5122.68</v>
      </c>
      <c r="K463" s="4">
        <v>3938210.3355</v>
      </c>
      <c r="L463" s="4">
        <v>0.2132025179229792</v>
      </c>
      <c r="M463" s="3">
        <v>3</v>
      </c>
      <c r="N463" t="s">
        <v>1075</v>
      </c>
      <c r="O463" t="s">
        <v>740</v>
      </c>
      <c r="P463" t="s">
        <v>873</v>
      </c>
    </row>
    <row r="464" spans="1:16" x14ac:dyDescent="0.4">
      <c r="A464" s="2">
        <v>45896</v>
      </c>
      <c r="B464" t="s">
        <v>27</v>
      </c>
      <c r="C464" t="s">
        <v>649</v>
      </c>
      <c r="D464" s="3" t="str">
        <f t="shared" si="14"/>
        <v>PASS</v>
      </c>
      <c r="E464" s="3" t="str">
        <f t="shared" si="15"/>
        <v>PASS</v>
      </c>
      <c r="F464" t="s">
        <v>649</v>
      </c>
      <c r="G464" t="s">
        <v>649</v>
      </c>
      <c r="H464" s="3">
        <v>55205905.590000004</v>
      </c>
      <c r="I464" s="3">
        <v>50763999.319999993</v>
      </c>
      <c r="J464" s="3">
        <v>3677.32</v>
      </c>
      <c r="K464" s="4">
        <v>2760295.2795000002</v>
      </c>
      <c r="L464" s="4">
        <v>0</v>
      </c>
      <c r="M464" s="3">
        <v>0</v>
      </c>
      <c r="N464" t="s">
        <v>29</v>
      </c>
      <c r="O464" t="s">
        <v>971</v>
      </c>
      <c r="P464" t="s">
        <v>987</v>
      </c>
    </row>
    <row r="465" spans="1:16" x14ac:dyDescent="0.4">
      <c r="A465" s="2">
        <v>45896</v>
      </c>
      <c r="B465" t="s">
        <v>30</v>
      </c>
      <c r="C465" t="s">
        <v>649</v>
      </c>
      <c r="D465" s="3" t="str">
        <f t="shared" si="14"/>
        <v>PASS</v>
      </c>
      <c r="E465" s="3" t="str">
        <f t="shared" si="15"/>
        <v>PASS</v>
      </c>
      <c r="F465" t="s">
        <v>649</v>
      </c>
      <c r="G465" t="s">
        <v>649</v>
      </c>
      <c r="H465" s="3">
        <v>34744337.759999998</v>
      </c>
      <c r="I465" s="3">
        <v>33051948.77</v>
      </c>
      <c r="J465" s="3">
        <v>2359.2399999999998</v>
      </c>
      <c r="K465" s="4">
        <v>1737216.888</v>
      </c>
      <c r="L465" s="4">
        <v>0.21499675180566599</v>
      </c>
      <c r="M465" s="3">
        <v>3</v>
      </c>
      <c r="N465" t="s">
        <v>1076</v>
      </c>
      <c r="O465" t="s">
        <v>748</v>
      </c>
      <c r="P465" t="s">
        <v>710</v>
      </c>
    </row>
    <row r="466" spans="1:16" x14ac:dyDescent="0.4">
      <c r="A466" s="2">
        <v>45896</v>
      </c>
      <c r="B466" t="s">
        <v>31</v>
      </c>
      <c r="C466" t="s">
        <v>649</v>
      </c>
      <c r="D466" s="3" t="str">
        <f t="shared" si="14"/>
        <v>PASS</v>
      </c>
      <c r="E466" s="3" t="str">
        <f t="shared" si="15"/>
        <v>PASS</v>
      </c>
      <c r="F466" t="s">
        <v>649</v>
      </c>
      <c r="G466" t="s">
        <v>649</v>
      </c>
      <c r="H466" s="3">
        <v>23528779.050000001</v>
      </c>
      <c r="I466" s="3">
        <v>21787939.07</v>
      </c>
      <c r="J466" s="3">
        <v>1566.19</v>
      </c>
      <c r="K466" s="4">
        <v>1176438.9524999999</v>
      </c>
      <c r="L466" s="4">
        <v>0.21363046018107229</v>
      </c>
      <c r="M466" s="3">
        <v>3</v>
      </c>
      <c r="N466" t="s">
        <v>1077</v>
      </c>
      <c r="O466" t="s">
        <v>786</v>
      </c>
      <c r="P466" t="s">
        <v>873</v>
      </c>
    </row>
    <row r="467" spans="1:16" x14ac:dyDescent="0.4">
      <c r="A467" s="2">
        <v>45896</v>
      </c>
      <c r="B467" t="s">
        <v>32</v>
      </c>
      <c r="C467" t="s">
        <v>649</v>
      </c>
      <c r="D467" s="3" t="str">
        <f t="shared" si="14"/>
        <v>PASS</v>
      </c>
      <c r="E467" s="3" t="str">
        <f t="shared" si="15"/>
        <v>PASS</v>
      </c>
      <c r="F467" t="s">
        <v>649</v>
      </c>
      <c r="G467" t="s">
        <v>649</v>
      </c>
      <c r="H467" s="3">
        <v>24744868.300000001</v>
      </c>
      <c r="I467" s="3">
        <v>20826620.469999999</v>
      </c>
      <c r="J467" s="3">
        <v>1505.64</v>
      </c>
      <c r="K467" s="4">
        <v>1237243.415</v>
      </c>
      <c r="L467" s="4">
        <v>0.21235758393443119</v>
      </c>
      <c r="M467" s="3">
        <v>3</v>
      </c>
      <c r="N467" t="s">
        <v>1078</v>
      </c>
      <c r="O467" t="s">
        <v>740</v>
      </c>
      <c r="P467" t="s">
        <v>861</v>
      </c>
    </row>
    <row r="468" spans="1:16" x14ac:dyDescent="0.4">
      <c r="A468" s="2">
        <v>45896</v>
      </c>
      <c r="B468" t="s">
        <v>33</v>
      </c>
      <c r="C468" t="s">
        <v>649</v>
      </c>
      <c r="D468" s="3" t="str">
        <f t="shared" si="14"/>
        <v>PASS</v>
      </c>
      <c r="E468" s="3" t="str">
        <f t="shared" si="15"/>
        <v>PASS</v>
      </c>
      <c r="F468" t="s">
        <v>649</v>
      </c>
      <c r="G468" t="s">
        <v>649</v>
      </c>
      <c r="H468" s="3">
        <v>15375414.939999999</v>
      </c>
      <c r="I468" s="3">
        <v>13801952.779999999</v>
      </c>
      <c r="J468" s="3">
        <v>994.54</v>
      </c>
      <c r="K468" s="4">
        <v>768770.74699999997</v>
      </c>
      <c r="L468" s="4">
        <v>0.21316049199855511</v>
      </c>
      <c r="M468" s="3">
        <v>3</v>
      </c>
      <c r="N468" t="s">
        <v>1079</v>
      </c>
      <c r="O468" t="s">
        <v>786</v>
      </c>
      <c r="P468" t="s">
        <v>861</v>
      </c>
    </row>
    <row r="469" spans="1:16" x14ac:dyDescent="0.4">
      <c r="A469" s="2">
        <v>45896</v>
      </c>
      <c r="B469" t="s">
        <v>34</v>
      </c>
      <c r="C469" t="s">
        <v>649</v>
      </c>
      <c r="D469" s="3" t="str">
        <f t="shared" si="14"/>
        <v>PASS</v>
      </c>
      <c r="E469" s="3" t="str">
        <f t="shared" si="15"/>
        <v>PASS</v>
      </c>
      <c r="F469" t="s">
        <v>649</v>
      </c>
      <c r="G469" t="s">
        <v>649</v>
      </c>
      <c r="H469" s="3">
        <v>167665840.94999999</v>
      </c>
      <c r="I469" s="3">
        <v>144056989.08000001</v>
      </c>
      <c r="J469" s="3">
        <v>10395.36</v>
      </c>
      <c r="K469" s="4">
        <v>8383292.0474999994</v>
      </c>
      <c r="L469" s="4">
        <v>0.2127178693263557</v>
      </c>
      <c r="M469" s="3">
        <v>3</v>
      </c>
      <c r="N469" t="s">
        <v>1080</v>
      </c>
      <c r="O469" t="s">
        <v>740</v>
      </c>
      <c r="P469" t="s">
        <v>861</v>
      </c>
    </row>
    <row r="470" spans="1:16" x14ac:dyDescent="0.4">
      <c r="A470" s="2">
        <v>45896</v>
      </c>
      <c r="B470" t="s">
        <v>35</v>
      </c>
      <c r="C470" t="s">
        <v>649</v>
      </c>
      <c r="D470" s="3" t="str">
        <f t="shared" si="14"/>
        <v>PASS</v>
      </c>
      <c r="E470" s="3" t="str">
        <f t="shared" si="15"/>
        <v>PASS</v>
      </c>
      <c r="F470" t="s">
        <v>649</v>
      </c>
      <c r="G470" t="s">
        <v>649</v>
      </c>
      <c r="H470" s="3">
        <v>136207031.33000001</v>
      </c>
      <c r="I470" s="3">
        <v>124682097.83</v>
      </c>
      <c r="J470" s="3">
        <v>8754.59</v>
      </c>
      <c r="K470" s="4">
        <v>6810351.5665000007</v>
      </c>
      <c r="L470" s="4">
        <v>0.21855290148326459</v>
      </c>
      <c r="M470" s="3">
        <v>3</v>
      </c>
      <c r="N470" t="s">
        <v>1081</v>
      </c>
      <c r="O470" t="s">
        <v>800</v>
      </c>
      <c r="P470" t="s">
        <v>697</v>
      </c>
    </row>
    <row r="471" spans="1:16" x14ac:dyDescent="0.4">
      <c r="A471" s="2">
        <v>45896</v>
      </c>
      <c r="B471" t="s">
        <v>36</v>
      </c>
      <c r="C471" t="s">
        <v>649</v>
      </c>
      <c r="D471" s="3" t="str">
        <f t="shared" si="14"/>
        <v>PASS</v>
      </c>
      <c r="E471" s="3" t="str">
        <f t="shared" si="15"/>
        <v>PASS</v>
      </c>
      <c r="F471" t="s">
        <v>649</v>
      </c>
      <c r="G471" t="s">
        <v>649</v>
      </c>
      <c r="H471" s="3">
        <v>101754120.22</v>
      </c>
      <c r="I471" s="3">
        <v>92929206.229999989</v>
      </c>
      <c r="J471" s="3">
        <v>6729.08</v>
      </c>
      <c r="K471" s="4">
        <v>5087706.0109999999</v>
      </c>
      <c r="L471" s="4">
        <v>0.2120376746717689</v>
      </c>
      <c r="M471" s="3">
        <v>3</v>
      </c>
      <c r="N471" t="s">
        <v>1082</v>
      </c>
      <c r="O471" t="s">
        <v>740</v>
      </c>
      <c r="P471" t="s">
        <v>869</v>
      </c>
    </row>
    <row r="472" spans="1:16" x14ac:dyDescent="0.4">
      <c r="A472" s="2">
        <v>45896</v>
      </c>
      <c r="B472" t="s">
        <v>37</v>
      </c>
      <c r="C472" t="s">
        <v>649</v>
      </c>
      <c r="D472" s="3" t="str">
        <f t="shared" si="14"/>
        <v>PASS</v>
      </c>
      <c r="E472" s="3" t="str">
        <f t="shared" si="15"/>
        <v>PASS</v>
      </c>
      <c r="F472" t="s">
        <v>649</v>
      </c>
      <c r="G472" t="s">
        <v>649</v>
      </c>
      <c r="H472" s="3">
        <v>40384454.619999997</v>
      </c>
      <c r="I472" s="3">
        <v>35132232.640000001</v>
      </c>
      <c r="J472" s="3">
        <v>2548.13</v>
      </c>
      <c r="K472" s="4">
        <v>2019222.7309999999</v>
      </c>
      <c r="L472" s="4">
        <v>0.21171088289678741</v>
      </c>
      <c r="M472" s="3">
        <v>3</v>
      </c>
      <c r="N472" t="s">
        <v>1083</v>
      </c>
      <c r="O472" t="s">
        <v>869</v>
      </c>
      <c r="P472" t="s">
        <v>1068</v>
      </c>
    </row>
    <row r="473" spans="1:16" x14ac:dyDescent="0.4">
      <c r="A473" s="2">
        <v>45896</v>
      </c>
      <c r="B473" t="s">
        <v>38</v>
      </c>
      <c r="C473" t="s">
        <v>649</v>
      </c>
      <c r="D473" s="3" t="str">
        <f t="shared" si="14"/>
        <v>PASS</v>
      </c>
      <c r="E473" s="3" t="str">
        <f t="shared" si="15"/>
        <v>PASS</v>
      </c>
      <c r="F473" t="s">
        <v>649</v>
      </c>
      <c r="G473" t="s">
        <v>649</v>
      </c>
      <c r="H473" s="3">
        <v>43450161.240000002</v>
      </c>
      <c r="I473" s="3">
        <v>38181067.890000001</v>
      </c>
      <c r="J473" s="3">
        <v>2686.9</v>
      </c>
      <c r="K473" s="4">
        <v>2172508.0619999999</v>
      </c>
      <c r="L473" s="4">
        <v>0.21812815048354089</v>
      </c>
      <c r="M473" s="3">
        <v>3</v>
      </c>
      <c r="N473" t="s">
        <v>1084</v>
      </c>
      <c r="O473" t="s">
        <v>800</v>
      </c>
      <c r="P473" t="s">
        <v>697</v>
      </c>
    </row>
    <row r="474" spans="1:16" x14ac:dyDescent="0.4">
      <c r="A474" s="2">
        <v>45896</v>
      </c>
      <c r="B474" t="s">
        <v>39</v>
      </c>
      <c r="C474" t="s">
        <v>649</v>
      </c>
      <c r="D474" s="3" t="str">
        <f t="shared" si="14"/>
        <v>PASS</v>
      </c>
      <c r="E474" s="3" t="str">
        <f t="shared" si="15"/>
        <v>PASS</v>
      </c>
      <c r="F474" t="s">
        <v>649</v>
      </c>
      <c r="G474" t="s">
        <v>649</v>
      </c>
      <c r="H474" s="3">
        <v>78865778.239999995</v>
      </c>
      <c r="I474" s="3">
        <v>71813457.979999989</v>
      </c>
      <c r="J474" s="3">
        <v>5141.82</v>
      </c>
      <c r="K474" s="4">
        <v>3943288.912</v>
      </c>
      <c r="L474" s="4">
        <v>0.21430958702886249</v>
      </c>
      <c r="M474" s="3">
        <v>3</v>
      </c>
      <c r="N474" t="s">
        <v>1085</v>
      </c>
      <c r="O474" t="s">
        <v>748</v>
      </c>
      <c r="P474" t="s">
        <v>873</v>
      </c>
    </row>
    <row r="475" spans="1:16" x14ac:dyDescent="0.4">
      <c r="A475" s="2">
        <v>45897</v>
      </c>
      <c r="B475" t="s">
        <v>27</v>
      </c>
      <c r="C475" t="s">
        <v>649</v>
      </c>
      <c r="D475" s="3" t="str">
        <f t="shared" si="14"/>
        <v>PASS</v>
      </c>
      <c r="E475" s="3" t="str">
        <f t="shared" si="15"/>
        <v>PASS</v>
      </c>
      <c r="F475" t="s">
        <v>649</v>
      </c>
      <c r="G475" t="s">
        <v>649</v>
      </c>
      <c r="H475" s="3">
        <v>55159685.100000001</v>
      </c>
      <c r="I475" s="3">
        <v>50786726.219999999</v>
      </c>
      <c r="J475" s="3">
        <v>3677.7</v>
      </c>
      <c r="K475" s="4">
        <v>2757984.2549999999</v>
      </c>
      <c r="L475" s="4">
        <v>0</v>
      </c>
      <c r="M475" s="3">
        <v>0</v>
      </c>
      <c r="N475" t="s">
        <v>29</v>
      </c>
      <c r="O475" t="s">
        <v>1086</v>
      </c>
      <c r="P475" t="s">
        <v>1087</v>
      </c>
    </row>
    <row r="476" spans="1:16" x14ac:dyDescent="0.4">
      <c r="A476" s="2">
        <v>45897</v>
      </c>
      <c r="B476" t="s">
        <v>30</v>
      </c>
      <c r="C476" t="s">
        <v>649</v>
      </c>
      <c r="D476" s="3" t="str">
        <f t="shared" si="14"/>
        <v>PASS</v>
      </c>
      <c r="E476" s="3" t="str">
        <f t="shared" si="15"/>
        <v>PASS</v>
      </c>
      <c r="F476" t="s">
        <v>649</v>
      </c>
      <c r="G476" t="s">
        <v>649</v>
      </c>
      <c r="H476" s="3">
        <v>34846737.299999997</v>
      </c>
      <c r="I476" s="3">
        <v>33164915.02</v>
      </c>
      <c r="J476" s="3">
        <v>2361.9699999999998</v>
      </c>
      <c r="K476" s="4">
        <v>1742336.865</v>
      </c>
      <c r="L476" s="4">
        <v>0.2146630622000445</v>
      </c>
      <c r="M476" s="3">
        <v>3</v>
      </c>
      <c r="N476" t="s">
        <v>1088</v>
      </c>
      <c r="O476" t="s">
        <v>744</v>
      </c>
      <c r="P476" t="s">
        <v>873</v>
      </c>
    </row>
    <row r="477" spans="1:16" x14ac:dyDescent="0.4">
      <c r="A477" s="2">
        <v>45897</v>
      </c>
      <c r="B477" t="s">
        <v>31</v>
      </c>
      <c r="C477" t="s">
        <v>649</v>
      </c>
      <c r="D477" s="3" t="str">
        <f t="shared" si="14"/>
        <v>PASS</v>
      </c>
      <c r="E477" s="3" t="str">
        <f t="shared" si="15"/>
        <v>PASS</v>
      </c>
      <c r="F477" t="s">
        <v>649</v>
      </c>
      <c r="G477" t="s">
        <v>649</v>
      </c>
      <c r="H477" s="3">
        <v>23588400.949999999</v>
      </c>
      <c r="I477" s="3">
        <v>21862415.460000001</v>
      </c>
      <c r="J477" s="3">
        <v>1567.6</v>
      </c>
      <c r="K477" s="4">
        <v>1179420.0475000001</v>
      </c>
      <c r="L477" s="4">
        <v>0.2133808470497344</v>
      </c>
      <c r="M477" s="3">
        <v>3</v>
      </c>
      <c r="N477" t="s">
        <v>1089</v>
      </c>
      <c r="O477" t="s">
        <v>748</v>
      </c>
      <c r="P477" t="s">
        <v>861</v>
      </c>
    </row>
    <row r="478" spans="1:16" x14ac:dyDescent="0.4">
      <c r="A478" s="2">
        <v>45897</v>
      </c>
      <c r="B478" t="s">
        <v>32</v>
      </c>
      <c r="C478" t="s">
        <v>649</v>
      </c>
      <c r="D478" s="3" t="str">
        <f t="shared" si="14"/>
        <v>PASS</v>
      </c>
      <c r="E478" s="3" t="str">
        <f t="shared" si="15"/>
        <v>PASS</v>
      </c>
      <c r="F478" t="s">
        <v>649</v>
      </c>
      <c r="G478" t="s">
        <v>649</v>
      </c>
      <c r="H478" s="3">
        <v>24798905.93</v>
      </c>
      <c r="I478" s="3">
        <v>20897825.859999999</v>
      </c>
      <c r="J478" s="3">
        <v>1507.31</v>
      </c>
      <c r="K478" s="4">
        <v>1239945.2964999999</v>
      </c>
      <c r="L478" s="4">
        <v>0.2121430349911477</v>
      </c>
      <c r="M478" s="3">
        <v>3</v>
      </c>
      <c r="N478" t="s">
        <v>1090</v>
      </c>
      <c r="O478" t="s">
        <v>786</v>
      </c>
      <c r="P478" t="s">
        <v>869</v>
      </c>
    </row>
    <row r="479" spans="1:16" x14ac:dyDescent="0.4">
      <c r="A479" s="2">
        <v>45897</v>
      </c>
      <c r="B479" t="s">
        <v>33</v>
      </c>
      <c r="C479" t="s">
        <v>649</v>
      </c>
      <c r="D479" s="3" t="str">
        <f t="shared" si="14"/>
        <v>PASS</v>
      </c>
      <c r="E479" s="3" t="str">
        <f t="shared" si="15"/>
        <v>PASS</v>
      </c>
      <c r="F479" t="s">
        <v>649</v>
      </c>
      <c r="G479" t="s">
        <v>649</v>
      </c>
      <c r="H479" s="3">
        <v>15413216.5</v>
      </c>
      <c r="I479" s="3">
        <v>13849116.560000001</v>
      </c>
      <c r="J479" s="3">
        <v>995.6</v>
      </c>
      <c r="K479" s="4">
        <v>770660.82500000007</v>
      </c>
      <c r="L479" s="4">
        <v>0.21291222330202381</v>
      </c>
      <c r="M479" s="3">
        <v>3</v>
      </c>
      <c r="N479" t="s">
        <v>1091</v>
      </c>
      <c r="O479" t="s">
        <v>786</v>
      </c>
      <c r="P479" t="s">
        <v>861</v>
      </c>
    </row>
    <row r="480" spans="1:16" x14ac:dyDescent="0.4">
      <c r="A480" s="2">
        <v>45897</v>
      </c>
      <c r="B480" t="s">
        <v>34</v>
      </c>
      <c r="C480" t="s">
        <v>649</v>
      </c>
      <c r="D480" s="3" t="str">
        <f t="shared" si="14"/>
        <v>PASS</v>
      </c>
      <c r="E480" s="3" t="str">
        <f t="shared" si="15"/>
        <v>PASS</v>
      </c>
      <c r="F480" t="s">
        <v>649</v>
      </c>
      <c r="G480" t="s">
        <v>649</v>
      </c>
      <c r="H480" s="3">
        <v>168014888.40000001</v>
      </c>
      <c r="I480" s="3">
        <v>144549386.34999999</v>
      </c>
      <c r="J480" s="3">
        <v>10405.94</v>
      </c>
      <c r="K480" s="4">
        <v>8400744.4199999999</v>
      </c>
      <c r="L480" s="4">
        <v>0.2125386412046546</v>
      </c>
      <c r="M480" s="3">
        <v>3</v>
      </c>
      <c r="N480" t="s">
        <v>1092</v>
      </c>
      <c r="O480" t="s">
        <v>786</v>
      </c>
      <c r="P480" t="s">
        <v>869</v>
      </c>
    </row>
    <row r="481" spans="1:16" x14ac:dyDescent="0.4">
      <c r="A481" s="2">
        <v>45897</v>
      </c>
      <c r="B481" t="s">
        <v>35</v>
      </c>
      <c r="C481" t="s">
        <v>649</v>
      </c>
      <c r="D481" s="3" t="str">
        <f t="shared" si="14"/>
        <v>PASS</v>
      </c>
      <c r="E481" s="3" t="str">
        <f t="shared" si="15"/>
        <v>PASS</v>
      </c>
      <c r="F481" t="s">
        <v>649</v>
      </c>
      <c r="G481" t="s">
        <v>649</v>
      </c>
      <c r="H481" s="3">
        <v>136569142.99000001</v>
      </c>
      <c r="I481" s="3">
        <v>125108288.8</v>
      </c>
      <c r="J481" s="3">
        <v>8766.16</v>
      </c>
      <c r="K481" s="4">
        <v>6828457.1495000012</v>
      </c>
      <c r="L481" s="4">
        <v>0.21824599688257071</v>
      </c>
      <c r="M481" s="3">
        <v>3</v>
      </c>
      <c r="N481" t="s">
        <v>1093</v>
      </c>
      <c r="O481" t="s">
        <v>1094</v>
      </c>
      <c r="P481" t="s">
        <v>800</v>
      </c>
    </row>
    <row r="482" spans="1:16" x14ac:dyDescent="0.4">
      <c r="A482" s="2">
        <v>45897</v>
      </c>
      <c r="B482" t="s">
        <v>36</v>
      </c>
      <c r="C482" t="s">
        <v>649</v>
      </c>
      <c r="D482" s="3" t="str">
        <f t="shared" si="14"/>
        <v>PASS</v>
      </c>
      <c r="E482" s="3" t="str">
        <f t="shared" si="15"/>
        <v>PASS</v>
      </c>
      <c r="F482" t="s">
        <v>649</v>
      </c>
      <c r="G482" t="s">
        <v>649</v>
      </c>
      <c r="H482" s="3">
        <v>101988455.98999999</v>
      </c>
      <c r="I482" s="3">
        <v>93246863.63000001</v>
      </c>
      <c r="J482" s="3">
        <v>6734.79</v>
      </c>
      <c r="K482" s="4">
        <v>5099422.7994999997</v>
      </c>
      <c r="L482" s="4">
        <v>0.21183976476866309</v>
      </c>
      <c r="M482" s="3">
        <v>3</v>
      </c>
      <c r="N482" t="s">
        <v>1095</v>
      </c>
      <c r="O482" t="s">
        <v>740</v>
      </c>
      <c r="P482" t="s">
        <v>869</v>
      </c>
    </row>
    <row r="483" spans="1:16" x14ac:dyDescent="0.4">
      <c r="A483" s="2">
        <v>45897</v>
      </c>
      <c r="B483" t="s">
        <v>37</v>
      </c>
      <c r="C483" t="s">
        <v>649</v>
      </c>
      <c r="D483" s="3" t="str">
        <f t="shared" si="14"/>
        <v>PASS</v>
      </c>
      <c r="E483" s="3" t="str">
        <f t="shared" si="15"/>
        <v>PASS</v>
      </c>
      <c r="F483" t="s">
        <v>649</v>
      </c>
      <c r="G483" t="s">
        <v>649</v>
      </c>
      <c r="H483" s="3">
        <v>40477776.460000001</v>
      </c>
      <c r="I483" s="3">
        <v>35252318.270000003</v>
      </c>
      <c r="J483" s="3">
        <v>2550.42</v>
      </c>
      <c r="K483" s="4">
        <v>2023888.8230000001</v>
      </c>
      <c r="L483" s="4">
        <v>0.21148569097482781</v>
      </c>
      <c r="M483" s="3">
        <v>3</v>
      </c>
      <c r="N483" t="s">
        <v>1096</v>
      </c>
      <c r="O483" t="s">
        <v>740</v>
      </c>
      <c r="P483" t="s">
        <v>869</v>
      </c>
    </row>
    <row r="484" spans="1:16" x14ac:dyDescent="0.4">
      <c r="A484" s="2">
        <v>45897</v>
      </c>
      <c r="B484" t="s">
        <v>38</v>
      </c>
      <c r="C484" t="s">
        <v>649</v>
      </c>
      <c r="D484" s="3" t="str">
        <f t="shared" si="14"/>
        <v>PASS</v>
      </c>
      <c r="E484" s="3" t="str">
        <f t="shared" si="15"/>
        <v>PASS</v>
      </c>
      <c r="F484" t="s">
        <v>649</v>
      </c>
      <c r="G484" t="s">
        <v>649</v>
      </c>
      <c r="H484" s="3">
        <v>43564386.159999996</v>
      </c>
      <c r="I484" s="3">
        <v>38311574.840000004</v>
      </c>
      <c r="J484" s="3">
        <v>2689.92</v>
      </c>
      <c r="K484" s="4">
        <v>2178219.3080000002</v>
      </c>
      <c r="L484" s="4">
        <v>0.2178035198395544</v>
      </c>
      <c r="M484" s="3">
        <v>3</v>
      </c>
      <c r="N484" t="s">
        <v>1097</v>
      </c>
      <c r="O484" t="s">
        <v>800</v>
      </c>
      <c r="P484" t="s">
        <v>705</v>
      </c>
    </row>
    <row r="485" spans="1:16" x14ac:dyDescent="0.4">
      <c r="A485" s="2">
        <v>45897</v>
      </c>
      <c r="B485" t="s">
        <v>39</v>
      </c>
      <c r="C485" t="s">
        <v>649</v>
      </c>
      <c r="D485" s="3" t="str">
        <f t="shared" si="14"/>
        <v>PASS</v>
      </c>
      <c r="E485" s="3" t="str">
        <f t="shared" si="15"/>
        <v>PASS</v>
      </c>
      <c r="F485" t="s">
        <v>649</v>
      </c>
      <c r="G485" t="s">
        <v>649</v>
      </c>
      <c r="H485" s="3">
        <v>79070548.790000007</v>
      </c>
      <c r="I485" s="3">
        <v>72058956.329999983</v>
      </c>
      <c r="J485" s="3">
        <v>5148.82</v>
      </c>
      <c r="K485" s="4">
        <v>3953527.4394999999</v>
      </c>
      <c r="L485" s="4">
        <v>0.21403251513602911</v>
      </c>
      <c r="M485" s="3">
        <v>3</v>
      </c>
      <c r="N485" t="s">
        <v>1098</v>
      </c>
      <c r="O485" t="s">
        <v>748</v>
      </c>
      <c r="P485" t="s">
        <v>861</v>
      </c>
    </row>
    <row r="486" spans="1:16" x14ac:dyDescent="0.4">
      <c r="A486" s="2">
        <v>45898</v>
      </c>
      <c r="B486" t="s">
        <v>27</v>
      </c>
      <c r="C486" t="s">
        <v>649</v>
      </c>
      <c r="D486" s="3" t="str">
        <f t="shared" si="14"/>
        <v>PASS</v>
      </c>
      <c r="E486" s="3" t="str">
        <f t="shared" si="15"/>
        <v>PASS</v>
      </c>
      <c r="F486" t="s">
        <v>649</v>
      </c>
      <c r="G486" t="s">
        <v>649</v>
      </c>
      <c r="H486" s="3">
        <v>55353441.18</v>
      </c>
      <c r="I486" s="3">
        <v>49991816.609999999</v>
      </c>
      <c r="J486" s="3">
        <v>10891.15</v>
      </c>
      <c r="K486" s="4">
        <v>2767672.0589999999</v>
      </c>
      <c r="L486" s="4">
        <v>0</v>
      </c>
      <c r="M486" s="3">
        <v>0</v>
      </c>
      <c r="N486" t="s">
        <v>29</v>
      </c>
      <c r="O486" t="s">
        <v>1099</v>
      </c>
      <c r="P486" t="s">
        <v>1001</v>
      </c>
    </row>
    <row r="487" spans="1:16" x14ac:dyDescent="0.4">
      <c r="A487" s="2">
        <v>45898</v>
      </c>
      <c r="B487" t="s">
        <v>30</v>
      </c>
      <c r="C487" t="s">
        <v>649</v>
      </c>
      <c r="D487" s="3" t="str">
        <f t="shared" si="14"/>
        <v>PASS</v>
      </c>
      <c r="E487" s="3" t="str">
        <f t="shared" si="15"/>
        <v>PASS</v>
      </c>
      <c r="F487" t="s">
        <v>649</v>
      </c>
      <c r="G487" t="s">
        <v>649</v>
      </c>
      <c r="H487" s="3">
        <v>34723989.43</v>
      </c>
      <c r="I487" s="3">
        <v>32412107.920000002</v>
      </c>
      <c r="J487" s="3">
        <v>4462.07</v>
      </c>
      <c r="K487" s="4">
        <v>1736199.4715</v>
      </c>
      <c r="L487" s="4">
        <v>0.21197691189983969</v>
      </c>
      <c r="M487" s="3">
        <v>3</v>
      </c>
      <c r="N487" t="s">
        <v>1100</v>
      </c>
      <c r="O487" t="s">
        <v>790</v>
      </c>
      <c r="P487" t="s">
        <v>710</v>
      </c>
    </row>
    <row r="488" spans="1:16" x14ac:dyDescent="0.4">
      <c r="A488" s="2">
        <v>45898</v>
      </c>
      <c r="B488" t="s">
        <v>31</v>
      </c>
      <c r="C488" t="s">
        <v>649</v>
      </c>
      <c r="D488" s="3" t="str">
        <f t="shared" si="14"/>
        <v>PASS</v>
      </c>
      <c r="E488" s="3" t="str">
        <f t="shared" si="15"/>
        <v>PASS</v>
      </c>
      <c r="F488" t="s">
        <v>649</v>
      </c>
      <c r="G488" t="s">
        <v>649</v>
      </c>
      <c r="H488" s="3">
        <v>23519976.100000001</v>
      </c>
      <c r="I488" s="3">
        <v>21415047.52</v>
      </c>
      <c r="J488" s="3">
        <v>2920.34</v>
      </c>
      <c r="K488" s="4">
        <v>1175998.8049999999</v>
      </c>
      <c r="L488" s="4">
        <v>0.21056232432171601</v>
      </c>
      <c r="M488" s="3">
        <v>3</v>
      </c>
      <c r="N488" t="s">
        <v>1101</v>
      </c>
      <c r="O488" t="s">
        <v>744</v>
      </c>
      <c r="P488" t="s">
        <v>873</v>
      </c>
    </row>
    <row r="489" spans="1:16" x14ac:dyDescent="0.4">
      <c r="A489" s="2">
        <v>45898</v>
      </c>
      <c r="B489" t="s">
        <v>32</v>
      </c>
      <c r="C489" t="s">
        <v>649</v>
      </c>
      <c r="D489" s="3" t="str">
        <f t="shared" si="14"/>
        <v>PASS</v>
      </c>
      <c r="E489" s="3" t="str">
        <f t="shared" si="15"/>
        <v>PASS</v>
      </c>
      <c r="F489" t="s">
        <v>649</v>
      </c>
      <c r="G489" t="s">
        <v>649</v>
      </c>
      <c r="H489" s="3">
        <v>24737094.07</v>
      </c>
      <c r="I489" s="3">
        <v>20525547.129999999</v>
      </c>
      <c r="J489" s="3">
        <v>4494.21</v>
      </c>
      <c r="K489" s="4">
        <v>1236854.7035000001</v>
      </c>
      <c r="L489" s="4">
        <v>0.20932858603442969</v>
      </c>
      <c r="M489" s="3">
        <v>3</v>
      </c>
      <c r="N489" t="s">
        <v>1102</v>
      </c>
      <c r="O489" t="s">
        <v>861</v>
      </c>
      <c r="P489" t="s">
        <v>1056</v>
      </c>
    </row>
    <row r="490" spans="1:16" x14ac:dyDescent="0.4">
      <c r="A490" s="2">
        <v>45898</v>
      </c>
      <c r="B490" t="s">
        <v>33</v>
      </c>
      <c r="C490" t="s">
        <v>649</v>
      </c>
      <c r="D490" s="3" t="str">
        <f t="shared" si="14"/>
        <v>PASS</v>
      </c>
      <c r="E490" s="3" t="str">
        <f t="shared" si="15"/>
        <v>PASS</v>
      </c>
      <c r="F490" t="s">
        <v>649</v>
      </c>
      <c r="G490" t="s">
        <v>649</v>
      </c>
      <c r="H490" s="3">
        <v>15364369.5</v>
      </c>
      <c r="I490" s="3">
        <v>13605326.470000001</v>
      </c>
      <c r="J490" s="3">
        <v>2920.32</v>
      </c>
      <c r="K490" s="4">
        <v>768218.47500000009</v>
      </c>
      <c r="L490" s="4">
        <v>0.21024718543999371</v>
      </c>
      <c r="M490" s="3">
        <v>3</v>
      </c>
      <c r="N490" t="s">
        <v>1103</v>
      </c>
      <c r="O490" t="s">
        <v>744</v>
      </c>
      <c r="P490" t="s">
        <v>873</v>
      </c>
    </row>
    <row r="491" spans="1:16" x14ac:dyDescent="0.4">
      <c r="A491" s="2">
        <v>45898</v>
      </c>
      <c r="B491" t="s">
        <v>34</v>
      </c>
      <c r="C491" t="s">
        <v>649</v>
      </c>
      <c r="D491" s="3" t="str">
        <f t="shared" si="14"/>
        <v>PASS</v>
      </c>
      <c r="E491" s="3" t="str">
        <f t="shared" si="15"/>
        <v>PASS</v>
      </c>
      <c r="F491" t="s">
        <v>649</v>
      </c>
      <c r="G491" t="s">
        <v>649</v>
      </c>
      <c r="H491" s="3">
        <v>167600320.13</v>
      </c>
      <c r="I491" s="3">
        <v>141360484.87</v>
      </c>
      <c r="J491" s="3">
        <v>29957.87</v>
      </c>
      <c r="K491" s="4">
        <v>8380016.0065000001</v>
      </c>
      <c r="L491" s="4">
        <v>0.2096846714964011</v>
      </c>
      <c r="M491" s="3">
        <v>3</v>
      </c>
      <c r="N491" t="s">
        <v>1104</v>
      </c>
      <c r="O491" t="s">
        <v>861</v>
      </c>
      <c r="P491" t="s">
        <v>1043</v>
      </c>
    </row>
    <row r="492" spans="1:16" x14ac:dyDescent="0.4">
      <c r="A492" s="2">
        <v>45898</v>
      </c>
      <c r="B492" t="s">
        <v>35</v>
      </c>
      <c r="C492" t="s">
        <v>649</v>
      </c>
      <c r="D492" s="3" t="str">
        <f t="shared" si="14"/>
        <v>PASS</v>
      </c>
      <c r="E492" s="3" t="str">
        <f t="shared" si="15"/>
        <v>PASS</v>
      </c>
      <c r="F492" t="s">
        <v>649</v>
      </c>
      <c r="G492" t="s">
        <v>649</v>
      </c>
      <c r="H492" s="3">
        <v>136103739.50999999</v>
      </c>
      <c r="I492" s="3">
        <v>122361022.73999999</v>
      </c>
      <c r="J492" s="3">
        <v>25298.39</v>
      </c>
      <c r="K492" s="4">
        <v>6805186.9754999997</v>
      </c>
      <c r="L492" s="4">
        <v>0.21559669820420721</v>
      </c>
      <c r="M492" s="3">
        <v>3</v>
      </c>
      <c r="N492" t="s">
        <v>1105</v>
      </c>
      <c r="O492" t="s">
        <v>831</v>
      </c>
      <c r="P492" t="s">
        <v>693</v>
      </c>
    </row>
    <row r="493" spans="1:16" x14ac:dyDescent="0.4">
      <c r="A493" s="2">
        <v>45898</v>
      </c>
      <c r="B493" t="s">
        <v>36</v>
      </c>
      <c r="C493" t="s">
        <v>649</v>
      </c>
      <c r="D493" s="3" t="str">
        <f t="shared" si="14"/>
        <v>PASS</v>
      </c>
      <c r="E493" s="3" t="str">
        <f t="shared" si="15"/>
        <v>PASS</v>
      </c>
      <c r="F493" t="s">
        <v>649</v>
      </c>
      <c r="G493" t="s">
        <v>649</v>
      </c>
      <c r="H493" s="3">
        <v>101719724.40000001</v>
      </c>
      <c r="I493" s="3">
        <v>91192059.210000008</v>
      </c>
      <c r="J493" s="3">
        <v>19134.98</v>
      </c>
      <c r="K493" s="4">
        <v>5085986.2200000007</v>
      </c>
      <c r="L493" s="4">
        <v>0.20901080234085931</v>
      </c>
      <c r="M493" s="3">
        <v>3</v>
      </c>
      <c r="N493" t="s">
        <v>1106</v>
      </c>
      <c r="O493" t="s">
        <v>861</v>
      </c>
      <c r="P493" t="s">
        <v>1056</v>
      </c>
    </row>
    <row r="494" spans="1:16" x14ac:dyDescent="0.4">
      <c r="A494" s="2">
        <v>45898</v>
      </c>
      <c r="B494" t="s">
        <v>37</v>
      </c>
      <c r="C494" t="s">
        <v>649</v>
      </c>
      <c r="D494" s="3" t="str">
        <f t="shared" si="14"/>
        <v>PASS</v>
      </c>
      <c r="E494" s="3" t="str">
        <f t="shared" si="15"/>
        <v>PASS</v>
      </c>
      <c r="F494" t="s">
        <v>649</v>
      </c>
      <c r="G494" t="s">
        <v>649</v>
      </c>
      <c r="H494" s="3">
        <v>40365222.93</v>
      </c>
      <c r="I494" s="3">
        <v>34556767.359999999</v>
      </c>
      <c r="J494" s="3">
        <v>7485.45</v>
      </c>
      <c r="K494" s="4">
        <v>2018261.1465</v>
      </c>
      <c r="L494" s="4">
        <v>0.20877217233509471</v>
      </c>
      <c r="M494" s="3">
        <v>3</v>
      </c>
      <c r="N494" t="s">
        <v>1107</v>
      </c>
      <c r="O494" t="s">
        <v>861</v>
      </c>
      <c r="P494" t="s">
        <v>1056</v>
      </c>
    </row>
    <row r="495" spans="1:16" x14ac:dyDescent="0.4">
      <c r="A495" s="2">
        <v>45898</v>
      </c>
      <c r="B495" t="s">
        <v>38</v>
      </c>
      <c r="C495" t="s">
        <v>649</v>
      </c>
      <c r="D495" s="3" t="str">
        <f t="shared" si="14"/>
        <v>PASS</v>
      </c>
      <c r="E495" s="3" t="str">
        <f t="shared" si="15"/>
        <v>PASS</v>
      </c>
      <c r="F495" t="s">
        <v>649</v>
      </c>
      <c r="G495" t="s">
        <v>649</v>
      </c>
      <c r="H495" s="3">
        <v>43423946.32</v>
      </c>
      <c r="I495" s="3">
        <v>37582933.739999987</v>
      </c>
      <c r="J495" s="3">
        <v>8027.1</v>
      </c>
      <c r="K495" s="4">
        <v>2171197.3160000001</v>
      </c>
      <c r="L495" s="4">
        <v>0.21527066221539939</v>
      </c>
      <c r="M495" s="3">
        <v>3</v>
      </c>
      <c r="N495" t="s">
        <v>1108</v>
      </c>
      <c r="O495" t="s">
        <v>831</v>
      </c>
      <c r="P495" t="s">
        <v>693</v>
      </c>
    </row>
    <row r="496" spans="1:16" x14ac:dyDescent="0.4">
      <c r="A496" s="2">
        <v>45898</v>
      </c>
      <c r="B496" t="s">
        <v>39</v>
      </c>
      <c r="C496" t="s">
        <v>649</v>
      </c>
      <c r="D496" s="3" t="str">
        <f t="shared" si="14"/>
        <v>PASS</v>
      </c>
      <c r="E496" s="3" t="str">
        <f t="shared" si="15"/>
        <v>PASS</v>
      </c>
      <c r="F496" t="s">
        <v>649</v>
      </c>
      <c r="G496" t="s">
        <v>649</v>
      </c>
      <c r="H496" s="3">
        <v>78785429.159999996</v>
      </c>
      <c r="I496" s="3">
        <v>70716601.209999993</v>
      </c>
      <c r="J496" s="3">
        <v>15194.83</v>
      </c>
      <c r="K496" s="4">
        <v>3939271.4580000001</v>
      </c>
      <c r="L496" s="4">
        <v>0.21148193786422001</v>
      </c>
      <c r="M496" s="3">
        <v>3</v>
      </c>
      <c r="N496" t="s">
        <v>1109</v>
      </c>
      <c r="O496" t="s">
        <v>790</v>
      </c>
      <c r="P496" t="s">
        <v>710</v>
      </c>
    </row>
    <row r="497" spans="1:16" x14ac:dyDescent="0.4">
      <c r="A497" s="2">
        <v>45901</v>
      </c>
      <c r="B497" t="s">
        <v>27</v>
      </c>
      <c r="C497" t="s">
        <v>649</v>
      </c>
      <c r="D497" s="3" t="e">
        <f t="shared" si="14"/>
        <v>#DIV/0!</v>
      </c>
      <c r="E497" s="3" t="str">
        <f t="shared" si="15"/>
        <v>PASS</v>
      </c>
      <c r="F497" t="s">
        <v>649</v>
      </c>
      <c r="G497" t="s">
        <v>649</v>
      </c>
      <c r="H497" s="3">
        <v>0</v>
      </c>
      <c r="I497" s="3">
        <v>0</v>
      </c>
      <c r="J497" s="3">
        <v>0</v>
      </c>
      <c r="K497" s="4">
        <v>0</v>
      </c>
      <c r="L497" s="4">
        <v>0</v>
      </c>
      <c r="M497" s="3">
        <v>0</v>
      </c>
      <c r="N497" t="s">
        <v>29</v>
      </c>
      <c r="O497" t="s">
        <v>650</v>
      </c>
      <c r="P497" t="s">
        <v>650</v>
      </c>
    </row>
    <row r="498" spans="1:16" x14ac:dyDescent="0.4">
      <c r="A498" s="2">
        <v>45901</v>
      </c>
      <c r="B498" t="s">
        <v>30</v>
      </c>
      <c r="C498" t="s">
        <v>649</v>
      </c>
      <c r="D498" s="3" t="e">
        <f t="shared" si="14"/>
        <v>#DIV/0!</v>
      </c>
      <c r="E498" s="3" t="str">
        <f t="shared" si="15"/>
        <v>PASS</v>
      </c>
      <c r="F498" t="s">
        <v>649</v>
      </c>
      <c r="G498" t="s">
        <v>649</v>
      </c>
      <c r="H498" s="3">
        <v>0</v>
      </c>
      <c r="I498" s="3">
        <v>0</v>
      </c>
      <c r="J498" s="3">
        <v>0</v>
      </c>
      <c r="K498" s="4">
        <v>0</v>
      </c>
      <c r="L498" s="4">
        <v>0</v>
      </c>
      <c r="M498" s="3">
        <v>0</v>
      </c>
      <c r="N498" t="s">
        <v>29</v>
      </c>
      <c r="O498" t="s">
        <v>650</v>
      </c>
      <c r="P498" t="s">
        <v>650</v>
      </c>
    </row>
    <row r="499" spans="1:16" x14ac:dyDescent="0.4">
      <c r="A499" s="2">
        <v>45901</v>
      </c>
      <c r="B499" t="s">
        <v>31</v>
      </c>
      <c r="C499" t="s">
        <v>649</v>
      </c>
      <c r="D499" s="3" t="e">
        <f t="shared" si="14"/>
        <v>#DIV/0!</v>
      </c>
      <c r="E499" s="3" t="str">
        <f t="shared" si="15"/>
        <v>PASS</v>
      </c>
      <c r="F499" t="s">
        <v>649</v>
      </c>
      <c r="G499" t="s">
        <v>649</v>
      </c>
      <c r="H499" s="3">
        <v>0</v>
      </c>
      <c r="I499" s="3">
        <v>0</v>
      </c>
      <c r="J499" s="3">
        <v>0</v>
      </c>
      <c r="K499" s="4">
        <v>0</v>
      </c>
      <c r="L499" s="4">
        <v>0</v>
      </c>
      <c r="M499" s="3">
        <v>0</v>
      </c>
      <c r="N499" t="s">
        <v>29</v>
      </c>
      <c r="O499" t="s">
        <v>650</v>
      </c>
      <c r="P499" t="s">
        <v>650</v>
      </c>
    </row>
    <row r="500" spans="1:16" x14ac:dyDescent="0.4">
      <c r="A500" s="2">
        <v>45901</v>
      </c>
      <c r="B500" t="s">
        <v>32</v>
      </c>
      <c r="C500" t="s">
        <v>649</v>
      </c>
      <c r="D500" s="3" t="e">
        <f t="shared" si="14"/>
        <v>#DIV/0!</v>
      </c>
      <c r="E500" s="3" t="str">
        <f t="shared" si="15"/>
        <v>PASS</v>
      </c>
      <c r="F500" t="s">
        <v>649</v>
      </c>
      <c r="G500" t="s">
        <v>649</v>
      </c>
      <c r="H500" s="3">
        <v>0</v>
      </c>
      <c r="I500" s="3">
        <v>0</v>
      </c>
      <c r="J500" s="3">
        <v>0</v>
      </c>
      <c r="K500" s="4">
        <v>0</v>
      </c>
      <c r="L500" s="4">
        <v>0</v>
      </c>
      <c r="M500" s="3">
        <v>0</v>
      </c>
      <c r="N500" t="s">
        <v>29</v>
      </c>
      <c r="O500" t="s">
        <v>650</v>
      </c>
      <c r="P500" t="s">
        <v>650</v>
      </c>
    </row>
    <row r="501" spans="1:16" x14ac:dyDescent="0.4">
      <c r="A501" s="2">
        <v>45901</v>
      </c>
      <c r="B501" t="s">
        <v>33</v>
      </c>
      <c r="C501" t="s">
        <v>649</v>
      </c>
      <c r="D501" s="3" t="e">
        <f t="shared" si="14"/>
        <v>#DIV/0!</v>
      </c>
      <c r="E501" s="3" t="str">
        <f t="shared" si="15"/>
        <v>PASS</v>
      </c>
      <c r="F501" t="s">
        <v>649</v>
      </c>
      <c r="G501" t="s">
        <v>649</v>
      </c>
      <c r="H501" s="3">
        <v>0</v>
      </c>
      <c r="I501" s="3">
        <v>0</v>
      </c>
      <c r="J501" s="3">
        <v>0</v>
      </c>
      <c r="K501" s="4">
        <v>0</v>
      </c>
      <c r="L501" s="4">
        <v>0</v>
      </c>
      <c r="M501" s="3">
        <v>0</v>
      </c>
      <c r="N501" t="s">
        <v>29</v>
      </c>
      <c r="O501" t="s">
        <v>650</v>
      </c>
      <c r="P501" t="s">
        <v>650</v>
      </c>
    </row>
    <row r="502" spans="1:16" x14ac:dyDescent="0.4">
      <c r="A502" s="2">
        <v>45901</v>
      </c>
      <c r="B502" t="s">
        <v>34</v>
      </c>
      <c r="C502" t="s">
        <v>649</v>
      </c>
      <c r="D502" s="3" t="e">
        <f t="shared" si="14"/>
        <v>#DIV/0!</v>
      </c>
      <c r="E502" s="3" t="str">
        <f t="shared" si="15"/>
        <v>PASS</v>
      </c>
      <c r="F502" t="s">
        <v>649</v>
      </c>
      <c r="G502" t="s">
        <v>649</v>
      </c>
      <c r="H502" s="3">
        <v>0</v>
      </c>
      <c r="I502" s="3">
        <v>0</v>
      </c>
      <c r="J502" s="3">
        <v>0</v>
      </c>
      <c r="K502" s="4">
        <v>0</v>
      </c>
      <c r="L502" s="4">
        <v>0</v>
      </c>
      <c r="M502" s="3">
        <v>0</v>
      </c>
      <c r="N502" t="s">
        <v>29</v>
      </c>
      <c r="O502" t="s">
        <v>650</v>
      </c>
      <c r="P502" t="s">
        <v>650</v>
      </c>
    </row>
    <row r="503" spans="1:16" x14ac:dyDescent="0.4">
      <c r="A503" s="2">
        <v>45901</v>
      </c>
      <c r="B503" t="s">
        <v>35</v>
      </c>
      <c r="C503" t="s">
        <v>649</v>
      </c>
      <c r="D503" s="3" t="e">
        <f t="shared" si="14"/>
        <v>#DIV/0!</v>
      </c>
      <c r="E503" s="3" t="str">
        <f t="shared" si="15"/>
        <v>PASS</v>
      </c>
      <c r="F503" t="s">
        <v>649</v>
      </c>
      <c r="G503" t="s">
        <v>649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3">
        <v>0</v>
      </c>
      <c r="N503" t="s">
        <v>29</v>
      </c>
      <c r="O503" t="s">
        <v>650</v>
      </c>
      <c r="P503" t="s">
        <v>650</v>
      </c>
    </row>
    <row r="504" spans="1:16" x14ac:dyDescent="0.4">
      <c r="A504" s="2">
        <v>45901</v>
      </c>
      <c r="B504" t="s">
        <v>36</v>
      </c>
      <c r="C504" t="s">
        <v>649</v>
      </c>
      <c r="D504" s="3" t="e">
        <f t="shared" si="14"/>
        <v>#DIV/0!</v>
      </c>
      <c r="E504" s="3" t="str">
        <f t="shared" si="15"/>
        <v>PASS</v>
      </c>
      <c r="F504" t="s">
        <v>649</v>
      </c>
      <c r="G504" t="s">
        <v>649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3">
        <v>0</v>
      </c>
      <c r="N504" t="s">
        <v>29</v>
      </c>
      <c r="O504" t="s">
        <v>650</v>
      </c>
      <c r="P504" t="s">
        <v>650</v>
      </c>
    </row>
    <row r="505" spans="1:16" x14ac:dyDescent="0.4">
      <c r="A505" s="2">
        <v>45901</v>
      </c>
      <c r="B505" t="s">
        <v>37</v>
      </c>
      <c r="C505" t="s">
        <v>649</v>
      </c>
      <c r="D505" s="3" t="e">
        <f t="shared" si="14"/>
        <v>#DIV/0!</v>
      </c>
      <c r="E505" s="3" t="str">
        <f t="shared" si="15"/>
        <v>PASS</v>
      </c>
      <c r="F505" t="s">
        <v>649</v>
      </c>
      <c r="G505" t="s">
        <v>649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3">
        <v>0</v>
      </c>
      <c r="N505" t="s">
        <v>29</v>
      </c>
      <c r="O505" t="s">
        <v>650</v>
      </c>
      <c r="P505" t="s">
        <v>650</v>
      </c>
    </row>
    <row r="506" spans="1:16" x14ac:dyDescent="0.4">
      <c r="A506" s="2">
        <v>45901</v>
      </c>
      <c r="B506" t="s">
        <v>38</v>
      </c>
      <c r="C506" t="s">
        <v>649</v>
      </c>
      <c r="D506" s="3" t="e">
        <f t="shared" si="14"/>
        <v>#DIV/0!</v>
      </c>
      <c r="E506" s="3" t="str">
        <f t="shared" si="15"/>
        <v>PASS</v>
      </c>
      <c r="F506" t="s">
        <v>649</v>
      </c>
      <c r="G506" t="s">
        <v>649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3">
        <v>0</v>
      </c>
      <c r="N506" t="s">
        <v>29</v>
      </c>
      <c r="O506" t="s">
        <v>650</v>
      </c>
      <c r="P506" t="s">
        <v>650</v>
      </c>
    </row>
    <row r="507" spans="1:16" x14ac:dyDescent="0.4">
      <c r="A507" s="2">
        <v>45901</v>
      </c>
      <c r="B507" t="s">
        <v>39</v>
      </c>
      <c r="C507" t="s">
        <v>649</v>
      </c>
      <c r="D507" s="3" t="e">
        <f t="shared" si="14"/>
        <v>#DIV/0!</v>
      </c>
      <c r="E507" s="3" t="str">
        <f t="shared" si="15"/>
        <v>PASS</v>
      </c>
      <c r="F507" t="s">
        <v>649</v>
      </c>
      <c r="G507" t="s">
        <v>649</v>
      </c>
      <c r="H507" s="3">
        <v>0</v>
      </c>
      <c r="I507" s="3">
        <v>0</v>
      </c>
      <c r="J507" s="3">
        <v>0</v>
      </c>
      <c r="K507" s="4">
        <v>0</v>
      </c>
      <c r="L507" s="4">
        <v>0</v>
      </c>
      <c r="M507" s="3">
        <v>0</v>
      </c>
      <c r="N507" t="s">
        <v>29</v>
      </c>
      <c r="O507" t="s">
        <v>650</v>
      </c>
      <c r="P507" t="s">
        <v>650</v>
      </c>
    </row>
    <row r="508" spans="1:16" x14ac:dyDescent="0.4">
      <c r="A508" s="2">
        <v>45902</v>
      </c>
      <c r="B508" t="s">
        <v>27</v>
      </c>
      <c r="C508" t="s">
        <v>649</v>
      </c>
      <c r="D508" s="3" t="str">
        <f t="shared" si="14"/>
        <v>PASS</v>
      </c>
      <c r="E508" s="3" t="str">
        <f t="shared" si="15"/>
        <v>PASS</v>
      </c>
      <c r="F508" t="s">
        <v>649</v>
      </c>
      <c r="G508" t="s">
        <v>649</v>
      </c>
      <c r="H508" s="3">
        <v>55285164.399999999</v>
      </c>
      <c r="I508" s="3">
        <v>49678251.619999997</v>
      </c>
      <c r="J508" s="3">
        <v>7281.12</v>
      </c>
      <c r="K508" s="4">
        <v>2764258.22</v>
      </c>
      <c r="L508" s="4">
        <v>0</v>
      </c>
      <c r="M508" s="3">
        <v>0</v>
      </c>
      <c r="N508" t="s">
        <v>29</v>
      </c>
      <c r="O508" t="s">
        <v>1028</v>
      </c>
      <c r="P508" t="s">
        <v>1039</v>
      </c>
    </row>
    <row r="509" spans="1:16" x14ac:dyDescent="0.4">
      <c r="A509" s="2">
        <v>45902</v>
      </c>
      <c r="B509" t="s">
        <v>30</v>
      </c>
      <c r="C509" t="s">
        <v>649</v>
      </c>
      <c r="D509" s="3" t="str">
        <f t="shared" si="14"/>
        <v>PASS</v>
      </c>
      <c r="E509" s="3" t="str">
        <f t="shared" si="15"/>
        <v>PASS</v>
      </c>
      <c r="F509" t="s">
        <v>649</v>
      </c>
      <c r="G509" t="s">
        <v>649</v>
      </c>
      <c r="H509" s="3">
        <v>34181669.020000003</v>
      </c>
      <c r="I509" s="3">
        <v>32890510.719999999</v>
      </c>
      <c r="J509" s="3">
        <v>4659.76</v>
      </c>
      <c r="K509" s="4">
        <v>1709083.4509999999</v>
      </c>
      <c r="L509" s="4">
        <v>0.22941822597328601</v>
      </c>
      <c r="M509" s="3">
        <v>3</v>
      </c>
      <c r="N509" t="s">
        <v>1110</v>
      </c>
      <c r="O509" t="s">
        <v>728</v>
      </c>
      <c r="P509" t="s">
        <v>1111</v>
      </c>
    </row>
    <row r="510" spans="1:16" x14ac:dyDescent="0.4">
      <c r="A510" s="2">
        <v>45902</v>
      </c>
      <c r="B510" t="s">
        <v>31</v>
      </c>
      <c r="C510" t="s">
        <v>649</v>
      </c>
      <c r="D510" s="3" t="str">
        <f t="shared" si="14"/>
        <v>PASS</v>
      </c>
      <c r="E510" s="3" t="str">
        <f t="shared" si="15"/>
        <v>PASS</v>
      </c>
      <c r="F510" t="s">
        <v>649</v>
      </c>
      <c r="G510" t="s">
        <v>649</v>
      </c>
      <c r="H510" s="3">
        <v>23173047.809999999</v>
      </c>
      <c r="I510" s="3">
        <v>21660148.109999999</v>
      </c>
      <c r="J510" s="3">
        <v>3093.24</v>
      </c>
      <c r="K510" s="4">
        <v>1158652.3905</v>
      </c>
      <c r="L510" s="4">
        <v>0.22795545299754261</v>
      </c>
      <c r="M510" s="3">
        <v>3</v>
      </c>
      <c r="N510" t="s">
        <v>1112</v>
      </c>
      <c r="O510" t="s">
        <v>790</v>
      </c>
      <c r="P510" t="s">
        <v>1113</v>
      </c>
    </row>
    <row r="511" spans="1:16" x14ac:dyDescent="0.4">
      <c r="A511" s="2">
        <v>45902</v>
      </c>
      <c r="B511" t="s">
        <v>32</v>
      </c>
      <c r="C511" t="s">
        <v>649</v>
      </c>
      <c r="D511" s="3" t="str">
        <f t="shared" si="14"/>
        <v>PASS</v>
      </c>
      <c r="E511" s="3" t="str">
        <f t="shared" si="15"/>
        <v>PASS</v>
      </c>
      <c r="F511" t="s">
        <v>649</v>
      </c>
      <c r="G511" t="s">
        <v>649</v>
      </c>
      <c r="H511" s="3">
        <v>24458059.949999999</v>
      </c>
      <c r="I511" s="3">
        <v>20675150.789999999</v>
      </c>
      <c r="J511" s="3">
        <v>2981.84</v>
      </c>
      <c r="K511" s="4">
        <v>1222902.9975000001</v>
      </c>
      <c r="L511" s="4">
        <v>0.22248322528645439</v>
      </c>
      <c r="M511" s="3">
        <v>3</v>
      </c>
      <c r="N511" t="s">
        <v>1114</v>
      </c>
      <c r="O511" t="s">
        <v>1115</v>
      </c>
      <c r="P511" t="s">
        <v>861</v>
      </c>
    </row>
    <row r="512" spans="1:16" x14ac:dyDescent="0.4">
      <c r="A512" s="2">
        <v>45902</v>
      </c>
      <c r="B512" t="s">
        <v>33</v>
      </c>
      <c r="C512" t="s">
        <v>649</v>
      </c>
      <c r="D512" s="3" t="str">
        <f t="shared" si="14"/>
        <v>PASS</v>
      </c>
      <c r="E512" s="3" t="str">
        <f t="shared" si="15"/>
        <v>PASS</v>
      </c>
      <c r="F512" t="s">
        <v>649</v>
      </c>
      <c r="G512" t="s">
        <v>649</v>
      </c>
      <c r="H512" s="3">
        <v>15176984.4</v>
      </c>
      <c r="I512" s="3">
        <v>13697035.17</v>
      </c>
      <c r="J512" s="3">
        <v>1968.7</v>
      </c>
      <c r="K512" s="4">
        <v>758849.22000000009</v>
      </c>
      <c r="L512" s="4">
        <v>0.22358678943467841</v>
      </c>
      <c r="M512" s="3">
        <v>3</v>
      </c>
      <c r="N512" t="s">
        <v>1116</v>
      </c>
      <c r="O512" t="s">
        <v>1113</v>
      </c>
      <c r="P512" t="s">
        <v>873</v>
      </c>
    </row>
    <row r="513" spans="1:16" x14ac:dyDescent="0.4">
      <c r="A513" s="2">
        <v>45902</v>
      </c>
      <c r="B513" t="s">
        <v>34</v>
      </c>
      <c r="C513" t="s">
        <v>649</v>
      </c>
      <c r="D513" s="3" t="str">
        <f t="shared" si="14"/>
        <v>PASS</v>
      </c>
      <c r="E513" s="3" t="str">
        <f t="shared" si="15"/>
        <v>PASS</v>
      </c>
      <c r="F513" t="s">
        <v>649</v>
      </c>
      <c r="G513" t="s">
        <v>649</v>
      </c>
      <c r="H513" s="3">
        <v>165374595.72</v>
      </c>
      <c r="I513" s="3">
        <v>143149808.97999999</v>
      </c>
      <c r="J513" s="3">
        <v>20531.16</v>
      </c>
      <c r="K513" s="4">
        <v>8268729.7860000003</v>
      </c>
      <c r="L513" s="4">
        <v>0.2265603312221203</v>
      </c>
      <c r="M513" s="3">
        <v>3</v>
      </c>
      <c r="N513" t="s">
        <v>1117</v>
      </c>
      <c r="O513" t="s">
        <v>1113</v>
      </c>
      <c r="P513" t="s">
        <v>861</v>
      </c>
    </row>
    <row r="514" spans="1:16" x14ac:dyDescent="0.4">
      <c r="A514" s="2">
        <v>45902</v>
      </c>
      <c r="B514" t="s">
        <v>35</v>
      </c>
      <c r="C514" t="s">
        <v>649</v>
      </c>
      <c r="D514" s="3" t="str">
        <f t="shared" ref="D514:D577" si="16">IF(I514/H514&gt;=0.5,"PASS","FAIL")</f>
        <v>PASS</v>
      </c>
      <c r="E514" s="3" t="str">
        <f t="shared" ref="E514:E577" si="17">IF(L514&lt;=0.5,"PASS","FAIL")</f>
        <v>PASS</v>
      </c>
      <c r="F514" t="s">
        <v>649</v>
      </c>
      <c r="G514" t="s">
        <v>649</v>
      </c>
      <c r="H514" s="3">
        <v>134115805.76000001</v>
      </c>
      <c r="I514" s="3">
        <v>123940688.62</v>
      </c>
      <c r="J514" s="3">
        <v>17288.72</v>
      </c>
      <c r="K514" s="4">
        <v>6705790.2880000006</v>
      </c>
      <c r="L514" s="4">
        <v>0.23316811933968271</v>
      </c>
      <c r="M514" s="3">
        <v>3</v>
      </c>
      <c r="N514" t="s">
        <v>1118</v>
      </c>
      <c r="O514" t="s">
        <v>724</v>
      </c>
      <c r="P514" t="s">
        <v>1094</v>
      </c>
    </row>
    <row r="515" spans="1:16" x14ac:dyDescent="0.4">
      <c r="A515" s="2">
        <v>45902</v>
      </c>
      <c r="B515" t="s">
        <v>36</v>
      </c>
      <c r="C515" t="s">
        <v>649</v>
      </c>
      <c r="D515" s="3" t="str">
        <f t="shared" si="16"/>
        <v>PASS</v>
      </c>
      <c r="E515" s="3" t="str">
        <f t="shared" si="17"/>
        <v>PASS</v>
      </c>
      <c r="F515" t="s">
        <v>649</v>
      </c>
      <c r="G515" t="s">
        <v>649</v>
      </c>
      <c r="H515" s="3">
        <v>100276144.08</v>
      </c>
      <c r="I515" s="3">
        <v>92336822.310000002</v>
      </c>
      <c r="J515" s="3">
        <v>13289.06</v>
      </c>
      <c r="K515" s="4">
        <v>5013807.2039999999</v>
      </c>
      <c r="L515" s="4">
        <v>0.22554764044038181</v>
      </c>
      <c r="M515" s="3">
        <v>3</v>
      </c>
      <c r="N515" t="s">
        <v>1119</v>
      </c>
      <c r="O515" t="s">
        <v>1115</v>
      </c>
      <c r="P515" t="s">
        <v>861</v>
      </c>
    </row>
    <row r="516" spans="1:16" x14ac:dyDescent="0.4">
      <c r="A516" s="2">
        <v>45902</v>
      </c>
      <c r="B516" t="s">
        <v>37</v>
      </c>
      <c r="C516" t="s">
        <v>649</v>
      </c>
      <c r="D516" s="3" t="str">
        <f t="shared" si="16"/>
        <v>PASS</v>
      </c>
      <c r="E516" s="3" t="str">
        <f t="shared" si="17"/>
        <v>PASS</v>
      </c>
      <c r="F516" t="s">
        <v>649</v>
      </c>
      <c r="G516" t="s">
        <v>649</v>
      </c>
      <c r="H516" s="3">
        <v>39894241.350000001</v>
      </c>
      <c r="I516" s="3">
        <v>34895139.530000001</v>
      </c>
      <c r="J516" s="3">
        <v>5044.6000000000004</v>
      </c>
      <c r="K516" s="4">
        <v>1994712.0674999999</v>
      </c>
      <c r="L516" s="4">
        <v>0.22170587776940121</v>
      </c>
      <c r="M516" s="3">
        <v>3</v>
      </c>
      <c r="N516" t="s">
        <v>1120</v>
      </c>
      <c r="O516" t="s">
        <v>1115</v>
      </c>
      <c r="P516" t="s">
        <v>861</v>
      </c>
    </row>
    <row r="517" spans="1:16" x14ac:dyDescent="0.4">
      <c r="A517" s="2">
        <v>45902</v>
      </c>
      <c r="B517" t="s">
        <v>38</v>
      </c>
      <c r="C517" t="s">
        <v>649</v>
      </c>
      <c r="D517" s="3" t="str">
        <f t="shared" si="16"/>
        <v>PASS</v>
      </c>
      <c r="E517" s="3" t="str">
        <f t="shared" si="17"/>
        <v>PASS</v>
      </c>
      <c r="F517" t="s">
        <v>649</v>
      </c>
      <c r="G517" t="s">
        <v>649</v>
      </c>
      <c r="H517" s="3">
        <v>42899424.770000003</v>
      </c>
      <c r="I517" s="3">
        <v>37953036.900000013</v>
      </c>
      <c r="J517" s="3">
        <v>5319.6</v>
      </c>
      <c r="K517" s="4">
        <v>2144971.2385</v>
      </c>
      <c r="L517" s="4">
        <v>0.22896133560267459</v>
      </c>
      <c r="M517" s="3">
        <v>3</v>
      </c>
      <c r="N517" t="s">
        <v>1121</v>
      </c>
      <c r="O517" t="s">
        <v>737</v>
      </c>
      <c r="P517" t="s">
        <v>1122</v>
      </c>
    </row>
    <row r="518" spans="1:16" x14ac:dyDescent="0.4">
      <c r="A518" s="2">
        <v>45902</v>
      </c>
      <c r="B518" t="s">
        <v>39</v>
      </c>
      <c r="C518" t="s">
        <v>649</v>
      </c>
      <c r="D518" s="3" t="str">
        <f t="shared" si="16"/>
        <v>PASS</v>
      </c>
      <c r="E518" s="3" t="str">
        <f t="shared" si="17"/>
        <v>PASS</v>
      </c>
      <c r="F518" t="s">
        <v>649</v>
      </c>
      <c r="G518" t="s">
        <v>649</v>
      </c>
      <c r="H518" s="3">
        <v>77788720.569999993</v>
      </c>
      <c r="I518" s="3">
        <v>71385507.129999995</v>
      </c>
      <c r="J518" s="3">
        <v>10177.879999999999</v>
      </c>
      <c r="K518" s="4">
        <v>3889436.0285</v>
      </c>
      <c r="L518" s="4">
        <v>0.22513414987031971</v>
      </c>
      <c r="M518" s="3">
        <v>3</v>
      </c>
      <c r="N518" t="s">
        <v>1123</v>
      </c>
      <c r="O518" t="s">
        <v>1124</v>
      </c>
      <c r="P518" t="s">
        <v>710</v>
      </c>
    </row>
    <row r="519" spans="1:16" x14ac:dyDescent="0.4">
      <c r="A519" s="2">
        <v>45903</v>
      </c>
      <c r="B519" t="s">
        <v>27</v>
      </c>
      <c r="C519" t="s">
        <v>649</v>
      </c>
      <c r="D519" s="3" t="str">
        <f t="shared" si="16"/>
        <v>PASS</v>
      </c>
      <c r="E519" s="3" t="str">
        <f t="shared" si="17"/>
        <v>PASS</v>
      </c>
      <c r="F519" t="s">
        <v>649</v>
      </c>
      <c r="G519" t="s">
        <v>649</v>
      </c>
      <c r="H519" s="3">
        <v>55252204.039999999</v>
      </c>
      <c r="I519" s="3">
        <v>49757861.140000001</v>
      </c>
      <c r="J519" s="3">
        <v>3634.09</v>
      </c>
      <c r="K519" s="4">
        <v>2762610.202</v>
      </c>
      <c r="L519" s="4">
        <v>0</v>
      </c>
      <c r="M519" s="3">
        <v>0</v>
      </c>
      <c r="N519" t="s">
        <v>29</v>
      </c>
      <c r="O519" t="s">
        <v>1064</v>
      </c>
      <c r="P519" t="s">
        <v>1125</v>
      </c>
    </row>
    <row r="520" spans="1:16" x14ac:dyDescent="0.4">
      <c r="A520" s="2">
        <v>45903</v>
      </c>
      <c r="B520" t="s">
        <v>30</v>
      </c>
      <c r="C520" t="s">
        <v>649</v>
      </c>
      <c r="D520" s="3" t="str">
        <f t="shared" si="16"/>
        <v>PASS</v>
      </c>
      <c r="E520" s="3" t="str">
        <f t="shared" si="17"/>
        <v>PASS</v>
      </c>
      <c r="F520" t="s">
        <v>649</v>
      </c>
      <c r="G520" t="s">
        <v>649</v>
      </c>
      <c r="H520" s="3">
        <v>34251284</v>
      </c>
      <c r="I520" s="3">
        <v>32428398.280000001</v>
      </c>
      <c r="J520" s="3">
        <v>2320.0300000000002</v>
      </c>
      <c r="K520" s="4">
        <v>1712564.2</v>
      </c>
      <c r="L520" s="4">
        <v>0.21239961539901819</v>
      </c>
      <c r="M520" s="3">
        <v>3</v>
      </c>
      <c r="N520" t="s">
        <v>1126</v>
      </c>
      <c r="O520" t="s">
        <v>1127</v>
      </c>
      <c r="P520" t="s">
        <v>710</v>
      </c>
    </row>
    <row r="521" spans="1:16" x14ac:dyDescent="0.4">
      <c r="A521" s="2">
        <v>45903</v>
      </c>
      <c r="B521" t="s">
        <v>31</v>
      </c>
      <c r="C521" t="s">
        <v>649</v>
      </c>
      <c r="D521" s="3" t="str">
        <f t="shared" si="16"/>
        <v>PASS</v>
      </c>
      <c r="E521" s="3" t="str">
        <f t="shared" si="17"/>
        <v>PASS</v>
      </c>
      <c r="F521" t="s">
        <v>649</v>
      </c>
      <c r="G521" t="s">
        <v>649</v>
      </c>
      <c r="H521" s="3">
        <v>23208868.18</v>
      </c>
      <c r="I521" s="3">
        <v>21376651.800000001</v>
      </c>
      <c r="J521" s="3">
        <v>1541.09</v>
      </c>
      <c r="K521" s="4">
        <v>1160443.409</v>
      </c>
      <c r="L521" s="4">
        <v>0.2109483142788364</v>
      </c>
      <c r="M521" s="3">
        <v>3</v>
      </c>
      <c r="N521" t="s">
        <v>1128</v>
      </c>
      <c r="O521" t="s">
        <v>1129</v>
      </c>
      <c r="P521" t="s">
        <v>873</v>
      </c>
    </row>
    <row r="522" spans="1:16" x14ac:dyDescent="0.4">
      <c r="A522" s="2">
        <v>45903</v>
      </c>
      <c r="B522" t="s">
        <v>32</v>
      </c>
      <c r="C522" t="s">
        <v>649</v>
      </c>
      <c r="D522" s="3" t="str">
        <f t="shared" si="16"/>
        <v>PASS</v>
      </c>
      <c r="E522" s="3" t="str">
        <f t="shared" si="17"/>
        <v>PASS</v>
      </c>
      <c r="F522" t="s">
        <v>649</v>
      </c>
      <c r="G522" t="s">
        <v>649</v>
      </c>
      <c r="H522" s="3">
        <v>24498363.82</v>
      </c>
      <c r="I522" s="3">
        <v>20488756.870000001</v>
      </c>
      <c r="J522" s="3">
        <v>1485.71</v>
      </c>
      <c r="K522" s="4">
        <v>1224918.1910000001</v>
      </c>
      <c r="L522" s="4">
        <v>0.20963540064127881</v>
      </c>
      <c r="M522" s="3">
        <v>3</v>
      </c>
      <c r="N522" t="s">
        <v>1130</v>
      </c>
      <c r="O522" t="s">
        <v>1131</v>
      </c>
      <c r="P522" t="s">
        <v>861</v>
      </c>
    </row>
    <row r="523" spans="1:16" x14ac:dyDescent="0.4">
      <c r="A523" s="2">
        <v>45903</v>
      </c>
      <c r="B523" t="s">
        <v>33</v>
      </c>
      <c r="C523" t="s">
        <v>649</v>
      </c>
      <c r="D523" s="3" t="str">
        <f t="shared" si="16"/>
        <v>PASS</v>
      </c>
      <c r="E523" s="3" t="str">
        <f t="shared" si="17"/>
        <v>PASS</v>
      </c>
      <c r="F523" t="s">
        <v>649</v>
      </c>
      <c r="G523" t="s">
        <v>649</v>
      </c>
      <c r="H523" s="3">
        <v>15208118.17</v>
      </c>
      <c r="I523" s="3">
        <v>13580916.82</v>
      </c>
      <c r="J523" s="3">
        <v>980.73</v>
      </c>
      <c r="K523" s="4">
        <v>760405.90850000002</v>
      </c>
      <c r="L523" s="4">
        <v>0.2105242856901747</v>
      </c>
      <c r="M523" s="3">
        <v>3</v>
      </c>
      <c r="N523" t="s">
        <v>1132</v>
      </c>
      <c r="O523" t="s">
        <v>1133</v>
      </c>
      <c r="P523" t="s">
        <v>873</v>
      </c>
    </row>
    <row r="524" spans="1:16" x14ac:dyDescent="0.4">
      <c r="A524" s="2">
        <v>45903</v>
      </c>
      <c r="B524" t="s">
        <v>34</v>
      </c>
      <c r="C524" t="s">
        <v>649</v>
      </c>
      <c r="D524" s="3" t="str">
        <f t="shared" si="16"/>
        <v>PASS</v>
      </c>
      <c r="E524" s="3" t="str">
        <f t="shared" si="17"/>
        <v>PASS</v>
      </c>
      <c r="F524" t="s">
        <v>649</v>
      </c>
      <c r="G524" t="s">
        <v>649</v>
      </c>
      <c r="H524" s="3">
        <v>165594256.33000001</v>
      </c>
      <c r="I524" s="3">
        <v>141330107.03</v>
      </c>
      <c r="J524" s="3">
        <v>10234.39</v>
      </c>
      <c r="K524" s="4">
        <v>8279712.8165000007</v>
      </c>
      <c r="L524" s="4">
        <v>0.20998247508468609</v>
      </c>
      <c r="M524" s="3">
        <v>3</v>
      </c>
      <c r="N524" t="s">
        <v>1134</v>
      </c>
      <c r="O524" t="s">
        <v>1133</v>
      </c>
      <c r="P524" t="s">
        <v>861</v>
      </c>
    </row>
    <row r="525" spans="1:16" x14ac:dyDescent="0.4">
      <c r="A525" s="2">
        <v>45903</v>
      </c>
      <c r="B525" t="s">
        <v>35</v>
      </c>
      <c r="C525" t="s">
        <v>649</v>
      </c>
      <c r="D525" s="3" t="str">
        <f t="shared" si="16"/>
        <v>PASS</v>
      </c>
      <c r="E525" s="3" t="str">
        <f t="shared" si="17"/>
        <v>PASS</v>
      </c>
      <c r="F525" t="s">
        <v>649</v>
      </c>
      <c r="G525" t="s">
        <v>649</v>
      </c>
      <c r="H525" s="3">
        <v>134381525.05000001</v>
      </c>
      <c r="I525" s="3">
        <v>122364788.14</v>
      </c>
      <c r="J525" s="3">
        <v>8609.6299999999992</v>
      </c>
      <c r="K525" s="4">
        <v>6719076.2525000013</v>
      </c>
      <c r="L525" s="4">
        <v>0.21596823920294839</v>
      </c>
      <c r="M525" s="3">
        <v>3</v>
      </c>
      <c r="N525" t="s">
        <v>1135</v>
      </c>
      <c r="O525" t="s">
        <v>1124</v>
      </c>
      <c r="P525" t="s">
        <v>693</v>
      </c>
    </row>
    <row r="526" spans="1:16" x14ac:dyDescent="0.4">
      <c r="A526" s="2">
        <v>45903</v>
      </c>
      <c r="B526" t="s">
        <v>36</v>
      </c>
      <c r="C526" t="s">
        <v>649</v>
      </c>
      <c r="D526" s="3" t="str">
        <f t="shared" si="16"/>
        <v>PASS</v>
      </c>
      <c r="E526" s="3" t="str">
        <f t="shared" si="17"/>
        <v>PASS</v>
      </c>
      <c r="F526" t="s">
        <v>649</v>
      </c>
      <c r="G526" t="s">
        <v>649</v>
      </c>
      <c r="H526" s="3">
        <v>100412704.94</v>
      </c>
      <c r="I526" s="3">
        <v>91177308.249999985</v>
      </c>
      <c r="J526" s="3">
        <v>6623.79</v>
      </c>
      <c r="K526" s="4">
        <v>5020635.2470000004</v>
      </c>
      <c r="L526" s="4">
        <v>0.20933789727248089</v>
      </c>
      <c r="M526" s="3">
        <v>3</v>
      </c>
      <c r="N526" t="s">
        <v>1136</v>
      </c>
      <c r="O526" t="s">
        <v>1131</v>
      </c>
      <c r="P526" t="s">
        <v>861</v>
      </c>
    </row>
    <row r="527" spans="1:16" x14ac:dyDescent="0.4">
      <c r="A527" s="2">
        <v>45903</v>
      </c>
      <c r="B527" t="s">
        <v>37</v>
      </c>
      <c r="C527" t="s">
        <v>649</v>
      </c>
      <c r="D527" s="3" t="str">
        <f t="shared" si="16"/>
        <v>PASS</v>
      </c>
      <c r="E527" s="3" t="str">
        <f t="shared" si="17"/>
        <v>PASS</v>
      </c>
      <c r="F527" t="s">
        <v>649</v>
      </c>
      <c r="G527" t="s">
        <v>649</v>
      </c>
      <c r="H527" s="3">
        <v>39964799.130000003</v>
      </c>
      <c r="I527" s="3">
        <v>34569205.719999999</v>
      </c>
      <c r="J527" s="3">
        <v>2513.54</v>
      </c>
      <c r="K527" s="4">
        <v>1998239.9565000001</v>
      </c>
      <c r="L527" s="4">
        <v>0.20905992775242621</v>
      </c>
      <c r="M527" s="3">
        <v>3</v>
      </c>
      <c r="N527" t="s">
        <v>1137</v>
      </c>
      <c r="O527" t="s">
        <v>861</v>
      </c>
      <c r="P527" t="s">
        <v>974</v>
      </c>
    </row>
    <row r="528" spans="1:16" x14ac:dyDescent="0.4">
      <c r="A528" s="2">
        <v>45903</v>
      </c>
      <c r="B528" t="s">
        <v>38</v>
      </c>
      <c r="C528" t="s">
        <v>649</v>
      </c>
      <c r="D528" s="3" t="str">
        <f t="shared" si="16"/>
        <v>PASS</v>
      </c>
      <c r="E528" s="3" t="str">
        <f t="shared" si="17"/>
        <v>PASS</v>
      </c>
      <c r="F528" t="s">
        <v>649</v>
      </c>
      <c r="G528" t="s">
        <v>649</v>
      </c>
      <c r="H528" s="3">
        <v>42991751.710000001</v>
      </c>
      <c r="I528" s="3">
        <v>37589949.850000001</v>
      </c>
      <c r="J528" s="3">
        <v>2648.48</v>
      </c>
      <c r="K528" s="4">
        <v>2149587.5855</v>
      </c>
      <c r="L528" s="4">
        <v>0.21563086520582131</v>
      </c>
      <c r="M528" s="3">
        <v>3</v>
      </c>
      <c r="N528" t="s">
        <v>1138</v>
      </c>
      <c r="O528" t="s">
        <v>1113</v>
      </c>
      <c r="P528" t="s">
        <v>693</v>
      </c>
    </row>
    <row r="529" spans="1:16" x14ac:dyDescent="0.4">
      <c r="A529" s="2">
        <v>45903</v>
      </c>
      <c r="B529" t="s">
        <v>39</v>
      </c>
      <c r="C529" t="s">
        <v>649</v>
      </c>
      <c r="D529" s="3" t="str">
        <f t="shared" si="16"/>
        <v>PASS</v>
      </c>
      <c r="E529" s="3" t="str">
        <f t="shared" si="17"/>
        <v>PASS</v>
      </c>
      <c r="F529" t="s">
        <v>649</v>
      </c>
      <c r="G529" t="s">
        <v>649</v>
      </c>
      <c r="H529" s="3">
        <v>77960727.480000004</v>
      </c>
      <c r="I529" s="3">
        <v>70664214.299999982</v>
      </c>
      <c r="J529" s="3">
        <v>5067.92</v>
      </c>
      <c r="K529" s="4">
        <v>3898036.3739999998</v>
      </c>
      <c r="L529" s="4">
        <v>0.21182265559345179</v>
      </c>
      <c r="M529" s="3">
        <v>3</v>
      </c>
      <c r="N529" t="s">
        <v>1139</v>
      </c>
      <c r="O529" t="s">
        <v>1129</v>
      </c>
      <c r="P529" t="s">
        <v>710</v>
      </c>
    </row>
    <row r="530" spans="1:16" x14ac:dyDescent="0.4">
      <c r="A530" s="2">
        <v>45904</v>
      </c>
      <c r="B530" t="s">
        <v>27</v>
      </c>
      <c r="C530" t="s">
        <v>649</v>
      </c>
      <c r="D530" s="3" t="str">
        <f t="shared" si="16"/>
        <v>PASS</v>
      </c>
      <c r="E530" s="3" t="str">
        <f t="shared" si="17"/>
        <v>PASS</v>
      </c>
      <c r="F530" t="s">
        <v>649</v>
      </c>
      <c r="G530" t="s">
        <v>649</v>
      </c>
      <c r="H530" s="3">
        <v>54974433.68</v>
      </c>
      <c r="I530" s="3">
        <v>50646481.290000007</v>
      </c>
      <c r="J530" s="3">
        <v>3631.43</v>
      </c>
      <c r="K530" s="4">
        <v>2748721.6839999999</v>
      </c>
      <c r="L530" s="4">
        <v>0</v>
      </c>
      <c r="M530" s="3">
        <v>0</v>
      </c>
      <c r="N530" t="s">
        <v>29</v>
      </c>
      <c r="O530" t="s">
        <v>1140</v>
      </c>
      <c r="P530" t="s">
        <v>1141</v>
      </c>
    </row>
    <row r="531" spans="1:16" x14ac:dyDescent="0.4">
      <c r="A531" s="2">
        <v>45904</v>
      </c>
      <c r="B531" t="s">
        <v>30</v>
      </c>
      <c r="C531" t="s">
        <v>649</v>
      </c>
      <c r="D531" s="3" t="str">
        <f t="shared" si="16"/>
        <v>PASS</v>
      </c>
      <c r="E531" s="3" t="str">
        <f t="shared" si="17"/>
        <v>PASS</v>
      </c>
      <c r="F531" t="s">
        <v>649</v>
      </c>
      <c r="G531" t="s">
        <v>649</v>
      </c>
      <c r="H531" s="3">
        <v>34416379.479999997</v>
      </c>
      <c r="I531" s="3">
        <v>32764235.09</v>
      </c>
      <c r="J531" s="3">
        <v>2324.92</v>
      </c>
      <c r="K531" s="4">
        <v>1720818.9739999999</v>
      </c>
      <c r="L531" s="4">
        <v>0.21316799500424879</v>
      </c>
      <c r="M531" s="3">
        <v>3</v>
      </c>
      <c r="N531" t="s">
        <v>1142</v>
      </c>
      <c r="O531" t="s">
        <v>1133</v>
      </c>
      <c r="P531" t="s">
        <v>710</v>
      </c>
    </row>
    <row r="532" spans="1:16" x14ac:dyDescent="0.4">
      <c r="A532" s="2">
        <v>45904</v>
      </c>
      <c r="B532" t="s">
        <v>31</v>
      </c>
      <c r="C532" t="s">
        <v>649</v>
      </c>
      <c r="D532" s="3" t="str">
        <f t="shared" si="16"/>
        <v>PASS</v>
      </c>
      <c r="E532" s="3" t="str">
        <f t="shared" si="17"/>
        <v>PASS</v>
      </c>
      <c r="F532" t="s">
        <v>649</v>
      </c>
      <c r="G532" t="s">
        <v>649</v>
      </c>
      <c r="H532" s="3">
        <v>23302338.539999999</v>
      </c>
      <c r="I532" s="3">
        <v>21592258.719999999</v>
      </c>
      <c r="J532" s="3">
        <v>1543.58</v>
      </c>
      <c r="K532" s="4">
        <v>1165116.9269999999</v>
      </c>
      <c r="L532" s="4">
        <v>0.21185671500456901</v>
      </c>
      <c r="M532" s="3">
        <v>3</v>
      </c>
      <c r="N532" t="s">
        <v>1139</v>
      </c>
      <c r="O532" t="s">
        <v>1131</v>
      </c>
      <c r="P532" t="s">
        <v>873</v>
      </c>
    </row>
    <row r="533" spans="1:16" x14ac:dyDescent="0.4">
      <c r="A533" s="2">
        <v>45904</v>
      </c>
      <c r="B533" t="s">
        <v>32</v>
      </c>
      <c r="C533" t="s">
        <v>649</v>
      </c>
      <c r="D533" s="3" t="str">
        <f t="shared" si="16"/>
        <v>PASS</v>
      </c>
      <c r="E533" s="3" t="str">
        <f t="shared" si="17"/>
        <v>PASS</v>
      </c>
      <c r="F533" t="s">
        <v>649</v>
      </c>
      <c r="G533" t="s">
        <v>649</v>
      </c>
      <c r="H533" s="3">
        <v>24587493.370000001</v>
      </c>
      <c r="I533" s="3">
        <v>20711296.390000001</v>
      </c>
      <c r="J533" s="3">
        <v>1488.53</v>
      </c>
      <c r="K533" s="4">
        <v>1229374.6684999999</v>
      </c>
      <c r="L533" s="4">
        <v>0.21072205979515671</v>
      </c>
      <c r="M533" s="3">
        <v>3</v>
      </c>
      <c r="N533" t="s">
        <v>1143</v>
      </c>
      <c r="O533" t="s">
        <v>1144</v>
      </c>
      <c r="P533" t="s">
        <v>861</v>
      </c>
    </row>
    <row r="534" spans="1:16" x14ac:dyDescent="0.4">
      <c r="A534" s="2">
        <v>45904</v>
      </c>
      <c r="B534" t="s">
        <v>33</v>
      </c>
      <c r="C534" t="s">
        <v>649</v>
      </c>
      <c r="D534" s="3" t="str">
        <f t="shared" si="16"/>
        <v>PASS</v>
      </c>
      <c r="E534" s="3" t="str">
        <f t="shared" si="17"/>
        <v>PASS</v>
      </c>
      <c r="F534" t="s">
        <v>649</v>
      </c>
      <c r="G534" t="s">
        <v>649</v>
      </c>
      <c r="H534" s="3">
        <v>15269245.98</v>
      </c>
      <c r="I534" s="3">
        <v>13711923.119999999</v>
      </c>
      <c r="J534" s="3">
        <v>982.92</v>
      </c>
      <c r="K534" s="4">
        <v>763462.29900000012</v>
      </c>
      <c r="L534" s="4">
        <v>0.2112663350727649</v>
      </c>
      <c r="M534" s="3">
        <v>3</v>
      </c>
      <c r="N534" t="s">
        <v>1145</v>
      </c>
      <c r="O534" t="s">
        <v>1131</v>
      </c>
      <c r="P534" t="s">
        <v>861</v>
      </c>
    </row>
    <row r="535" spans="1:16" x14ac:dyDescent="0.4">
      <c r="A535" s="2">
        <v>45904</v>
      </c>
      <c r="B535" t="s">
        <v>34</v>
      </c>
      <c r="C535" t="s">
        <v>649</v>
      </c>
      <c r="D535" s="3" t="str">
        <f t="shared" si="16"/>
        <v>PASS</v>
      </c>
      <c r="E535" s="3" t="str">
        <f t="shared" si="17"/>
        <v>PASS</v>
      </c>
      <c r="F535" t="s">
        <v>649</v>
      </c>
      <c r="G535" t="s">
        <v>649</v>
      </c>
      <c r="H535" s="3">
        <v>166134692.38</v>
      </c>
      <c r="I535" s="3">
        <v>142777848.66</v>
      </c>
      <c r="J535" s="3">
        <v>10249.59</v>
      </c>
      <c r="K535" s="4">
        <v>8306734.6189999999</v>
      </c>
      <c r="L535" s="4">
        <v>0.21099778241956349</v>
      </c>
      <c r="M535" s="3">
        <v>3</v>
      </c>
      <c r="N535" t="s">
        <v>1128</v>
      </c>
      <c r="O535" t="s">
        <v>1131</v>
      </c>
      <c r="P535" t="s">
        <v>861</v>
      </c>
    </row>
    <row r="536" spans="1:16" x14ac:dyDescent="0.4">
      <c r="A536" s="2">
        <v>45904</v>
      </c>
      <c r="B536" t="s">
        <v>35</v>
      </c>
      <c r="C536" t="s">
        <v>649</v>
      </c>
      <c r="D536" s="3" t="str">
        <f t="shared" si="16"/>
        <v>PASS</v>
      </c>
      <c r="E536" s="3" t="str">
        <f t="shared" si="17"/>
        <v>PASS</v>
      </c>
      <c r="F536" t="s">
        <v>649</v>
      </c>
      <c r="G536" t="s">
        <v>649</v>
      </c>
      <c r="H536" s="3">
        <v>134977597.75999999</v>
      </c>
      <c r="I536" s="3">
        <v>123622219.13</v>
      </c>
      <c r="J536" s="3">
        <v>8628.2900000000009</v>
      </c>
      <c r="K536" s="4">
        <v>6748879.8880000003</v>
      </c>
      <c r="L536" s="4">
        <v>0.21676782265099159</v>
      </c>
      <c r="M536" s="3">
        <v>3</v>
      </c>
      <c r="N536" t="s">
        <v>1146</v>
      </c>
      <c r="O536" t="s">
        <v>790</v>
      </c>
      <c r="P536" t="s">
        <v>1115</v>
      </c>
    </row>
    <row r="537" spans="1:16" x14ac:dyDescent="0.4">
      <c r="A537" s="2">
        <v>45904</v>
      </c>
      <c r="B537" t="s">
        <v>36</v>
      </c>
      <c r="C537" t="s">
        <v>649</v>
      </c>
      <c r="D537" s="3" t="str">
        <f t="shared" si="16"/>
        <v>PASS</v>
      </c>
      <c r="E537" s="3" t="str">
        <f t="shared" si="17"/>
        <v>PASS</v>
      </c>
      <c r="F537" t="s">
        <v>649</v>
      </c>
      <c r="G537" t="s">
        <v>649</v>
      </c>
      <c r="H537" s="3">
        <v>100791948.18000001</v>
      </c>
      <c r="I537" s="3">
        <v>92118060.11999999</v>
      </c>
      <c r="J537" s="3">
        <v>6633.23</v>
      </c>
      <c r="K537" s="4">
        <v>5039597.4090000009</v>
      </c>
      <c r="L537" s="4">
        <v>0.21028476986043401</v>
      </c>
      <c r="M537" s="3">
        <v>3</v>
      </c>
      <c r="N537" t="s">
        <v>1147</v>
      </c>
      <c r="O537" t="s">
        <v>1144</v>
      </c>
      <c r="P537" t="s">
        <v>861</v>
      </c>
    </row>
    <row r="538" spans="1:16" x14ac:dyDescent="0.4">
      <c r="A538" s="2">
        <v>45904</v>
      </c>
      <c r="B538" t="s">
        <v>37</v>
      </c>
      <c r="C538" t="s">
        <v>649</v>
      </c>
      <c r="D538" s="3" t="str">
        <f t="shared" si="16"/>
        <v>PASS</v>
      </c>
      <c r="E538" s="3" t="str">
        <f t="shared" si="17"/>
        <v>PASS</v>
      </c>
      <c r="F538" t="s">
        <v>649</v>
      </c>
      <c r="G538" t="s">
        <v>649</v>
      </c>
      <c r="H538" s="3">
        <v>40114099.82</v>
      </c>
      <c r="I538" s="3">
        <v>34903016.759999998</v>
      </c>
      <c r="J538" s="3">
        <v>2518.48</v>
      </c>
      <c r="K538" s="4">
        <v>2005704.9909999999</v>
      </c>
      <c r="L538" s="4">
        <v>0.2098530067312791</v>
      </c>
      <c r="M538" s="3">
        <v>3</v>
      </c>
      <c r="N538" t="s">
        <v>1148</v>
      </c>
      <c r="O538" t="s">
        <v>1144</v>
      </c>
      <c r="P538" t="s">
        <v>869</v>
      </c>
    </row>
    <row r="539" spans="1:16" x14ac:dyDescent="0.4">
      <c r="A539" s="2">
        <v>45904</v>
      </c>
      <c r="B539" t="s">
        <v>38</v>
      </c>
      <c r="C539" t="s">
        <v>649</v>
      </c>
      <c r="D539" s="3" t="str">
        <f t="shared" si="16"/>
        <v>PASS</v>
      </c>
      <c r="E539" s="3" t="str">
        <f t="shared" si="17"/>
        <v>PASS</v>
      </c>
      <c r="F539" t="s">
        <v>649</v>
      </c>
      <c r="G539" t="s">
        <v>649</v>
      </c>
      <c r="H539" s="3">
        <v>43181647.619999997</v>
      </c>
      <c r="I539" s="3">
        <v>37947974.490000002</v>
      </c>
      <c r="J539" s="3">
        <v>2654.99</v>
      </c>
      <c r="K539" s="4">
        <v>2159082.3810000001</v>
      </c>
      <c r="L539" s="4">
        <v>0.21624711216585771</v>
      </c>
      <c r="M539" s="3">
        <v>3</v>
      </c>
      <c r="N539" t="s">
        <v>1149</v>
      </c>
      <c r="O539" t="s">
        <v>790</v>
      </c>
      <c r="P539" t="s">
        <v>1115</v>
      </c>
    </row>
    <row r="540" spans="1:16" x14ac:dyDescent="0.4">
      <c r="A540" s="2">
        <v>45904</v>
      </c>
      <c r="B540" t="s">
        <v>39</v>
      </c>
      <c r="C540" t="s">
        <v>649</v>
      </c>
      <c r="D540" s="3" t="str">
        <f t="shared" si="16"/>
        <v>PASS</v>
      </c>
      <c r="E540" s="3" t="str">
        <f t="shared" si="17"/>
        <v>PASS</v>
      </c>
      <c r="F540" t="s">
        <v>649</v>
      </c>
      <c r="G540" t="s">
        <v>649</v>
      </c>
      <c r="H540" s="3">
        <v>78306081.640000001</v>
      </c>
      <c r="I540" s="3">
        <v>71369888.430000007</v>
      </c>
      <c r="J540" s="3">
        <v>5080.04</v>
      </c>
      <c r="K540" s="4">
        <v>3915304.0819999999</v>
      </c>
      <c r="L540" s="4">
        <v>0.21255302515027541</v>
      </c>
      <c r="M540" s="3">
        <v>3</v>
      </c>
      <c r="N540" t="s">
        <v>1150</v>
      </c>
      <c r="O540" t="s">
        <v>1133</v>
      </c>
      <c r="P540" t="s">
        <v>873</v>
      </c>
    </row>
    <row r="541" spans="1:16" x14ac:dyDescent="0.4">
      <c r="A541" s="2">
        <v>45905</v>
      </c>
      <c r="B541" t="s">
        <v>27</v>
      </c>
      <c r="C541" t="s">
        <v>649</v>
      </c>
      <c r="D541" s="3" t="str">
        <f t="shared" si="16"/>
        <v>PASS</v>
      </c>
      <c r="E541" s="3" t="str">
        <f t="shared" si="17"/>
        <v>PASS</v>
      </c>
      <c r="F541" t="s">
        <v>649</v>
      </c>
      <c r="G541" t="s">
        <v>649</v>
      </c>
      <c r="H541" s="3">
        <v>54959694.020000003</v>
      </c>
      <c r="I541" s="3">
        <v>50425033.950000003</v>
      </c>
      <c r="J541" s="3">
        <v>10973.4</v>
      </c>
      <c r="K541" s="4">
        <v>2747984.7009999999</v>
      </c>
      <c r="L541" s="4">
        <v>0</v>
      </c>
      <c r="M541" s="3">
        <v>0</v>
      </c>
      <c r="N541" t="s">
        <v>29</v>
      </c>
      <c r="O541" t="s">
        <v>1064</v>
      </c>
      <c r="P541" t="s">
        <v>1028</v>
      </c>
    </row>
    <row r="542" spans="1:16" x14ac:dyDescent="0.4">
      <c r="A542" s="2">
        <v>45905</v>
      </c>
      <c r="B542" t="s">
        <v>30</v>
      </c>
      <c r="C542" t="s">
        <v>649</v>
      </c>
      <c r="D542" s="3" t="str">
        <f t="shared" si="16"/>
        <v>PASS</v>
      </c>
      <c r="E542" s="3" t="str">
        <f t="shared" si="17"/>
        <v>PASS</v>
      </c>
      <c r="F542" t="s">
        <v>649</v>
      </c>
      <c r="G542" t="s">
        <v>649</v>
      </c>
      <c r="H542" s="3">
        <v>34307534.68</v>
      </c>
      <c r="I542" s="3">
        <v>32649994.149999999</v>
      </c>
      <c r="J542" s="3">
        <v>7010.19</v>
      </c>
      <c r="K542" s="4">
        <v>1715376.7339999999</v>
      </c>
      <c r="L542" s="4">
        <v>0.21003940206994001</v>
      </c>
      <c r="M542" s="3">
        <v>3</v>
      </c>
      <c r="N542" t="s">
        <v>1151</v>
      </c>
      <c r="O542" t="s">
        <v>757</v>
      </c>
      <c r="P542" t="s">
        <v>869</v>
      </c>
    </row>
    <row r="543" spans="1:16" x14ac:dyDescent="0.4">
      <c r="A543" s="2">
        <v>45905</v>
      </c>
      <c r="B543" t="s">
        <v>31</v>
      </c>
      <c r="C543" t="s">
        <v>649</v>
      </c>
      <c r="D543" s="3" t="str">
        <f t="shared" si="16"/>
        <v>PASS</v>
      </c>
      <c r="E543" s="3" t="str">
        <f t="shared" si="17"/>
        <v>PASS</v>
      </c>
      <c r="F543" t="s">
        <v>649</v>
      </c>
      <c r="G543" t="s">
        <v>649</v>
      </c>
      <c r="H543" s="3">
        <v>23241617.07</v>
      </c>
      <c r="I543" s="3">
        <v>21516981.800000001</v>
      </c>
      <c r="J543" s="3">
        <v>4650.78</v>
      </c>
      <c r="K543" s="4">
        <v>1162080.8535</v>
      </c>
      <c r="L543" s="4">
        <v>0.2086349872909741</v>
      </c>
      <c r="M543" s="3">
        <v>3</v>
      </c>
      <c r="N543" t="s">
        <v>1152</v>
      </c>
      <c r="O543" t="s">
        <v>759</v>
      </c>
      <c r="P543" t="s">
        <v>863</v>
      </c>
    </row>
    <row r="544" spans="1:16" x14ac:dyDescent="0.4">
      <c r="A544" s="2">
        <v>45905</v>
      </c>
      <c r="B544" t="s">
        <v>32</v>
      </c>
      <c r="C544" t="s">
        <v>649</v>
      </c>
      <c r="D544" s="3" t="str">
        <f t="shared" si="16"/>
        <v>PASS</v>
      </c>
      <c r="E544" s="3" t="str">
        <f t="shared" si="17"/>
        <v>PASS</v>
      </c>
      <c r="F544" t="s">
        <v>649</v>
      </c>
      <c r="G544" t="s">
        <v>649</v>
      </c>
      <c r="H544" s="3">
        <v>24541645.77</v>
      </c>
      <c r="I544" s="3">
        <v>20639103.789999999</v>
      </c>
      <c r="J544" s="3">
        <v>4484.67</v>
      </c>
      <c r="K544" s="4">
        <v>1227082.2885</v>
      </c>
      <c r="L544" s="4">
        <v>0.2073891507211916</v>
      </c>
      <c r="M544" s="3">
        <v>3</v>
      </c>
      <c r="N544" t="s">
        <v>1153</v>
      </c>
      <c r="O544" t="s">
        <v>896</v>
      </c>
      <c r="P544" t="s">
        <v>866</v>
      </c>
    </row>
    <row r="545" spans="1:16" x14ac:dyDescent="0.4">
      <c r="A545" s="2">
        <v>45905</v>
      </c>
      <c r="B545" t="s">
        <v>33</v>
      </c>
      <c r="C545" t="s">
        <v>649</v>
      </c>
      <c r="D545" s="3" t="str">
        <f t="shared" si="16"/>
        <v>PASS</v>
      </c>
      <c r="E545" s="3" t="str">
        <f t="shared" si="17"/>
        <v>PASS</v>
      </c>
      <c r="F545" t="s">
        <v>649</v>
      </c>
      <c r="G545" t="s">
        <v>649</v>
      </c>
      <c r="H545" s="3">
        <v>15236994.73</v>
      </c>
      <c r="I545" s="3">
        <v>13664087.640000001</v>
      </c>
      <c r="J545" s="3">
        <v>2961.84</v>
      </c>
      <c r="K545" s="4">
        <v>761849.73650000012</v>
      </c>
      <c r="L545" s="4">
        <v>0.2079551537460787</v>
      </c>
      <c r="M545" s="3">
        <v>3</v>
      </c>
      <c r="N545" t="s">
        <v>1154</v>
      </c>
      <c r="O545" t="s">
        <v>759</v>
      </c>
      <c r="P545" t="s">
        <v>866</v>
      </c>
    </row>
    <row r="546" spans="1:16" x14ac:dyDescent="0.4">
      <c r="A546" s="2">
        <v>45905</v>
      </c>
      <c r="B546" t="s">
        <v>34</v>
      </c>
      <c r="C546" t="s">
        <v>649</v>
      </c>
      <c r="D546" s="3" t="str">
        <f t="shared" si="16"/>
        <v>PASS</v>
      </c>
      <c r="E546" s="3" t="str">
        <f t="shared" si="17"/>
        <v>PASS</v>
      </c>
      <c r="F546" t="s">
        <v>649</v>
      </c>
      <c r="G546" t="s">
        <v>649</v>
      </c>
      <c r="H546" s="3">
        <v>165804046.66999999</v>
      </c>
      <c r="I546" s="3">
        <v>142280015.56999999</v>
      </c>
      <c r="J546" s="3">
        <v>30864.27</v>
      </c>
      <c r="K546" s="4">
        <v>8290202.3334999997</v>
      </c>
      <c r="L546" s="4">
        <v>0.2076825438477537</v>
      </c>
      <c r="M546" s="3">
        <v>3</v>
      </c>
      <c r="N546" t="s">
        <v>1155</v>
      </c>
      <c r="O546" t="s">
        <v>759</v>
      </c>
      <c r="P546" t="s">
        <v>866</v>
      </c>
    </row>
    <row r="547" spans="1:16" x14ac:dyDescent="0.4">
      <c r="A547" s="2">
        <v>45905</v>
      </c>
      <c r="B547" t="s">
        <v>35</v>
      </c>
      <c r="C547" t="s">
        <v>649</v>
      </c>
      <c r="D547" s="3" t="str">
        <f t="shared" si="16"/>
        <v>PASS</v>
      </c>
      <c r="E547" s="3" t="str">
        <f t="shared" si="17"/>
        <v>PASS</v>
      </c>
      <c r="F547" t="s">
        <v>649</v>
      </c>
      <c r="G547" t="s">
        <v>649</v>
      </c>
      <c r="H547" s="3">
        <v>134606911.09</v>
      </c>
      <c r="I547" s="3">
        <v>123191173.56999999</v>
      </c>
      <c r="J547" s="3">
        <v>26012.82</v>
      </c>
      <c r="K547" s="4">
        <v>6730345.5545000006</v>
      </c>
      <c r="L547" s="4">
        <v>0.21352686211802641</v>
      </c>
      <c r="M547" s="3">
        <v>3</v>
      </c>
      <c r="N547" t="s">
        <v>1156</v>
      </c>
      <c r="O547" t="s">
        <v>1157</v>
      </c>
      <c r="P547" t="s">
        <v>740</v>
      </c>
    </row>
    <row r="548" spans="1:16" x14ac:dyDescent="0.4">
      <c r="A548" s="2">
        <v>45905</v>
      </c>
      <c r="B548" t="s">
        <v>36</v>
      </c>
      <c r="C548" t="s">
        <v>649</v>
      </c>
      <c r="D548" s="3" t="str">
        <f t="shared" si="16"/>
        <v>PASS</v>
      </c>
      <c r="E548" s="3" t="str">
        <f t="shared" si="17"/>
        <v>PASS</v>
      </c>
      <c r="F548" t="s">
        <v>649</v>
      </c>
      <c r="G548" t="s">
        <v>649</v>
      </c>
      <c r="H548" s="3">
        <v>100551804.95999999</v>
      </c>
      <c r="I548" s="3">
        <v>91796861.74000001</v>
      </c>
      <c r="J548" s="3">
        <v>19980.84</v>
      </c>
      <c r="K548" s="4">
        <v>5027590.2479999997</v>
      </c>
      <c r="L548" s="4">
        <v>0.2070398010604976</v>
      </c>
      <c r="M548" s="3">
        <v>3</v>
      </c>
      <c r="N548" t="s">
        <v>1158</v>
      </c>
      <c r="O548" t="s">
        <v>896</v>
      </c>
      <c r="P548" t="s">
        <v>866</v>
      </c>
    </row>
    <row r="549" spans="1:16" x14ac:dyDescent="0.4">
      <c r="A549" s="2">
        <v>45905</v>
      </c>
      <c r="B549" t="s">
        <v>37</v>
      </c>
      <c r="C549" t="s">
        <v>649</v>
      </c>
      <c r="D549" s="3" t="str">
        <f t="shared" si="16"/>
        <v>PASS</v>
      </c>
      <c r="E549" s="3" t="str">
        <f t="shared" si="17"/>
        <v>PASS</v>
      </c>
      <c r="F549" t="s">
        <v>649</v>
      </c>
      <c r="G549" t="s">
        <v>649</v>
      </c>
      <c r="H549" s="3">
        <v>40032541.740000002</v>
      </c>
      <c r="I549" s="3">
        <v>34781298.180000007</v>
      </c>
      <c r="J549" s="3">
        <v>7587.39</v>
      </c>
      <c r="K549" s="4">
        <v>2001627.0870000001</v>
      </c>
      <c r="L549" s="4">
        <v>0.20655756742348591</v>
      </c>
      <c r="M549" s="3">
        <v>3</v>
      </c>
      <c r="N549" t="s">
        <v>1159</v>
      </c>
      <c r="O549" t="s">
        <v>896</v>
      </c>
      <c r="P549" t="s">
        <v>910</v>
      </c>
    </row>
    <row r="550" spans="1:16" x14ac:dyDescent="0.4">
      <c r="A550" s="2">
        <v>45905</v>
      </c>
      <c r="B550" t="s">
        <v>38</v>
      </c>
      <c r="C550" t="s">
        <v>649</v>
      </c>
      <c r="D550" s="3" t="str">
        <f t="shared" si="16"/>
        <v>PASS</v>
      </c>
      <c r="E550" s="3" t="str">
        <f t="shared" si="17"/>
        <v>PASS</v>
      </c>
      <c r="F550" t="s">
        <v>649</v>
      </c>
      <c r="G550" t="s">
        <v>649</v>
      </c>
      <c r="H550" s="3">
        <v>43080100.75</v>
      </c>
      <c r="I550" s="3">
        <v>37815695.479999997</v>
      </c>
      <c r="J550" s="3">
        <v>8005.74</v>
      </c>
      <c r="K550" s="4">
        <v>2154005.0375000001</v>
      </c>
      <c r="L550" s="4">
        <v>0.21294122052638409</v>
      </c>
      <c r="M550" s="3">
        <v>3</v>
      </c>
      <c r="N550" t="s">
        <v>1160</v>
      </c>
      <c r="O550" t="s">
        <v>1111</v>
      </c>
      <c r="P550" t="s">
        <v>740</v>
      </c>
    </row>
    <row r="551" spans="1:16" x14ac:dyDescent="0.4">
      <c r="A551" s="2">
        <v>45905</v>
      </c>
      <c r="B551" t="s">
        <v>39</v>
      </c>
      <c r="C551" t="s">
        <v>649</v>
      </c>
      <c r="D551" s="3" t="str">
        <f t="shared" si="16"/>
        <v>PASS</v>
      </c>
      <c r="E551" s="3" t="str">
        <f t="shared" si="17"/>
        <v>PASS</v>
      </c>
      <c r="F551" t="s">
        <v>649</v>
      </c>
      <c r="G551" t="s">
        <v>649</v>
      </c>
      <c r="H551" s="3">
        <v>78117396.109999999</v>
      </c>
      <c r="I551" s="3">
        <v>71121066.799999997</v>
      </c>
      <c r="J551" s="3">
        <v>15314.25</v>
      </c>
      <c r="K551" s="4">
        <v>3905869.8054999998</v>
      </c>
      <c r="L551" s="4">
        <v>0.20928679196266839</v>
      </c>
      <c r="M551" s="3">
        <v>3</v>
      </c>
      <c r="N551" t="s">
        <v>1161</v>
      </c>
      <c r="O551" t="s">
        <v>757</v>
      </c>
      <c r="P551" t="s">
        <v>863</v>
      </c>
    </row>
    <row r="552" spans="1:16" x14ac:dyDescent="0.4">
      <c r="A552" s="2">
        <v>45908</v>
      </c>
      <c r="B552" t="s">
        <v>27</v>
      </c>
      <c r="C552" t="s">
        <v>649</v>
      </c>
      <c r="D552" s="3" t="str">
        <f t="shared" si="16"/>
        <v>PASS</v>
      </c>
      <c r="E552" s="3" t="str">
        <f t="shared" si="17"/>
        <v>PASS</v>
      </c>
      <c r="F552" t="s">
        <v>649</v>
      </c>
      <c r="G552" t="s">
        <v>649</v>
      </c>
      <c r="H552" s="3">
        <v>54867418.32</v>
      </c>
      <c r="I552" s="3">
        <v>50509795.340000004</v>
      </c>
      <c r="J552" s="3">
        <v>3655.93</v>
      </c>
      <c r="K552" s="4">
        <v>2743370.9160000002</v>
      </c>
      <c r="L552" s="4">
        <v>0</v>
      </c>
      <c r="M552" s="3">
        <v>0</v>
      </c>
      <c r="N552" t="s">
        <v>29</v>
      </c>
      <c r="O552" t="s">
        <v>676</v>
      </c>
      <c r="P552" t="s">
        <v>1162</v>
      </c>
    </row>
    <row r="553" spans="1:16" x14ac:dyDescent="0.4">
      <c r="A553" s="2">
        <v>45908</v>
      </c>
      <c r="B553" t="s">
        <v>30</v>
      </c>
      <c r="C553" t="s">
        <v>649</v>
      </c>
      <c r="D553" s="3" t="str">
        <f t="shared" si="16"/>
        <v>PASS</v>
      </c>
      <c r="E553" s="3" t="str">
        <f t="shared" si="17"/>
        <v>PASS</v>
      </c>
      <c r="F553" t="s">
        <v>649</v>
      </c>
      <c r="G553" t="s">
        <v>649</v>
      </c>
      <c r="H553" s="3">
        <v>34350870.149999999</v>
      </c>
      <c r="I553" s="3">
        <v>32893142.449999999</v>
      </c>
      <c r="J553" s="3">
        <v>2328.3200000000002</v>
      </c>
      <c r="K553" s="4">
        <v>1717543.5075000001</v>
      </c>
      <c r="L553" s="4">
        <v>0.20913084795504641</v>
      </c>
      <c r="M553" s="3">
        <v>3</v>
      </c>
      <c r="N553" t="s">
        <v>1163</v>
      </c>
      <c r="O553" t="s">
        <v>1131</v>
      </c>
      <c r="P553" t="s">
        <v>757</v>
      </c>
    </row>
    <row r="554" spans="1:16" x14ac:dyDescent="0.4">
      <c r="A554" s="2">
        <v>45908</v>
      </c>
      <c r="B554" t="s">
        <v>31</v>
      </c>
      <c r="C554" t="s">
        <v>649</v>
      </c>
      <c r="D554" s="3" t="str">
        <f t="shared" si="16"/>
        <v>PASS</v>
      </c>
      <c r="E554" s="3" t="str">
        <f t="shared" si="17"/>
        <v>PASS</v>
      </c>
      <c r="F554" t="s">
        <v>649</v>
      </c>
      <c r="G554" t="s">
        <v>649</v>
      </c>
      <c r="H554" s="3">
        <v>23266703.879999999</v>
      </c>
      <c r="I554" s="3">
        <v>21652421.710000001</v>
      </c>
      <c r="J554" s="3">
        <v>1545.51</v>
      </c>
      <c r="K554" s="4">
        <v>1163335.1939999999</v>
      </c>
      <c r="L554" s="4">
        <v>0.20780954296102741</v>
      </c>
      <c r="M554" s="3">
        <v>3</v>
      </c>
      <c r="N554" t="s">
        <v>1164</v>
      </c>
      <c r="O554" t="s">
        <v>1144</v>
      </c>
      <c r="P554" t="s">
        <v>759</v>
      </c>
    </row>
    <row r="555" spans="1:16" x14ac:dyDescent="0.4">
      <c r="A555" s="2">
        <v>45908</v>
      </c>
      <c r="B555" t="s">
        <v>32</v>
      </c>
      <c r="C555" t="s">
        <v>649</v>
      </c>
      <c r="D555" s="3" t="str">
        <f t="shared" si="16"/>
        <v>PASS</v>
      </c>
      <c r="E555" s="3" t="str">
        <f t="shared" si="17"/>
        <v>PASS</v>
      </c>
      <c r="F555" t="s">
        <v>649</v>
      </c>
      <c r="G555" t="s">
        <v>649</v>
      </c>
      <c r="H555" s="3">
        <v>24566256.050000001</v>
      </c>
      <c r="I555" s="3">
        <v>20756348.73</v>
      </c>
      <c r="J555" s="3">
        <v>1491.24</v>
      </c>
      <c r="K555" s="4">
        <v>1228312.8025</v>
      </c>
      <c r="L555" s="4">
        <v>0.20650534248393321</v>
      </c>
      <c r="M555" s="3">
        <v>3</v>
      </c>
      <c r="N555" t="s">
        <v>1165</v>
      </c>
      <c r="O555" t="s">
        <v>1166</v>
      </c>
      <c r="P555" t="s">
        <v>896</v>
      </c>
    </row>
    <row r="556" spans="1:16" x14ac:dyDescent="0.4">
      <c r="A556" s="2">
        <v>45908</v>
      </c>
      <c r="B556" t="s">
        <v>33</v>
      </c>
      <c r="C556" t="s">
        <v>649</v>
      </c>
      <c r="D556" s="3" t="str">
        <f t="shared" si="16"/>
        <v>PASS</v>
      </c>
      <c r="E556" s="3" t="str">
        <f t="shared" si="17"/>
        <v>PASS</v>
      </c>
      <c r="F556" t="s">
        <v>649</v>
      </c>
      <c r="G556" t="s">
        <v>649</v>
      </c>
      <c r="H556" s="3">
        <v>15256672.24</v>
      </c>
      <c r="I556" s="3">
        <v>13771171.220000001</v>
      </c>
      <c r="J556" s="3">
        <v>984.73</v>
      </c>
      <c r="K556" s="4">
        <v>762833.61200000008</v>
      </c>
      <c r="L556" s="4">
        <v>0.20731586751823419</v>
      </c>
      <c r="M556" s="3">
        <v>3</v>
      </c>
      <c r="N556" t="s">
        <v>1167</v>
      </c>
      <c r="O556" t="s">
        <v>1168</v>
      </c>
      <c r="P556" t="s">
        <v>759</v>
      </c>
    </row>
    <row r="557" spans="1:16" x14ac:dyDescent="0.4">
      <c r="A557" s="2">
        <v>45908</v>
      </c>
      <c r="B557" t="s">
        <v>34</v>
      </c>
      <c r="C557" t="s">
        <v>649</v>
      </c>
      <c r="D557" s="3" t="str">
        <f t="shared" si="16"/>
        <v>PASS</v>
      </c>
      <c r="E557" s="3" t="str">
        <f t="shared" si="17"/>
        <v>PASS</v>
      </c>
      <c r="F557" t="s">
        <v>649</v>
      </c>
      <c r="G557" t="s">
        <v>649</v>
      </c>
      <c r="H557" s="3">
        <v>165961487.19999999</v>
      </c>
      <c r="I557" s="3">
        <v>143278673.78</v>
      </c>
      <c r="J557" s="3">
        <v>10261.84</v>
      </c>
      <c r="K557" s="4">
        <v>8298074.3599999994</v>
      </c>
      <c r="L557" s="4">
        <v>0.20685963650394701</v>
      </c>
      <c r="M557" s="3">
        <v>3</v>
      </c>
      <c r="N557" t="s">
        <v>1169</v>
      </c>
      <c r="O557" t="s">
        <v>1168</v>
      </c>
      <c r="P557" t="s">
        <v>896</v>
      </c>
    </row>
    <row r="558" spans="1:16" x14ac:dyDescent="0.4">
      <c r="A558" s="2">
        <v>45908</v>
      </c>
      <c r="B558" t="s">
        <v>35</v>
      </c>
      <c r="C558" t="s">
        <v>649</v>
      </c>
      <c r="D558" s="3" t="str">
        <f t="shared" si="16"/>
        <v>PASS</v>
      </c>
      <c r="E558" s="3" t="str">
        <f t="shared" si="17"/>
        <v>PASS</v>
      </c>
      <c r="F558" t="s">
        <v>649</v>
      </c>
      <c r="G558" t="s">
        <v>649</v>
      </c>
      <c r="H558" s="3">
        <v>134765805.72999999</v>
      </c>
      <c r="I558" s="3">
        <v>123951546.2</v>
      </c>
      <c r="J558" s="3">
        <v>8642.14</v>
      </c>
      <c r="K558" s="4">
        <v>6738290.2864999995</v>
      </c>
      <c r="L558" s="4">
        <v>0.21261284832155369</v>
      </c>
      <c r="M558" s="3">
        <v>3</v>
      </c>
      <c r="N558" t="s">
        <v>1170</v>
      </c>
      <c r="O558" t="s">
        <v>1171</v>
      </c>
      <c r="P558" t="s">
        <v>1129</v>
      </c>
    </row>
    <row r="559" spans="1:16" x14ac:dyDescent="0.4">
      <c r="A559" s="2">
        <v>45908</v>
      </c>
      <c r="B559" t="s">
        <v>36</v>
      </c>
      <c r="C559" t="s">
        <v>649</v>
      </c>
      <c r="D559" s="3" t="str">
        <f t="shared" si="16"/>
        <v>PASS</v>
      </c>
      <c r="E559" s="3" t="str">
        <f t="shared" si="17"/>
        <v>PASS</v>
      </c>
      <c r="F559" t="s">
        <v>649</v>
      </c>
      <c r="G559" t="s">
        <v>649</v>
      </c>
      <c r="H559" s="3">
        <v>100646158.56999999</v>
      </c>
      <c r="I559" s="3">
        <v>92308950.25</v>
      </c>
      <c r="J559" s="3">
        <v>6641.39</v>
      </c>
      <c r="K559" s="4">
        <v>5032307.9284999995</v>
      </c>
      <c r="L559" s="4">
        <v>0.2062355287427256</v>
      </c>
      <c r="M559" s="3">
        <v>3</v>
      </c>
      <c r="N559" t="s">
        <v>1172</v>
      </c>
      <c r="O559" t="s">
        <v>1166</v>
      </c>
      <c r="P559" t="s">
        <v>896</v>
      </c>
    </row>
    <row r="560" spans="1:16" x14ac:dyDescent="0.4">
      <c r="A560" s="2">
        <v>45908</v>
      </c>
      <c r="B560" t="s">
        <v>37</v>
      </c>
      <c r="C560" t="s">
        <v>649</v>
      </c>
      <c r="D560" s="3" t="str">
        <f t="shared" si="16"/>
        <v>PASS</v>
      </c>
      <c r="E560" s="3" t="str">
        <f t="shared" si="17"/>
        <v>PASS</v>
      </c>
      <c r="F560" t="s">
        <v>649</v>
      </c>
      <c r="G560" t="s">
        <v>649</v>
      </c>
      <c r="H560" s="3">
        <v>40081618.530000001</v>
      </c>
      <c r="I560" s="3">
        <v>35000469.709999993</v>
      </c>
      <c r="J560" s="3">
        <v>2522.66</v>
      </c>
      <c r="K560" s="4">
        <v>2004080.9265000001</v>
      </c>
      <c r="L560" s="4">
        <v>0.2059084374759636</v>
      </c>
      <c r="M560" s="3">
        <v>3</v>
      </c>
      <c r="N560" t="s">
        <v>1173</v>
      </c>
      <c r="O560" t="s">
        <v>1166</v>
      </c>
      <c r="P560" t="s">
        <v>896</v>
      </c>
    </row>
    <row r="561" spans="1:16" x14ac:dyDescent="0.4">
      <c r="A561" s="2">
        <v>45908</v>
      </c>
      <c r="B561" t="s">
        <v>38</v>
      </c>
      <c r="C561" t="s">
        <v>649</v>
      </c>
      <c r="D561" s="3" t="str">
        <f t="shared" si="16"/>
        <v>PASS</v>
      </c>
      <c r="E561" s="3" t="str">
        <f t="shared" si="17"/>
        <v>PASS</v>
      </c>
      <c r="F561" t="s">
        <v>649</v>
      </c>
      <c r="G561" t="s">
        <v>649</v>
      </c>
      <c r="H561" s="3">
        <v>43129366.549999997</v>
      </c>
      <c r="I561" s="3">
        <v>38077824.040000007</v>
      </c>
      <c r="J561" s="3">
        <v>2660.63</v>
      </c>
      <c r="K561" s="4">
        <v>2156468.3275000001</v>
      </c>
      <c r="L561" s="4">
        <v>0.21231941921060091</v>
      </c>
      <c r="M561" s="3">
        <v>3</v>
      </c>
      <c r="N561" t="s">
        <v>1174</v>
      </c>
      <c r="O561" t="s">
        <v>1175</v>
      </c>
      <c r="P561" t="s">
        <v>1129</v>
      </c>
    </row>
    <row r="562" spans="1:16" x14ac:dyDescent="0.4">
      <c r="A562" s="2">
        <v>45908</v>
      </c>
      <c r="B562" t="s">
        <v>39</v>
      </c>
      <c r="C562" t="s">
        <v>649</v>
      </c>
      <c r="D562" s="3" t="str">
        <f t="shared" si="16"/>
        <v>PASS</v>
      </c>
      <c r="E562" s="3" t="str">
        <f t="shared" si="17"/>
        <v>PASS</v>
      </c>
      <c r="F562" t="s">
        <v>649</v>
      </c>
      <c r="G562" t="s">
        <v>649</v>
      </c>
      <c r="H562" s="3">
        <v>78207257.170000002</v>
      </c>
      <c r="I562" s="3">
        <v>71520834.670000002</v>
      </c>
      <c r="J562" s="3">
        <v>5089.9399999999996</v>
      </c>
      <c r="K562" s="4">
        <v>3910362.8585000001</v>
      </c>
      <c r="L562" s="4">
        <v>0.20858754619421321</v>
      </c>
      <c r="M562" s="3">
        <v>3</v>
      </c>
      <c r="N562" t="s">
        <v>1176</v>
      </c>
      <c r="O562" t="s">
        <v>757</v>
      </c>
      <c r="P562" t="s">
        <v>1177</v>
      </c>
    </row>
    <row r="563" spans="1:16" x14ac:dyDescent="0.4">
      <c r="A563" s="2">
        <v>45909</v>
      </c>
      <c r="B563" t="s">
        <v>27</v>
      </c>
      <c r="C563" t="s">
        <v>649</v>
      </c>
      <c r="D563" s="3" t="str">
        <f t="shared" si="16"/>
        <v>PASS</v>
      </c>
      <c r="E563" s="3" t="str">
        <f t="shared" si="17"/>
        <v>PASS</v>
      </c>
      <c r="F563" t="s">
        <v>649</v>
      </c>
      <c r="G563" t="s">
        <v>649</v>
      </c>
      <c r="H563" s="3">
        <v>54645769.890000001</v>
      </c>
      <c r="I563" s="3">
        <v>50355019.909999996</v>
      </c>
      <c r="J563" s="3">
        <v>3651.38</v>
      </c>
      <c r="K563" s="4">
        <v>2732288.4945</v>
      </c>
      <c r="L563" s="4">
        <v>0</v>
      </c>
      <c r="M563" s="3">
        <v>0</v>
      </c>
      <c r="N563" t="s">
        <v>29</v>
      </c>
      <c r="O563" t="s">
        <v>1178</v>
      </c>
      <c r="P563" t="s">
        <v>1179</v>
      </c>
    </row>
    <row r="564" spans="1:16" x14ac:dyDescent="0.4">
      <c r="A564" s="2">
        <v>45909</v>
      </c>
      <c r="B564" t="s">
        <v>30</v>
      </c>
      <c r="C564" t="s">
        <v>649</v>
      </c>
      <c r="D564" s="3" t="str">
        <f t="shared" si="16"/>
        <v>PASS</v>
      </c>
      <c r="E564" s="3" t="str">
        <f t="shared" si="17"/>
        <v>PASS</v>
      </c>
      <c r="F564" t="s">
        <v>649</v>
      </c>
      <c r="G564" t="s">
        <v>649</v>
      </c>
      <c r="H564" s="3">
        <v>34450155.329999998</v>
      </c>
      <c r="I564" s="3">
        <v>32666239.77</v>
      </c>
      <c r="J564" s="3">
        <v>2331.0100000000002</v>
      </c>
      <c r="K564" s="4">
        <v>1722507.7664999999</v>
      </c>
      <c r="L564" s="4">
        <v>0.20865265648262241</v>
      </c>
      <c r="M564" s="3">
        <v>3</v>
      </c>
      <c r="N564" t="s">
        <v>1180</v>
      </c>
      <c r="O564" t="s">
        <v>1131</v>
      </c>
      <c r="P564" t="s">
        <v>863</v>
      </c>
    </row>
    <row r="565" spans="1:16" x14ac:dyDescent="0.4">
      <c r="A565" s="2">
        <v>45909</v>
      </c>
      <c r="B565" t="s">
        <v>31</v>
      </c>
      <c r="C565" t="s">
        <v>649</v>
      </c>
      <c r="D565" s="3" t="str">
        <f t="shared" si="16"/>
        <v>PASS</v>
      </c>
      <c r="E565" s="3" t="str">
        <f t="shared" si="17"/>
        <v>PASS</v>
      </c>
      <c r="F565" t="s">
        <v>649</v>
      </c>
      <c r="G565" t="s">
        <v>649</v>
      </c>
      <c r="H565" s="3">
        <v>23325897.699999999</v>
      </c>
      <c r="I565" s="3">
        <v>21531131.66</v>
      </c>
      <c r="J565" s="3">
        <v>1546.96</v>
      </c>
      <c r="K565" s="4">
        <v>1166294.885</v>
      </c>
      <c r="L565" s="4">
        <v>0.20739911415443871</v>
      </c>
      <c r="M565" s="3">
        <v>3</v>
      </c>
      <c r="N565" t="s">
        <v>1181</v>
      </c>
      <c r="O565" t="s">
        <v>757</v>
      </c>
      <c r="P565" t="s">
        <v>866</v>
      </c>
    </row>
    <row r="566" spans="1:16" x14ac:dyDescent="0.4">
      <c r="A566" s="2">
        <v>45909</v>
      </c>
      <c r="B566" t="s">
        <v>32</v>
      </c>
      <c r="C566" t="s">
        <v>649</v>
      </c>
      <c r="D566" s="3" t="str">
        <f t="shared" si="16"/>
        <v>PASS</v>
      </c>
      <c r="E566" s="3" t="str">
        <f t="shared" si="17"/>
        <v>PASS</v>
      </c>
      <c r="F566" t="s">
        <v>649</v>
      </c>
      <c r="G566" t="s">
        <v>649</v>
      </c>
      <c r="H566" s="3">
        <v>24610112.890000001</v>
      </c>
      <c r="I566" s="3">
        <v>20646832.890000001</v>
      </c>
      <c r="J566" s="3">
        <v>1492.75</v>
      </c>
      <c r="K566" s="4">
        <v>1230505.6444999999</v>
      </c>
      <c r="L566" s="4">
        <v>0.20623020047217491</v>
      </c>
      <c r="M566" s="3">
        <v>3</v>
      </c>
      <c r="N566" t="s">
        <v>1182</v>
      </c>
      <c r="O566" t="s">
        <v>1168</v>
      </c>
      <c r="P566" t="s">
        <v>910</v>
      </c>
    </row>
    <row r="567" spans="1:16" x14ac:dyDescent="0.4">
      <c r="A567" s="2">
        <v>45909</v>
      </c>
      <c r="B567" t="s">
        <v>33</v>
      </c>
      <c r="C567" t="s">
        <v>649</v>
      </c>
      <c r="D567" s="3" t="str">
        <f t="shared" si="16"/>
        <v>PASS</v>
      </c>
      <c r="E567" s="3" t="str">
        <f t="shared" si="17"/>
        <v>PASS</v>
      </c>
      <c r="F567" t="s">
        <v>649</v>
      </c>
      <c r="G567" t="s">
        <v>649</v>
      </c>
      <c r="H567" s="3">
        <v>15291904.27</v>
      </c>
      <c r="I567" s="3">
        <v>13686591.92</v>
      </c>
      <c r="J567" s="3">
        <v>985.87</v>
      </c>
      <c r="K567" s="4">
        <v>764595.21350000007</v>
      </c>
      <c r="L567" s="4">
        <v>0.2069440761180211</v>
      </c>
      <c r="M567" s="3">
        <v>3</v>
      </c>
      <c r="N567" t="s">
        <v>1183</v>
      </c>
      <c r="O567" t="s">
        <v>1144</v>
      </c>
      <c r="P567" t="s">
        <v>910</v>
      </c>
    </row>
    <row r="568" spans="1:16" x14ac:dyDescent="0.4">
      <c r="A568" s="2">
        <v>45909</v>
      </c>
      <c r="B568" t="s">
        <v>34</v>
      </c>
      <c r="C568" t="s">
        <v>649</v>
      </c>
      <c r="D568" s="3" t="str">
        <f t="shared" si="16"/>
        <v>PASS</v>
      </c>
      <c r="E568" s="3" t="str">
        <f t="shared" si="17"/>
        <v>PASS</v>
      </c>
      <c r="F568" t="s">
        <v>649</v>
      </c>
      <c r="G568" t="s">
        <v>649</v>
      </c>
      <c r="H568" s="3">
        <v>166281307.13</v>
      </c>
      <c r="I568" s="3">
        <v>142361127.49000001</v>
      </c>
      <c r="J568" s="3">
        <v>10270.99</v>
      </c>
      <c r="K568" s="4">
        <v>8314065.3564999998</v>
      </c>
      <c r="L568" s="4">
        <v>0.20655789073111391</v>
      </c>
      <c r="M568" s="3">
        <v>3</v>
      </c>
      <c r="N568" t="s">
        <v>1184</v>
      </c>
      <c r="O568" t="s">
        <v>1168</v>
      </c>
      <c r="P568" t="s">
        <v>910</v>
      </c>
    </row>
    <row r="569" spans="1:16" x14ac:dyDescent="0.4">
      <c r="A569" s="2">
        <v>45909</v>
      </c>
      <c r="B569" t="s">
        <v>35</v>
      </c>
      <c r="C569" t="s">
        <v>649</v>
      </c>
      <c r="D569" s="3" t="str">
        <f t="shared" si="16"/>
        <v>PASS</v>
      </c>
      <c r="E569" s="3" t="str">
        <f t="shared" si="17"/>
        <v>PASS</v>
      </c>
      <c r="F569" t="s">
        <v>649</v>
      </c>
      <c r="G569" t="s">
        <v>649</v>
      </c>
      <c r="H569" s="3">
        <v>135116079.05000001</v>
      </c>
      <c r="I569" s="3">
        <v>123257438.43000001</v>
      </c>
      <c r="J569" s="3">
        <v>8651.9</v>
      </c>
      <c r="K569" s="4">
        <v>6755803.9525000006</v>
      </c>
      <c r="L569" s="4">
        <v>0.21215904574735789</v>
      </c>
      <c r="M569" s="3">
        <v>3</v>
      </c>
      <c r="N569" t="s">
        <v>1185</v>
      </c>
      <c r="O569" t="s">
        <v>1127</v>
      </c>
      <c r="P569" t="s">
        <v>786</v>
      </c>
    </row>
    <row r="570" spans="1:16" x14ac:dyDescent="0.4">
      <c r="A570" s="2">
        <v>45909</v>
      </c>
      <c r="B570" t="s">
        <v>36</v>
      </c>
      <c r="C570" t="s">
        <v>649</v>
      </c>
      <c r="D570" s="3" t="str">
        <f t="shared" si="16"/>
        <v>PASS</v>
      </c>
      <c r="E570" s="3" t="str">
        <f t="shared" si="17"/>
        <v>PASS</v>
      </c>
      <c r="F570" t="s">
        <v>649</v>
      </c>
      <c r="G570" t="s">
        <v>649</v>
      </c>
      <c r="H570" s="3">
        <v>100879756.08</v>
      </c>
      <c r="I570" s="3">
        <v>91852783.129999995</v>
      </c>
      <c r="J570" s="3">
        <v>6646.95</v>
      </c>
      <c r="K570" s="4">
        <v>5043987.8039999995</v>
      </c>
      <c r="L570" s="4">
        <v>0.20587492631480081</v>
      </c>
      <c r="M570" s="3">
        <v>3</v>
      </c>
      <c r="N570" t="s">
        <v>1186</v>
      </c>
      <c r="O570" t="s">
        <v>1168</v>
      </c>
      <c r="P570" t="s">
        <v>910</v>
      </c>
    </row>
    <row r="571" spans="1:16" x14ac:dyDescent="0.4">
      <c r="A571" s="2">
        <v>45909</v>
      </c>
      <c r="B571" t="s">
        <v>37</v>
      </c>
      <c r="C571" t="s">
        <v>649</v>
      </c>
      <c r="D571" s="3" t="str">
        <f t="shared" si="16"/>
        <v>PASS</v>
      </c>
      <c r="E571" s="3" t="str">
        <f t="shared" si="17"/>
        <v>PASS</v>
      </c>
      <c r="F571" t="s">
        <v>649</v>
      </c>
      <c r="G571" t="s">
        <v>649</v>
      </c>
      <c r="H571" s="3">
        <v>40161171.240000002</v>
      </c>
      <c r="I571" s="3">
        <v>34837345</v>
      </c>
      <c r="J571" s="3">
        <v>2525.63</v>
      </c>
      <c r="K571" s="4">
        <v>2008058.5619999999</v>
      </c>
      <c r="L571" s="4">
        <v>0.20560264142211621</v>
      </c>
      <c r="M571" s="3">
        <v>3</v>
      </c>
      <c r="N571" t="s">
        <v>1187</v>
      </c>
      <c r="O571" t="s">
        <v>896</v>
      </c>
      <c r="P571" t="s">
        <v>915</v>
      </c>
    </row>
    <row r="572" spans="1:16" x14ac:dyDescent="0.4">
      <c r="A572" s="2">
        <v>45909</v>
      </c>
      <c r="B572" t="s">
        <v>38</v>
      </c>
      <c r="C572" t="s">
        <v>649</v>
      </c>
      <c r="D572" s="3" t="str">
        <f t="shared" si="16"/>
        <v>PASS</v>
      </c>
      <c r="E572" s="3" t="str">
        <f t="shared" si="17"/>
        <v>PASS</v>
      </c>
      <c r="F572" t="s">
        <v>649</v>
      </c>
      <c r="G572" t="s">
        <v>649</v>
      </c>
      <c r="H572" s="3">
        <v>43231803.119999997</v>
      </c>
      <c r="I572" s="3">
        <v>37886993.430000007</v>
      </c>
      <c r="J572" s="3">
        <v>2663.75</v>
      </c>
      <c r="K572" s="4">
        <v>2161590.156</v>
      </c>
      <c r="L572" s="4">
        <v>0.2118972486255089</v>
      </c>
      <c r="M572" s="3">
        <v>3</v>
      </c>
      <c r="N572" t="s">
        <v>1188</v>
      </c>
      <c r="O572" t="s">
        <v>740</v>
      </c>
      <c r="P572" t="s">
        <v>1129</v>
      </c>
    </row>
    <row r="573" spans="1:16" x14ac:dyDescent="0.4">
      <c r="A573" s="2">
        <v>45909</v>
      </c>
      <c r="B573" t="s">
        <v>39</v>
      </c>
      <c r="C573" t="s">
        <v>649</v>
      </c>
      <c r="D573" s="3" t="str">
        <f t="shared" si="16"/>
        <v>PASS</v>
      </c>
      <c r="E573" s="3" t="str">
        <f t="shared" si="17"/>
        <v>PASS</v>
      </c>
      <c r="F573" t="s">
        <v>649</v>
      </c>
      <c r="G573" t="s">
        <v>649</v>
      </c>
      <c r="H573" s="3">
        <v>78413558.390000001</v>
      </c>
      <c r="I573" s="3">
        <v>71219152.109999985</v>
      </c>
      <c r="J573" s="3">
        <v>5095.57</v>
      </c>
      <c r="K573" s="4">
        <v>3920677.9194999998</v>
      </c>
      <c r="L573" s="4">
        <v>0.20814233439722329</v>
      </c>
      <c r="M573" s="3">
        <v>3</v>
      </c>
      <c r="N573" t="s">
        <v>1189</v>
      </c>
      <c r="O573" t="s">
        <v>757</v>
      </c>
      <c r="P573" t="s">
        <v>866</v>
      </c>
    </row>
    <row r="574" spans="1:16" x14ac:dyDescent="0.4">
      <c r="A574" s="2">
        <v>45910</v>
      </c>
      <c r="B574" t="s">
        <v>27</v>
      </c>
      <c r="C574" t="s">
        <v>649</v>
      </c>
      <c r="D574" s="3" t="str">
        <f t="shared" si="16"/>
        <v>PASS</v>
      </c>
      <c r="E574" s="3" t="str">
        <f t="shared" si="17"/>
        <v>PASS</v>
      </c>
      <c r="F574" t="s">
        <v>649</v>
      </c>
      <c r="G574" t="s">
        <v>649</v>
      </c>
      <c r="H574" s="3">
        <v>54407054.549999997</v>
      </c>
      <c r="I574" s="3">
        <v>50163564</v>
      </c>
      <c r="J574" s="3">
        <v>3635.03</v>
      </c>
      <c r="K574" s="4">
        <v>2720352.7275</v>
      </c>
      <c r="L574" s="4">
        <v>0</v>
      </c>
      <c r="M574" s="3">
        <v>0</v>
      </c>
      <c r="N574" t="s">
        <v>29</v>
      </c>
      <c r="O574" t="s">
        <v>971</v>
      </c>
      <c r="P574" t="s">
        <v>1125</v>
      </c>
    </row>
    <row r="575" spans="1:16" x14ac:dyDescent="0.4">
      <c r="A575" s="2">
        <v>45910</v>
      </c>
      <c r="B575" t="s">
        <v>30</v>
      </c>
      <c r="C575" t="s">
        <v>649</v>
      </c>
      <c r="D575" s="3" t="str">
        <f t="shared" si="16"/>
        <v>PASS</v>
      </c>
      <c r="E575" s="3" t="str">
        <f t="shared" si="17"/>
        <v>PASS</v>
      </c>
      <c r="F575" t="s">
        <v>649</v>
      </c>
      <c r="G575" t="s">
        <v>649</v>
      </c>
      <c r="H575" s="3">
        <v>34555943.159999996</v>
      </c>
      <c r="I575" s="3">
        <v>32880329.010000002</v>
      </c>
      <c r="J575" s="3">
        <v>2338.0500000000002</v>
      </c>
      <c r="K575" s="4">
        <v>1727797.1580000001</v>
      </c>
      <c r="L575" s="4">
        <v>0.20931964554014729</v>
      </c>
      <c r="M575" s="3">
        <v>3</v>
      </c>
      <c r="N575" t="s">
        <v>1190</v>
      </c>
      <c r="O575" t="s">
        <v>1144</v>
      </c>
      <c r="P575" t="s">
        <v>915</v>
      </c>
    </row>
    <row r="576" spans="1:16" x14ac:dyDescent="0.4">
      <c r="A576" s="2">
        <v>45910</v>
      </c>
      <c r="B576" t="s">
        <v>31</v>
      </c>
      <c r="C576" t="s">
        <v>649</v>
      </c>
      <c r="D576" s="3" t="str">
        <f t="shared" si="16"/>
        <v>PASS</v>
      </c>
      <c r="E576" s="3" t="str">
        <f t="shared" si="17"/>
        <v>PASS</v>
      </c>
      <c r="F576" t="s">
        <v>649</v>
      </c>
      <c r="G576" t="s">
        <v>649</v>
      </c>
      <c r="H576" s="3">
        <v>23344068.539999999</v>
      </c>
      <c r="I576" s="3">
        <v>21670194.559999999</v>
      </c>
      <c r="J576" s="3">
        <v>1551.15</v>
      </c>
      <c r="K576" s="4">
        <v>1167203.4269999999</v>
      </c>
      <c r="L576" s="4">
        <v>0.20810793704201849</v>
      </c>
      <c r="M576" s="3">
        <v>3</v>
      </c>
      <c r="N576" t="s">
        <v>1191</v>
      </c>
      <c r="O576" t="s">
        <v>1168</v>
      </c>
      <c r="P576" t="s">
        <v>913</v>
      </c>
    </row>
    <row r="577" spans="1:16" x14ac:dyDescent="0.4">
      <c r="A577" s="2">
        <v>45910</v>
      </c>
      <c r="B577" t="s">
        <v>32</v>
      </c>
      <c r="C577" t="s">
        <v>649</v>
      </c>
      <c r="D577" s="3" t="str">
        <f t="shared" si="16"/>
        <v>PASS</v>
      </c>
      <c r="E577" s="3" t="str">
        <f t="shared" si="17"/>
        <v>PASS</v>
      </c>
      <c r="F577" t="s">
        <v>649</v>
      </c>
      <c r="G577" t="s">
        <v>649</v>
      </c>
      <c r="H577" s="3">
        <v>24626609.82</v>
      </c>
      <c r="I577" s="3">
        <v>20763388.559999999</v>
      </c>
      <c r="J577" s="3">
        <v>1495.83</v>
      </c>
      <c r="K577" s="4">
        <v>1231330.4909999999</v>
      </c>
      <c r="L577" s="4">
        <v>0.20672277659954619</v>
      </c>
      <c r="M577" s="3">
        <v>3</v>
      </c>
      <c r="N577" t="s">
        <v>1192</v>
      </c>
      <c r="O577" t="s">
        <v>1166</v>
      </c>
      <c r="P577" t="s">
        <v>941</v>
      </c>
    </row>
    <row r="578" spans="1:16" x14ac:dyDescent="0.4">
      <c r="A578" s="2">
        <v>45910</v>
      </c>
      <c r="B578" t="s">
        <v>33</v>
      </c>
      <c r="C578" t="s">
        <v>649</v>
      </c>
      <c r="D578" s="3" t="str">
        <f t="shared" ref="D578:D641" si="18">IF(I578/H578&gt;=0.5,"PASS","FAIL")</f>
        <v>PASS</v>
      </c>
      <c r="E578" s="3" t="str">
        <f t="shared" ref="E578:E641" si="19">IF(L578&lt;=0.5,"PASS","FAIL")</f>
        <v>PASS</v>
      </c>
      <c r="F578" t="s">
        <v>649</v>
      </c>
      <c r="G578" t="s">
        <v>649</v>
      </c>
      <c r="H578" s="3">
        <v>15301579.01</v>
      </c>
      <c r="I578" s="3">
        <v>13763814.48</v>
      </c>
      <c r="J578" s="3">
        <v>988.36</v>
      </c>
      <c r="K578" s="4">
        <v>765078.95050000004</v>
      </c>
      <c r="L578" s="4">
        <v>0.20745770682209499</v>
      </c>
      <c r="M578" s="3">
        <v>3</v>
      </c>
      <c r="N578" t="s">
        <v>1193</v>
      </c>
      <c r="O578" t="s">
        <v>1166</v>
      </c>
      <c r="P578" t="s">
        <v>941</v>
      </c>
    </row>
    <row r="579" spans="1:16" x14ac:dyDescent="0.4">
      <c r="A579" s="2">
        <v>45910</v>
      </c>
      <c r="B579" t="s">
        <v>34</v>
      </c>
      <c r="C579" t="s">
        <v>649</v>
      </c>
      <c r="D579" s="3" t="str">
        <f t="shared" si="18"/>
        <v>PASS</v>
      </c>
      <c r="E579" s="3" t="str">
        <f t="shared" si="19"/>
        <v>PASS</v>
      </c>
      <c r="F579" t="s">
        <v>649</v>
      </c>
      <c r="G579" t="s">
        <v>649</v>
      </c>
      <c r="H579" s="3">
        <v>166363595.44</v>
      </c>
      <c r="I579" s="3">
        <v>143280772.24000001</v>
      </c>
      <c r="J579" s="3">
        <v>10293.459999999999</v>
      </c>
      <c r="K579" s="4">
        <v>8318179.7719999999</v>
      </c>
      <c r="L579" s="4">
        <v>0.20728628999000401</v>
      </c>
      <c r="M579" s="3">
        <v>3</v>
      </c>
      <c r="N579" t="s">
        <v>1194</v>
      </c>
      <c r="O579" t="s">
        <v>1166</v>
      </c>
      <c r="P579" t="s">
        <v>941</v>
      </c>
    </row>
    <row r="580" spans="1:16" x14ac:dyDescent="0.4">
      <c r="A580" s="2">
        <v>45910</v>
      </c>
      <c r="B580" t="s">
        <v>35</v>
      </c>
      <c r="C580" t="s">
        <v>649</v>
      </c>
      <c r="D580" s="3" t="str">
        <f t="shared" si="18"/>
        <v>PASS</v>
      </c>
      <c r="E580" s="3" t="str">
        <f t="shared" si="19"/>
        <v>PASS</v>
      </c>
      <c r="F580" t="s">
        <v>649</v>
      </c>
      <c r="G580" t="s">
        <v>649</v>
      </c>
      <c r="H580" s="3">
        <v>135226364.96000001</v>
      </c>
      <c r="I580" s="3">
        <v>124061295.17</v>
      </c>
      <c r="J580" s="3">
        <v>8676.7099999999991</v>
      </c>
      <c r="K580" s="4">
        <v>6761318.2480000006</v>
      </c>
      <c r="L580" s="4">
        <v>0.21284847714178409</v>
      </c>
      <c r="M580" s="3">
        <v>3</v>
      </c>
      <c r="N580" t="s">
        <v>1195</v>
      </c>
      <c r="O580" t="s">
        <v>744</v>
      </c>
      <c r="P580" t="s">
        <v>1129</v>
      </c>
    </row>
    <row r="581" spans="1:16" x14ac:dyDescent="0.4">
      <c r="A581" s="2">
        <v>45910</v>
      </c>
      <c r="B581" t="s">
        <v>36</v>
      </c>
      <c r="C581" t="s">
        <v>649</v>
      </c>
      <c r="D581" s="3" t="str">
        <f t="shared" si="18"/>
        <v>PASS</v>
      </c>
      <c r="E581" s="3" t="str">
        <f t="shared" si="19"/>
        <v>PASS</v>
      </c>
      <c r="F581" t="s">
        <v>649</v>
      </c>
      <c r="G581" t="s">
        <v>649</v>
      </c>
      <c r="H581" s="3">
        <v>100942546.63</v>
      </c>
      <c r="I581" s="3">
        <v>92440869.24000001</v>
      </c>
      <c r="J581" s="3">
        <v>6663.43</v>
      </c>
      <c r="K581" s="4">
        <v>5047127.3315000003</v>
      </c>
      <c r="L581" s="4">
        <v>0.20658442079617889</v>
      </c>
      <c r="M581" s="3">
        <v>3</v>
      </c>
      <c r="N581" t="s">
        <v>1196</v>
      </c>
      <c r="O581" t="s">
        <v>1166</v>
      </c>
      <c r="P581" t="s">
        <v>941</v>
      </c>
    </row>
    <row r="582" spans="1:16" x14ac:dyDescent="0.4">
      <c r="A582" s="2">
        <v>45910</v>
      </c>
      <c r="B582" t="s">
        <v>37</v>
      </c>
      <c r="C582" t="s">
        <v>649</v>
      </c>
      <c r="D582" s="3" t="str">
        <f t="shared" si="18"/>
        <v>PASS</v>
      </c>
      <c r="E582" s="3" t="str">
        <f t="shared" si="19"/>
        <v>PASS</v>
      </c>
      <c r="F582" t="s">
        <v>649</v>
      </c>
      <c r="G582" t="s">
        <v>649</v>
      </c>
      <c r="H582" s="3">
        <v>40190436.909999996</v>
      </c>
      <c r="I582" s="3">
        <v>35034053.25</v>
      </c>
      <c r="J582" s="3">
        <v>2531.2199999999998</v>
      </c>
      <c r="K582" s="4">
        <v>2009521.8455000001</v>
      </c>
      <c r="L582" s="4">
        <v>0.20608663552422871</v>
      </c>
      <c r="M582" s="3">
        <v>3</v>
      </c>
      <c r="N582" t="s">
        <v>1197</v>
      </c>
      <c r="O582" t="s">
        <v>1198</v>
      </c>
      <c r="P582" t="s">
        <v>1199</v>
      </c>
    </row>
    <row r="583" spans="1:16" x14ac:dyDescent="0.4">
      <c r="A583" s="2">
        <v>45910</v>
      </c>
      <c r="B583" t="s">
        <v>38</v>
      </c>
      <c r="C583" t="s">
        <v>649</v>
      </c>
      <c r="D583" s="3" t="str">
        <f t="shared" si="18"/>
        <v>PASS</v>
      </c>
      <c r="E583" s="3" t="str">
        <f t="shared" si="19"/>
        <v>PASS</v>
      </c>
      <c r="F583" t="s">
        <v>649</v>
      </c>
      <c r="G583" t="s">
        <v>649</v>
      </c>
      <c r="H583" s="3">
        <v>43279245.32</v>
      </c>
      <c r="I583" s="3">
        <v>38100945.210000001</v>
      </c>
      <c r="J583" s="3">
        <v>2670.99</v>
      </c>
      <c r="K583" s="4">
        <v>2163962.2659999998</v>
      </c>
      <c r="L583" s="4">
        <v>0.21230067019720511</v>
      </c>
      <c r="M583" s="3">
        <v>3</v>
      </c>
      <c r="N583" t="s">
        <v>1200</v>
      </c>
      <c r="O583" t="s">
        <v>744</v>
      </c>
      <c r="P583" t="s">
        <v>1133</v>
      </c>
    </row>
    <row r="584" spans="1:16" x14ac:dyDescent="0.4">
      <c r="A584" s="2">
        <v>45910</v>
      </c>
      <c r="B584" t="s">
        <v>39</v>
      </c>
      <c r="C584" t="s">
        <v>649</v>
      </c>
      <c r="D584" s="3" t="str">
        <f t="shared" si="18"/>
        <v>PASS</v>
      </c>
      <c r="E584" s="3" t="str">
        <f t="shared" si="19"/>
        <v>PASS</v>
      </c>
      <c r="F584" t="s">
        <v>649</v>
      </c>
      <c r="G584" t="s">
        <v>649</v>
      </c>
      <c r="H584" s="3">
        <v>78505763.659999996</v>
      </c>
      <c r="I584" s="3">
        <v>71621372.430000007</v>
      </c>
      <c r="J584" s="3">
        <v>5110.18</v>
      </c>
      <c r="K584" s="4">
        <v>3925288.1830000002</v>
      </c>
      <c r="L584" s="4">
        <v>0.20853473119969129</v>
      </c>
      <c r="M584" s="3">
        <v>3</v>
      </c>
      <c r="N584" t="s">
        <v>1201</v>
      </c>
      <c r="O584" t="s">
        <v>1168</v>
      </c>
      <c r="P584" t="s">
        <v>913</v>
      </c>
    </row>
    <row r="585" spans="1:16" x14ac:dyDescent="0.4">
      <c r="A585" s="2">
        <v>45911</v>
      </c>
      <c r="B585" t="s">
        <v>27</v>
      </c>
      <c r="C585" t="s">
        <v>649</v>
      </c>
      <c r="D585" s="3" t="str">
        <f t="shared" si="18"/>
        <v>PASS</v>
      </c>
      <c r="E585" s="3" t="str">
        <f t="shared" si="19"/>
        <v>PASS</v>
      </c>
      <c r="F585" t="s">
        <v>649</v>
      </c>
      <c r="G585" t="s">
        <v>649</v>
      </c>
      <c r="H585" s="3">
        <v>54853468.310000002</v>
      </c>
      <c r="I585" s="3">
        <v>50912489.939999998</v>
      </c>
      <c r="J585" s="3">
        <v>3625.58</v>
      </c>
      <c r="K585" s="4">
        <v>2742673.4155000001</v>
      </c>
      <c r="L585" s="4">
        <v>0</v>
      </c>
      <c r="M585" s="3">
        <v>0</v>
      </c>
      <c r="N585" t="s">
        <v>29</v>
      </c>
      <c r="O585" t="s">
        <v>1202</v>
      </c>
      <c r="P585" t="s">
        <v>651</v>
      </c>
    </row>
    <row r="586" spans="1:16" x14ac:dyDescent="0.4">
      <c r="A586" s="2">
        <v>45911</v>
      </c>
      <c r="B586" t="s">
        <v>30</v>
      </c>
      <c r="C586" t="s">
        <v>649</v>
      </c>
      <c r="D586" s="3" t="str">
        <f t="shared" si="18"/>
        <v>PASS</v>
      </c>
      <c r="E586" s="3" t="str">
        <f t="shared" si="19"/>
        <v>PASS</v>
      </c>
      <c r="F586" t="s">
        <v>649</v>
      </c>
      <c r="G586" t="s">
        <v>649</v>
      </c>
      <c r="H586" s="3">
        <v>34650539.539999999</v>
      </c>
      <c r="I586" s="3">
        <v>33078264.489999998</v>
      </c>
      <c r="J586" s="3">
        <v>2345.56</v>
      </c>
      <c r="K586" s="4">
        <v>1732526.977</v>
      </c>
      <c r="L586" s="4">
        <v>0.20917596150200671</v>
      </c>
      <c r="M586" s="3">
        <v>3</v>
      </c>
      <c r="N586" t="s">
        <v>1203</v>
      </c>
      <c r="O586" t="s">
        <v>1131</v>
      </c>
      <c r="P586" t="s">
        <v>910</v>
      </c>
    </row>
    <row r="587" spans="1:16" x14ac:dyDescent="0.4">
      <c r="A587" s="2">
        <v>45911</v>
      </c>
      <c r="B587" t="s">
        <v>31</v>
      </c>
      <c r="C587" t="s">
        <v>649</v>
      </c>
      <c r="D587" s="3" t="str">
        <f t="shared" si="18"/>
        <v>PASS</v>
      </c>
      <c r="E587" s="3" t="str">
        <f t="shared" si="19"/>
        <v>PASS</v>
      </c>
      <c r="F587" t="s">
        <v>649</v>
      </c>
      <c r="G587" t="s">
        <v>649</v>
      </c>
      <c r="H587" s="3">
        <v>23442746.07</v>
      </c>
      <c r="I587" s="3">
        <v>21800664.559999999</v>
      </c>
      <c r="J587" s="3">
        <v>1555.73</v>
      </c>
      <c r="K587" s="4">
        <v>1172137.3034999999</v>
      </c>
      <c r="L587" s="4">
        <v>0.2080659889208944</v>
      </c>
      <c r="M587" s="3">
        <v>3</v>
      </c>
      <c r="N587" t="s">
        <v>1204</v>
      </c>
      <c r="O587" t="s">
        <v>1144</v>
      </c>
      <c r="P587" t="s">
        <v>915</v>
      </c>
    </row>
    <row r="588" spans="1:16" x14ac:dyDescent="0.4">
      <c r="A588" s="2">
        <v>45911</v>
      </c>
      <c r="B588" t="s">
        <v>32</v>
      </c>
      <c r="C588" t="s">
        <v>649</v>
      </c>
      <c r="D588" s="3" t="str">
        <f t="shared" si="18"/>
        <v>PASS</v>
      </c>
      <c r="E588" s="3" t="str">
        <f t="shared" si="19"/>
        <v>PASS</v>
      </c>
      <c r="F588" t="s">
        <v>649</v>
      </c>
      <c r="G588" t="s">
        <v>649</v>
      </c>
      <c r="H588" s="3">
        <v>24707809.949999999</v>
      </c>
      <c r="I588" s="3">
        <v>20888413.32</v>
      </c>
      <c r="J588" s="3">
        <v>1500.28</v>
      </c>
      <c r="K588" s="4">
        <v>1235390.4975000001</v>
      </c>
      <c r="L588" s="4">
        <v>0.20682033057823801</v>
      </c>
      <c r="M588" s="3">
        <v>3</v>
      </c>
      <c r="N588" t="s">
        <v>1205</v>
      </c>
      <c r="O588" t="s">
        <v>1168</v>
      </c>
      <c r="P588" t="s">
        <v>915</v>
      </c>
    </row>
    <row r="589" spans="1:16" x14ac:dyDescent="0.4">
      <c r="A589" s="2">
        <v>45911</v>
      </c>
      <c r="B589" t="s">
        <v>33</v>
      </c>
      <c r="C589" t="s">
        <v>649</v>
      </c>
      <c r="D589" s="3" t="str">
        <f t="shared" si="18"/>
        <v>PASS</v>
      </c>
      <c r="E589" s="3" t="str">
        <f t="shared" si="19"/>
        <v>PASS</v>
      </c>
      <c r="F589" t="s">
        <v>649</v>
      </c>
      <c r="G589" t="s">
        <v>649</v>
      </c>
      <c r="H589" s="3">
        <v>15363529.32</v>
      </c>
      <c r="I589" s="3">
        <v>13846699.970000001</v>
      </c>
      <c r="J589" s="3">
        <v>991.21</v>
      </c>
      <c r="K589" s="4">
        <v>768176.46600000001</v>
      </c>
      <c r="L589" s="4">
        <v>0.20742958129424041</v>
      </c>
      <c r="M589" s="3">
        <v>3</v>
      </c>
      <c r="N589" t="s">
        <v>1206</v>
      </c>
      <c r="O589" t="s">
        <v>1144</v>
      </c>
      <c r="P589" t="s">
        <v>915</v>
      </c>
    </row>
    <row r="590" spans="1:16" x14ac:dyDescent="0.4">
      <c r="A590" s="2">
        <v>45911</v>
      </c>
      <c r="B590" t="s">
        <v>34</v>
      </c>
      <c r="C590" t="s">
        <v>649</v>
      </c>
      <c r="D590" s="3" t="str">
        <f t="shared" si="18"/>
        <v>PASS</v>
      </c>
      <c r="E590" s="3" t="str">
        <f t="shared" si="19"/>
        <v>PASS</v>
      </c>
      <c r="F590" t="s">
        <v>649</v>
      </c>
      <c r="G590" t="s">
        <v>649</v>
      </c>
      <c r="H590" s="3">
        <v>166925460.13999999</v>
      </c>
      <c r="I590" s="3">
        <v>144143433</v>
      </c>
      <c r="J590" s="3">
        <v>10321.85</v>
      </c>
      <c r="K590" s="4">
        <v>8346273.0069999993</v>
      </c>
      <c r="L590" s="4">
        <v>0.20737966665791949</v>
      </c>
      <c r="M590" s="3">
        <v>3</v>
      </c>
      <c r="N590" t="s">
        <v>1207</v>
      </c>
      <c r="O590" t="s">
        <v>1144</v>
      </c>
      <c r="P590" t="s">
        <v>915</v>
      </c>
    </row>
    <row r="591" spans="1:16" x14ac:dyDescent="0.4">
      <c r="A591" s="2">
        <v>45911</v>
      </c>
      <c r="B591" t="s">
        <v>35</v>
      </c>
      <c r="C591" t="s">
        <v>649</v>
      </c>
      <c r="D591" s="3" t="str">
        <f t="shared" si="18"/>
        <v>PASS</v>
      </c>
      <c r="E591" s="3" t="str">
        <f t="shared" si="19"/>
        <v>PASS</v>
      </c>
      <c r="F591" t="s">
        <v>649</v>
      </c>
      <c r="G591" t="s">
        <v>649</v>
      </c>
      <c r="H591" s="3">
        <v>135833799.66</v>
      </c>
      <c r="I591" s="3">
        <v>124808206.83</v>
      </c>
      <c r="J591" s="3">
        <v>8703.57</v>
      </c>
      <c r="K591" s="4">
        <v>6791689.983</v>
      </c>
      <c r="L591" s="4">
        <v>0.2127080822081906</v>
      </c>
      <c r="M591" s="3">
        <v>3</v>
      </c>
      <c r="N591" t="s">
        <v>1208</v>
      </c>
      <c r="O591" t="s">
        <v>748</v>
      </c>
      <c r="P591" t="s">
        <v>1127</v>
      </c>
    </row>
    <row r="592" spans="1:16" x14ac:dyDescent="0.4">
      <c r="A592" s="2">
        <v>45911</v>
      </c>
      <c r="B592" t="s">
        <v>36</v>
      </c>
      <c r="C592" t="s">
        <v>649</v>
      </c>
      <c r="D592" s="3" t="str">
        <f t="shared" si="18"/>
        <v>PASS</v>
      </c>
      <c r="E592" s="3" t="str">
        <f t="shared" si="19"/>
        <v>PASS</v>
      </c>
      <c r="F592" t="s">
        <v>649</v>
      </c>
      <c r="G592" t="s">
        <v>649</v>
      </c>
      <c r="H592" s="3">
        <v>101334668.13</v>
      </c>
      <c r="I592" s="3">
        <v>92997440.149999991</v>
      </c>
      <c r="J592" s="3">
        <v>6682.48</v>
      </c>
      <c r="K592" s="4">
        <v>5066733.4065000014</v>
      </c>
      <c r="L592" s="4">
        <v>0.206613996095668</v>
      </c>
      <c r="M592" s="3">
        <v>3</v>
      </c>
      <c r="N592" t="s">
        <v>1209</v>
      </c>
      <c r="O592" t="s">
        <v>1168</v>
      </c>
      <c r="P592" t="s">
        <v>913</v>
      </c>
    </row>
    <row r="593" spans="1:16" x14ac:dyDescent="0.4">
      <c r="A593" s="2">
        <v>45911</v>
      </c>
      <c r="B593" t="s">
        <v>37</v>
      </c>
      <c r="C593" t="s">
        <v>649</v>
      </c>
      <c r="D593" s="3" t="str">
        <f t="shared" si="18"/>
        <v>PASS</v>
      </c>
      <c r="E593" s="3" t="str">
        <f t="shared" si="19"/>
        <v>PASS</v>
      </c>
      <c r="F593" t="s">
        <v>649</v>
      </c>
      <c r="G593" t="s">
        <v>649</v>
      </c>
      <c r="H593" s="3">
        <v>40333590.549999997</v>
      </c>
      <c r="I593" s="3">
        <v>35244985.009999998</v>
      </c>
      <c r="J593" s="3">
        <v>2538.85</v>
      </c>
      <c r="K593" s="4">
        <v>2016679.5275000001</v>
      </c>
      <c r="L593" s="4">
        <v>0.20615015731430891</v>
      </c>
      <c r="M593" s="3">
        <v>3</v>
      </c>
      <c r="N593" t="s">
        <v>1210</v>
      </c>
      <c r="O593" t="s">
        <v>1168</v>
      </c>
      <c r="P593" t="s">
        <v>913</v>
      </c>
    </row>
    <row r="594" spans="1:16" x14ac:dyDescent="0.4">
      <c r="A594" s="2">
        <v>45911</v>
      </c>
      <c r="B594" t="s">
        <v>38</v>
      </c>
      <c r="C594" t="s">
        <v>649</v>
      </c>
      <c r="D594" s="3" t="str">
        <f t="shared" si="18"/>
        <v>PASS</v>
      </c>
      <c r="E594" s="3" t="str">
        <f t="shared" si="19"/>
        <v>PASS</v>
      </c>
      <c r="F594" t="s">
        <v>649</v>
      </c>
      <c r="G594" t="s">
        <v>649</v>
      </c>
      <c r="H594" s="3">
        <v>43455337.729999997</v>
      </c>
      <c r="I594" s="3">
        <v>38330383.390000001</v>
      </c>
      <c r="J594" s="3">
        <v>2680.24</v>
      </c>
      <c r="K594" s="4">
        <v>2172766.8865</v>
      </c>
      <c r="L594" s="4">
        <v>0.21222321883298559</v>
      </c>
      <c r="M594" s="3">
        <v>3</v>
      </c>
      <c r="N594" t="s">
        <v>1211</v>
      </c>
      <c r="O594" t="s">
        <v>786</v>
      </c>
      <c r="P594" t="s">
        <v>1127</v>
      </c>
    </row>
    <row r="595" spans="1:16" x14ac:dyDescent="0.4">
      <c r="A595" s="2">
        <v>45911</v>
      </c>
      <c r="B595" t="s">
        <v>39</v>
      </c>
      <c r="C595" t="s">
        <v>649</v>
      </c>
      <c r="D595" s="3" t="str">
        <f t="shared" si="18"/>
        <v>PASS</v>
      </c>
      <c r="E595" s="3" t="str">
        <f t="shared" si="19"/>
        <v>PASS</v>
      </c>
      <c r="F595" t="s">
        <v>649</v>
      </c>
      <c r="G595" t="s">
        <v>649</v>
      </c>
      <c r="H595" s="3">
        <v>78847647.140000001</v>
      </c>
      <c r="I595" s="3">
        <v>72052635.810000002</v>
      </c>
      <c r="J595" s="3">
        <v>5127.97</v>
      </c>
      <c r="K595" s="4">
        <v>3942382.3569999998</v>
      </c>
      <c r="L595" s="4">
        <v>0.20844424925057431</v>
      </c>
      <c r="M595" s="3">
        <v>3</v>
      </c>
      <c r="N595" t="s">
        <v>1212</v>
      </c>
      <c r="O595" t="s">
        <v>1131</v>
      </c>
      <c r="P595" t="s">
        <v>910</v>
      </c>
    </row>
    <row r="596" spans="1:16" x14ac:dyDescent="0.4">
      <c r="A596" s="2">
        <v>45912</v>
      </c>
      <c r="B596" t="s">
        <v>27</v>
      </c>
      <c r="C596" t="s">
        <v>649</v>
      </c>
      <c r="D596" s="3" t="str">
        <f t="shared" si="18"/>
        <v>PASS</v>
      </c>
      <c r="E596" s="3" t="str">
        <f t="shared" si="19"/>
        <v>PASS</v>
      </c>
      <c r="F596" t="s">
        <v>649</v>
      </c>
      <c r="G596" t="s">
        <v>649</v>
      </c>
      <c r="H596" s="3">
        <v>54596246.43</v>
      </c>
      <c r="I596" s="3">
        <v>50609009.819999993</v>
      </c>
      <c r="J596" s="3">
        <v>10973.19</v>
      </c>
      <c r="K596" s="4">
        <v>2729812.3215000001</v>
      </c>
      <c r="L596" s="4">
        <v>0</v>
      </c>
      <c r="M596" s="3">
        <v>0</v>
      </c>
      <c r="N596" t="s">
        <v>29</v>
      </c>
      <c r="O596" t="s">
        <v>1213</v>
      </c>
      <c r="P596" t="s">
        <v>1214</v>
      </c>
    </row>
    <row r="597" spans="1:16" x14ac:dyDescent="0.4">
      <c r="A597" s="2">
        <v>45912</v>
      </c>
      <c r="B597" t="s">
        <v>30</v>
      </c>
      <c r="C597" t="s">
        <v>649</v>
      </c>
      <c r="D597" s="3" t="str">
        <f t="shared" si="18"/>
        <v>PASS</v>
      </c>
      <c r="E597" s="3" t="str">
        <f t="shared" si="19"/>
        <v>PASS</v>
      </c>
      <c r="F597" t="s">
        <v>649</v>
      </c>
      <c r="G597" t="s">
        <v>649</v>
      </c>
      <c r="H597" s="3">
        <v>34653589.560000002</v>
      </c>
      <c r="I597" s="3">
        <v>33077335.920000002</v>
      </c>
      <c r="J597" s="3">
        <v>7072.02</v>
      </c>
      <c r="K597" s="4">
        <v>1732679.4779999999</v>
      </c>
      <c r="L597" s="4">
        <v>0.21179446724079271</v>
      </c>
      <c r="M597" s="3">
        <v>3</v>
      </c>
      <c r="N597" t="s">
        <v>1215</v>
      </c>
      <c r="O597" t="s">
        <v>1144</v>
      </c>
      <c r="P597" t="s">
        <v>913</v>
      </c>
    </row>
    <row r="598" spans="1:16" x14ac:dyDescent="0.4">
      <c r="A598" s="2">
        <v>45912</v>
      </c>
      <c r="B598" t="s">
        <v>31</v>
      </c>
      <c r="C598" t="s">
        <v>649</v>
      </c>
      <c r="D598" s="3" t="str">
        <f t="shared" si="18"/>
        <v>PASS</v>
      </c>
      <c r="E598" s="3" t="str">
        <f t="shared" si="19"/>
        <v>PASS</v>
      </c>
      <c r="F598" t="s">
        <v>649</v>
      </c>
      <c r="G598" t="s">
        <v>649</v>
      </c>
      <c r="H598" s="3">
        <v>23448381.969999999</v>
      </c>
      <c r="I598" s="3">
        <v>21800032.329999998</v>
      </c>
      <c r="J598" s="3">
        <v>4688.34</v>
      </c>
      <c r="K598" s="4">
        <v>1172419.0985000001</v>
      </c>
      <c r="L598" s="4">
        <v>0.21063514976253439</v>
      </c>
      <c r="M598" s="3">
        <v>3</v>
      </c>
      <c r="N598" t="s">
        <v>1216</v>
      </c>
      <c r="O598" t="s">
        <v>1168</v>
      </c>
      <c r="P598" t="s">
        <v>913</v>
      </c>
    </row>
    <row r="599" spans="1:16" x14ac:dyDescent="0.4">
      <c r="A599" s="2">
        <v>45912</v>
      </c>
      <c r="B599" t="s">
        <v>32</v>
      </c>
      <c r="C599" t="s">
        <v>649</v>
      </c>
      <c r="D599" s="3" t="str">
        <f t="shared" si="18"/>
        <v>PASS</v>
      </c>
      <c r="E599" s="3" t="str">
        <f t="shared" si="19"/>
        <v>PASS</v>
      </c>
      <c r="F599" t="s">
        <v>649</v>
      </c>
      <c r="G599" t="s">
        <v>649</v>
      </c>
      <c r="H599" s="3">
        <v>24712942.559999999</v>
      </c>
      <c r="I599" s="3">
        <v>20887833.129999999</v>
      </c>
      <c r="J599" s="3">
        <v>4518.18</v>
      </c>
      <c r="K599" s="4">
        <v>1235647.128</v>
      </c>
      <c r="L599" s="4">
        <v>0.2093771158576597</v>
      </c>
      <c r="M599" s="3">
        <v>3</v>
      </c>
      <c r="N599" t="s">
        <v>1217</v>
      </c>
      <c r="O599" t="s">
        <v>1166</v>
      </c>
      <c r="P599" t="s">
        <v>941</v>
      </c>
    </row>
    <row r="600" spans="1:16" x14ac:dyDescent="0.4">
      <c r="A600" s="2">
        <v>45912</v>
      </c>
      <c r="B600" t="s">
        <v>33</v>
      </c>
      <c r="C600" t="s">
        <v>649</v>
      </c>
      <c r="D600" s="3" t="str">
        <f t="shared" si="18"/>
        <v>PASS</v>
      </c>
      <c r="E600" s="3" t="str">
        <f t="shared" si="19"/>
        <v>PASS</v>
      </c>
      <c r="F600" t="s">
        <v>649</v>
      </c>
      <c r="G600" t="s">
        <v>649</v>
      </c>
      <c r="H600" s="3">
        <v>15366570.98</v>
      </c>
      <c r="I600" s="3">
        <v>13846302.1</v>
      </c>
      <c r="J600" s="3">
        <v>2986.89</v>
      </c>
      <c r="K600" s="4">
        <v>768328.54900000012</v>
      </c>
      <c r="L600" s="4">
        <v>0.2099992828655747</v>
      </c>
      <c r="M600" s="3">
        <v>3</v>
      </c>
      <c r="N600" t="s">
        <v>1218</v>
      </c>
      <c r="O600" t="s">
        <v>1168</v>
      </c>
      <c r="P600" t="s">
        <v>941</v>
      </c>
    </row>
    <row r="601" spans="1:16" x14ac:dyDescent="0.4">
      <c r="A601" s="2">
        <v>45912</v>
      </c>
      <c r="B601" t="s">
        <v>34</v>
      </c>
      <c r="C601" t="s">
        <v>649</v>
      </c>
      <c r="D601" s="3" t="str">
        <f t="shared" si="18"/>
        <v>PASS</v>
      </c>
      <c r="E601" s="3" t="str">
        <f t="shared" si="19"/>
        <v>PASS</v>
      </c>
      <c r="F601" t="s">
        <v>649</v>
      </c>
      <c r="G601" t="s">
        <v>649</v>
      </c>
      <c r="H601" s="3">
        <v>166972047.44</v>
      </c>
      <c r="I601" s="3">
        <v>144139347.46000001</v>
      </c>
      <c r="J601" s="3">
        <v>31085.7</v>
      </c>
      <c r="K601" s="4">
        <v>8348602.3720000004</v>
      </c>
      <c r="L601" s="4">
        <v>0.20992679917704879</v>
      </c>
      <c r="M601" s="3">
        <v>3</v>
      </c>
      <c r="N601" t="s">
        <v>1219</v>
      </c>
      <c r="O601" t="s">
        <v>1168</v>
      </c>
      <c r="P601" t="s">
        <v>941</v>
      </c>
    </row>
    <row r="602" spans="1:16" x14ac:dyDescent="0.4">
      <c r="A602" s="2">
        <v>45912</v>
      </c>
      <c r="B602" t="s">
        <v>35</v>
      </c>
      <c r="C602" t="s">
        <v>649</v>
      </c>
      <c r="D602" s="3" t="str">
        <f t="shared" si="18"/>
        <v>PASS</v>
      </c>
      <c r="E602" s="3" t="str">
        <f t="shared" si="19"/>
        <v>PASS</v>
      </c>
      <c r="F602" t="s">
        <v>649</v>
      </c>
      <c r="G602" t="s">
        <v>649</v>
      </c>
      <c r="H602" s="3">
        <v>135849423.94</v>
      </c>
      <c r="I602" s="3">
        <v>124804614.70999999</v>
      </c>
      <c r="J602" s="3">
        <v>26241.119999999999</v>
      </c>
      <c r="K602" s="4">
        <v>6792471.1970000006</v>
      </c>
      <c r="L602" s="4">
        <v>0.21536303797532899</v>
      </c>
      <c r="M602" s="3">
        <v>3</v>
      </c>
      <c r="N602" t="s">
        <v>1220</v>
      </c>
      <c r="O602" t="s">
        <v>748</v>
      </c>
      <c r="P602" t="s">
        <v>1129</v>
      </c>
    </row>
    <row r="603" spans="1:16" x14ac:dyDescent="0.4">
      <c r="A603" s="2">
        <v>45912</v>
      </c>
      <c r="B603" t="s">
        <v>36</v>
      </c>
      <c r="C603" t="s">
        <v>649</v>
      </c>
      <c r="D603" s="3" t="str">
        <f t="shared" si="18"/>
        <v>PASS</v>
      </c>
      <c r="E603" s="3" t="str">
        <f t="shared" si="19"/>
        <v>PASS</v>
      </c>
      <c r="F603" t="s">
        <v>649</v>
      </c>
      <c r="G603" t="s">
        <v>649</v>
      </c>
      <c r="H603" s="3">
        <v>101359761.3</v>
      </c>
      <c r="I603" s="3">
        <v>92994790.780000001</v>
      </c>
      <c r="J603" s="3">
        <v>20131.38</v>
      </c>
      <c r="K603" s="4">
        <v>5067988.0650000004</v>
      </c>
      <c r="L603" s="4">
        <v>0.2091632374798367</v>
      </c>
      <c r="M603" s="3">
        <v>3</v>
      </c>
      <c r="N603" t="s">
        <v>1221</v>
      </c>
      <c r="O603" t="s">
        <v>1166</v>
      </c>
      <c r="P603" t="s">
        <v>941</v>
      </c>
    </row>
    <row r="604" spans="1:16" x14ac:dyDescent="0.4">
      <c r="A604" s="2">
        <v>45912</v>
      </c>
      <c r="B604" t="s">
        <v>37</v>
      </c>
      <c r="C604" t="s">
        <v>649</v>
      </c>
      <c r="D604" s="3" t="str">
        <f t="shared" si="18"/>
        <v>PASS</v>
      </c>
      <c r="E604" s="3" t="str">
        <f t="shared" si="19"/>
        <v>PASS</v>
      </c>
      <c r="F604" t="s">
        <v>649</v>
      </c>
      <c r="G604" t="s">
        <v>649</v>
      </c>
      <c r="H604" s="3">
        <v>40344706.140000001</v>
      </c>
      <c r="I604" s="3">
        <v>35243971.159999996</v>
      </c>
      <c r="J604" s="3">
        <v>7647.15</v>
      </c>
      <c r="K604" s="4">
        <v>2017235.307</v>
      </c>
      <c r="L604" s="4">
        <v>0.2086842591671301</v>
      </c>
      <c r="M604" s="3">
        <v>3</v>
      </c>
      <c r="N604" t="s">
        <v>1222</v>
      </c>
      <c r="O604" t="s">
        <v>1166</v>
      </c>
      <c r="P604" t="s">
        <v>1199</v>
      </c>
    </row>
    <row r="605" spans="1:16" x14ac:dyDescent="0.4">
      <c r="A605" s="2">
        <v>45912</v>
      </c>
      <c r="B605" t="s">
        <v>38</v>
      </c>
      <c r="C605" t="s">
        <v>649</v>
      </c>
      <c r="D605" s="3" t="str">
        <f t="shared" si="18"/>
        <v>PASS</v>
      </c>
      <c r="E605" s="3" t="str">
        <f t="shared" si="19"/>
        <v>PASS</v>
      </c>
      <c r="F605" t="s">
        <v>649</v>
      </c>
      <c r="G605" t="s">
        <v>649</v>
      </c>
      <c r="H605" s="3">
        <v>43466163.170000002</v>
      </c>
      <c r="I605" s="3">
        <v>38329335.350000001</v>
      </c>
      <c r="J605" s="3">
        <v>8078.49</v>
      </c>
      <c r="K605" s="4">
        <v>2173308.1584999999</v>
      </c>
      <c r="L605" s="4">
        <v>0.21483730971308609</v>
      </c>
      <c r="M605" s="3">
        <v>3</v>
      </c>
      <c r="N605" t="s">
        <v>1223</v>
      </c>
      <c r="O605" t="s">
        <v>786</v>
      </c>
      <c r="P605" t="s">
        <v>1133</v>
      </c>
    </row>
    <row r="606" spans="1:16" x14ac:dyDescent="0.4">
      <c r="A606" s="2">
        <v>45912</v>
      </c>
      <c r="B606" t="s">
        <v>39</v>
      </c>
      <c r="C606" t="s">
        <v>649</v>
      </c>
      <c r="D606" s="3" t="str">
        <f t="shared" si="18"/>
        <v>PASS</v>
      </c>
      <c r="E606" s="3" t="str">
        <f t="shared" si="19"/>
        <v>PASS</v>
      </c>
      <c r="F606" t="s">
        <v>649</v>
      </c>
      <c r="G606" t="s">
        <v>649</v>
      </c>
      <c r="H606" s="3">
        <v>78857266.140000001</v>
      </c>
      <c r="I606" s="3">
        <v>72050583.289999992</v>
      </c>
      <c r="J606" s="3">
        <v>15457.26</v>
      </c>
      <c r="K606" s="4">
        <v>3942863.307</v>
      </c>
      <c r="L606" s="4">
        <v>0.2110447611827273</v>
      </c>
      <c r="M606" s="3">
        <v>3</v>
      </c>
      <c r="N606" t="s">
        <v>1224</v>
      </c>
      <c r="O606" t="s">
        <v>1144</v>
      </c>
      <c r="P606" t="s">
        <v>913</v>
      </c>
    </row>
    <row r="607" spans="1:16" x14ac:dyDescent="0.4">
      <c r="A607" s="2">
        <v>45915</v>
      </c>
      <c r="B607" t="s">
        <v>27</v>
      </c>
      <c r="C607" t="s">
        <v>649</v>
      </c>
      <c r="D607" s="3" t="str">
        <f t="shared" si="18"/>
        <v>PASS</v>
      </c>
      <c r="E607" s="3" t="str">
        <f t="shared" si="19"/>
        <v>PASS</v>
      </c>
      <c r="F607" t="s">
        <v>649</v>
      </c>
      <c r="G607" t="s">
        <v>649</v>
      </c>
      <c r="H607" s="3">
        <v>54413596.82</v>
      </c>
      <c r="I607" s="3">
        <v>50195407.459999993</v>
      </c>
      <c r="J607" s="3">
        <v>3638.25</v>
      </c>
      <c r="K607" s="4">
        <v>2720679.841</v>
      </c>
      <c r="L607" s="4">
        <v>0</v>
      </c>
      <c r="M607" s="3">
        <v>0</v>
      </c>
      <c r="N607" t="s">
        <v>29</v>
      </c>
      <c r="O607" t="s">
        <v>821</v>
      </c>
      <c r="P607" t="s">
        <v>1225</v>
      </c>
    </row>
    <row r="608" spans="1:16" x14ac:dyDescent="0.4">
      <c r="A608" s="2">
        <v>45915</v>
      </c>
      <c r="B608" t="s">
        <v>30</v>
      </c>
      <c r="C608" t="s">
        <v>649</v>
      </c>
      <c r="D608" s="3" t="str">
        <f t="shared" si="18"/>
        <v>PASS</v>
      </c>
      <c r="E608" s="3" t="str">
        <f t="shared" si="19"/>
        <v>PASS</v>
      </c>
      <c r="F608" t="s">
        <v>649</v>
      </c>
      <c r="G608" t="s">
        <v>649</v>
      </c>
      <c r="H608" s="3">
        <v>34788721.609999999</v>
      </c>
      <c r="I608" s="3">
        <v>33165251.809999999</v>
      </c>
      <c r="J608" s="3">
        <v>2357.0500000000002</v>
      </c>
      <c r="K608" s="4">
        <v>1739436.0804999999</v>
      </c>
      <c r="L608" s="4">
        <v>0.21076577298106569</v>
      </c>
      <c r="M608" s="3">
        <v>3</v>
      </c>
      <c r="N608" t="s">
        <v>1226</v>
      </c>
      <c r="O608" t="s">
        <v>1227</v>
      </c>
      <c r="P608" t="s">
        <v>1228</v>
      </c>
    </row>
    <row r="609" spans="1:16" x14ac:dyDescent="0.4">
      <c r="A609" s="2">
        <v>45915</v>
      </c>
      <c r="B609" t="s">
        <v>31</v>
      </c>
      <c r="C609" t="s">
        <v>649</v>
      </c>
      <c r="D609" s="3" t="str">
        <f t="shared" si="18"/>
        <v>PASS</v>
      </c>
      <c r="E609" s="3" t="str">
        <f t="shared" si="19"/>
        <v>PASS</v>
      </c>
      <c r="F609" t="s">
        <v>649</v>
      </c>
      <c r="G609" t="s">
        <v>649</v>
      </c>
      <c r="H609" s="3">
        <v>23531632.140000001</v>
      </c>
      <c r="I609" s="3">
        <v>21854643.210000001</v>
      </c>
      <c r="J609" s="3">
        <v>1562.85</v>
      </c>
      <c r="K609" s="4">
        <v>1176581.6070000001</v>
      </c>
      <c r="L609" s="4">
        <v>0.20966376513361071</v>
      </c>
      <c r="M609" s="3">
        <v>3</v>
      </c>
      <c r="N609" t="s">
        <v>1229</v>
      </c>
      <c r="O609" t="s">
        <v>1230</v>
      </c>
      <c r="P609" t="s">
        <v>1199</v>
      </c>
    </row>
    <row r="610" spans="1:16" x14ac:dyDescent="0.4">
      <c r="A610" s="2">
        <v>45915</v>
      </c>
      <c r="B610" t="s">
        <v>32</v>
      </c>
      <c r="C610" t="s">
        <v>649</v>
      </c>
      <c r="D610" s="3" t="str">
        <f t="shared" si="18"/>
        <v>PASS</v>
      </c>
      <c r="E610" s="3" t="str">
        <f t="shared" si="19"/>
        <v>PASS</v>
      </c>
      <c r="F610" t="s">
        <v>649</v>
      </c>
      <c r="G610" t="s">
        <v>649</v>
      </c>
      <c r="H610" s="3">
        <v>24790138.030000001</v>
      </c>
      <c r="I610" s="3">
        <v>20959060.48</v>
      </c>
      <c r="J610" s="3">
        <v>1506.11</v>
      </c>
      <c r="K610" s="4">
        <v>1239506.9014999999</v>
      </c>
      <c r="L610" s="4">
        <v>0.2088143514993106</v>
      </c>
      <c r="M610" s="3">
        <v>3</v>
      </c>
      <c r="N610" t="s">
        <v>1231</v>
      </c>
      <c r="O610" t="s">
        <v>1230</v>
      </c>
      <c r="P610" t="s">
        <v>1232</v>
      </c>
    </row>
    <row r="611" spans="1:16" x14ac:dyDescent="0.4">
      <c r="A611" s="2">
        <v>45915</v>
      </c>
      <c r="B611" t="s">
        <v>33</v>
      </c>
      <c r="C611" t="s">
        <v>649</v>
      </c>
      <c r="D611" s="3" t="str">
        <f t="shared" si="18"/>
        <v>PASS</v>
      </c>
      <c r="E611" s="3" t="str">
        <f t="shared" si="19"/>
        <v>PASS</v>
      </c>
      <c r="F611" t="s">
        <v>649</v>
      </c>
      <c r="G611" t="s">
        <v>649</v>
      </c>
      <c r="H611" s="3">
        <v>15420428.34</v>
      </c>
      <c r="I611" s="3">
        <v>13918821.07</v>
      </c>
      <c r="J611" s="3">
        <v>995.64</v>
      </c>
      <c r="K611" s="4">
        <v>771021.41700000002</v>
      </c>
      <c r="L611" s="4">
        <v>0.20937946894966181</v>
      </c>
      <c r="M611" s="3">
        <v>3</v>
      </c>
      <c r="N611" t="s">
        <v>1233</v>
      </c>
      <c r="O611" t="s">
        <v>759</v>
      </c>
      <c r="P611" t="s">
        <v>1230</v>
      </c>
    </row>
    <row r="612" spans="1:16" x14ac:dyDescent="0.4">
      <c r="A612" s="2">
        <v>45915</v>
      </c>
      <c r="B612" t="s">
        <v>34</v>
      </c>
      <c r="C612" t="s">
        <v>649</v>
      </c>
      <c r="D612" s="3" t="str">
        <f t="shared" si="18"/>
        <v>PASS</v>
      </c>
      <c r="E612" s="3" t="str">
        <f t="shared" si="19"/>
        <v>PASS</v>
      </c>
      <c r="F612" t="s">
        <v>649</v>
      </c>
      <c r="G612" t="s">
        <v>649</v>
      </c>
      <c r="H612" s="3">
        <v>167463286.09</v>
      </c>
      <c r="I612" s="3">
        <v>144570904</v>
      </c>
      <c r="J612" s="3">
        <v>10363.02</v>
      </c>
      <c r="K612" s="4">
        <v>8373164.3045000006</v>
      </c>
      <c r="L612" s="4">
        <v>0.2090830622008987</v>
      </c>
      <c r="M612" s="3">
        <v>3</v>
      </c>
      <c r="N612" t="s">
        <v>1234</v>
      </c>
      <c r="O612" t="s">
        <v>1228</v>
      </c>
      <c r="P612" t="s">
        <v>1230</v>
      </c>
    </row>
    <row r="613" spans="1:16" x14ac:dyDescent="0.4">
      <c r="A613" s="2">
        <v>45915</v>
      </c>
      <c r="B613" t="s">
        <v>35</v>
      </c>
      <c r="C613" t="s">
        <v>649</v>
      </c>
      <c r="D613" s="3" t="str">
        <f t="shared" si="18"/>
        <v>PASS</v>
      </c>
      <c r="E613" s="3" t="str">
        <f t="shared" si="19"/>
        <v>PASS</v>
      </c>
      <c r="F613" t="s">
        <v>649</v>
      </c>
      <c r="G613" t="s">
        <v>649</v>
      </c>
      <c r="H613" s="3">
        <v>136342508.08000001</v>
      </c>
      <c r="I613" s="3">
        <v>125299731.06999999</v>
      </c>
      <c r="J613" s="3">
        <v>8746.27</v>
      </c>
      <c r="K613" s="4">
        <v>6817125.404000001</v>
      </c>
      <c r="L613" s="4">
        <v>0.21433108426095779</v>
      </c>
      <c r="M613" s="3">
        <v>3</v>
      </c>
      <c r="N613" t="s">
        <v>1235</v>
      </c>
      <c r="O613" t="s">
        <v>740</v>
      </c>
      <c r="P613" t="s">
        <v>1236</v>
      </c>
    </row>
    <row r="614" spans="1:16" x14ac:dyDescent="0.4">
      <c r="A614" s="2">
        <v>45915</v>
      </c>
      <c r="B614" t="s">
        <v>36</v>
      </c>
      <c r="C614" t="s">
        <v>649</v>
      </c>
      <c r="D614" s="3" t="str">
        <f t="shared" si="18"/>
        <v>PASS</v>
      </c>
      <c r="E614" s="3" t="str">
        <f t="shared" si="19"/>
        <v>PASS</v>
      </c>
      <c r="F614" t="s">
        <v>649</v>
      </c>
      <c r="G614" t="s">
        <v>649</v>
      </c>
      <c r="H614" s="3">
        <v>101692799.54000001</v>
      </c>
      <c r="I614" s="3">
        <v>93366848.00999999</v>
      </c>
      <c r="J614" s="3">
        <v>6710.82</v>
      </c>
      <c r="K614" s="4">
        <v>5084639.9770000009</v>
      </c>
      <c r="L614" s="4">
        <v>0.20827713948211141</v>
      </c>
      <c r="M614" s="3">
        <v>3</v>
      </c>
      <c r="N614" t="s">
        <v>1237</v>
      </c>
      <c r="O614" t="s">
        <v>1228</v>
      </c>
      <c r="P614" t="s">
        <v>1238</v>
      </c>
    </row>
    <row r="615" spans="1:16" x14ac:dyDescent="0.4">
      <c r="A615" s="2">
        <v>45915</v>
      </c>
      <c r="B615" t="s">
        <v>37</v>
      </c>
      <c r="C615" t="s">
        <v>649</v>
      </c>
      <c r="D615" s="3" t="str">
        <f t="shared" si="18"/>
        <v>PASS</v>
      </c>
      <c r="E615" s="3" t="str">
        <f t="shared" si="19"/>
        <v>PASS</v>
      </c>
      <c r="F615" t="s">
        <v>649</v>
      </c>
      <c r="G615" t="s">
        <v>649</v>
      </c>
      <c r="H615" s="3">
        <v>40477589.950000003</v>
      </c>
      <c r="I615" s="3">
        <v>35405733.020000003</v>
      </c>
      <c r="J615" s="3">
        <v>2549.31</v>
      </c>
      <c r="K615" s="4">
        <v>2023879.4975000001</v>
      </c>
      <c r="L615" s="4">
        <v>0.20811489870965061</v>
      </c>
      <c r="M615" s="3">
        <v>3</v>
      </c>
      <c r="N615" t="s">
        <v>1239</v>
      </c>
      <c r="O615" t="s">
        <v>1238</v>
      </c>
      <c r="P615" t="s">
        <v>1240</v>
      </c>
    </row>
    <row r="616" spans="1:16" x14ac:dyDescent="0.4">
      <c r="A616" s="2">
        <v>45915</v>
      </c>
      <c r="B616" t="s">
        <v>38</v>
      </c>
      <c r="C616" t="s">
        <v>649</v>
      </c>
      <c r="D616" s="3" t="str">
        <f t="shared" si="18"/>
        <v>PASS</v>
      </c>
      <c r="E616" s="3" t="str">
        <f t="shared" si="19"/>
        <v>PASS</v>
      </c>
      <c r="F616" t="s">
        <v>649</v>
      </c>
      <c r="G616" t="s">
        <v>649</v>
      </c>
      <c r="H616" s="3">
        <v>43623643</v>
      </c>
      <c r="I616" s="3">
        <v>38507510.710000001</v>
      </c>
      <c r="J616" s="3">
        <v>2693.03</v>
      </c>
      <c r="K616" s="4">
        <v>2181182.15</v>
      </c>
      <c r="L616" s="4">
        <v>0.21417308358221979</v>
      </c>
      <c r="M616" s="3">
        <v>3</v>
      </c>
      <c r="N616" t="s">
        <v>1241</v>
      </c>
      <c r="O616" t="s">
        <v>740</v>
      </c>
      <c r="P616" t="s">
        <v>1168</v>
      </c>
    </row>
    <row r="617" spans="1:16" x14ac:dyDescent="0.4">
      <c r="A617" s="2">
        <v>45915</v>
      </c>
      <c r="B617" t="s">
        <v>39</v>
      </c>
      <c r="C617" t="s">
        <v>649</v>
      </c>
      <c r="D617" s="3" t="str">
        <f t="shared" si="18"/>
        <v>PASS</v>
      </c>
      <c r="E617" s="3" t="str">
        <f t="shared" si="19"/>
        <v>PASS</v>
      </c>
      <c r="F617" t="s">
        <v>649</v>
      </c>
      <c r="G617" t="s">
        <v>649</v>
      </c>
      <c r="H617" s="3">
        <v>79157184.760000005</v>
      </c>
      <c r="I617" s="3">
        <v>72339312.520000011</v>
      </c>
      <c r="J617" s="3">
        <v>5152</v>
      </c>
      <c r="K617" s="4">
        <v>3957859.2379999999</v>
      </c>
      <c r="L617" s="4">
        <v>0.21039945245867001</v>
      </c>
      <c r="M617" s="3">
        <v>3</v>
      </c>
      <c r="N617" t="s">
        <v>1242</v>
      </c>
      <c r="O617" t="s">
        <v>1227</v>
      </c>
      <c r="P617" t="s">
        <v>1243</v>
      </c>
    </row>
    <row r="618" spans="1:16" x14ac:dyDescent="0.4">
      <c r="A618" s="2">
        <v>45916</v>
      </c>
      <c r="B618" t="s">
        <v>27</v>
      </c>
      <c r="C618" t="s">
        <v>649</v>
      </c>
      <c r="D618" s="3" t="str">
        <f t="shared" si="18"/>
        <v>PASS</v>
      </c>
      <c r="E618" s="3" t="str">
        <f t="shared" si="19"/>
        <v>PASS</v>
      </c>
      <c r="F618" t="s">
        <v>649</v>
      </c>
      <c r="G618" t="s">
        <v>649</v>
      </c>
      <c r="H618" s="3">
        <v>54335983.289999999</v>
      </c>
      <c r="I618" s="3">
        <v>50027869.469999999</v>
      </c>
      <c r="J618" s="3">
        <v>3625.03</v>
      </c>
      <c r="K618" s="4">
        <v>2716799.1645</v>
      </c>
      <c r="L618" s="4">
        <v>0</v>
      </c>
      <c r="M618" s="3">
        <v>0</v>
      </c>
      <c r="N618" t="s">
        <v>29</v>
      </c>
      <c r="O618" t="s">
        <v>844</v>
      </c>
      <c r="P618" t="s">
        <v>987</v>
      </c>
    </row>
    <row r="619" spans="1:16" x14ac:dyDescent="0.4">
      <c r="A619" s="2">
        <v>45916</v>
      </c>
      <c r="B619" t="s">
        <v>30</v>
      </c>
      <c r="C619" t="s">
        <v>649</v>
      </c>
      <c r="D619" s="3" t="str">
        <f t="shared" si="18"/>
        <v>PASS</v>
      </c>
      <c r="E619" s="3" t="str">
        <f t="shared" si="19"/>
        <v>PASS</v>
      </c>
      <c r="F619" t="s">
        <v>649</v>
      </c>
      <c r="G619" t="s">
        <v>649</v>
      </c>
      <c r="H619" s="3">
        <v>34789572.75</v>
      </c>
      <c r="I619" s="3">
        <v>32993449.469999999</v>
      </c>
      <c r="J619" s="3">
        <v>2367.0700000000002</v>
      </c>
      <c r="K619" s="4">
        <v>1739478.6375</v>
      </c>
      <c r="L619" s="4">
        <v>0.2090658350109835</v>
      </c>
      <c r="M619" s="3">
        <v>3</v>
      </c>
      <c r="N619" t="s">
        <v>1244</v>
      </c>
      <c r="O619" t="s">
        <v>1166</v>
      </c>
      <c r="P619" t="s">
        <v>941</v>
      </c>
    </row>
    <row r="620" spans="1:16" x14ac:dyDescent="0.4">
      <c r="A620" s="2">
        <v>45916</v>
      </c>
      <c r="B620" t="s">
        <v>31</v>
      </c>
      <c r="C620" t="s">
        <v>649</v>
      </c>
      <c r="D620" s="3" t="str">
        <f t="shared" si="18"/>
        <v>PASS</v>
      </c>
      <c r="E620" s="3" t="str">
        <f t="shared" si="19"/>
        <v>PASS</v>
      </c>
      <c r="F620" t="s">
        <v>649</v>
      </c>
      <c r="G620" t="s">
        <v>649</v>
      </c>
      <c r="H620" s="3">
        <v>23540077.899999999</v>
      </c>
      <c r="I620" s="3">
        <v>21745373.010000002</v>
      </c>
      <c r="J620" s="3">
        <v>1569.12</v>
      </c>
      <c r="K620" s="4">
        <v>1177003.895</v>
      </c>
      <c r="L620" s="4">
        <v>0.2078968761672278</v>
      </c>
      <c r="M620" s="3">
        <v>3</v>
      </c>
      <c r="N620" t="s">
        <v>1245</v>
      </c>
      <c r="O620" t="s">
        <v>1198</v>
      </c>
      <c r="P620" t="s">
        <v>1199</v>
      </c>
    </row>
    <row r="621" spans="1:16" x14ac:dyDescent="0.4">
      <c r="A621" s="2">
        <v>45916</v>
      </c>
      <c r="B621" t="s">
        <v>32</v>
      </c>
      <c r="C621" t="s">
        <v>649</v>
      </c>
      <c r="D621" s="3" t="str">
        <f t="shared" si="18"/>
        <v>PASS</v>
      </c>
      <c r="E621" s="3" t="str">
        <f t="shared" si="19"/>
        <v>PASS</v>
      </c>
      <c r="F621" t="s">
        <v>649</v>
      </c>
      <c r="G621" t="s">
        <v>649</v>
      </c>
      <c r="H621" s="3">
        <v>24794543.690000001</v>
      </c>
      <c r="I621" s="3">
        <v>20870739.41</v>
      </c>
      <c r="J621" s="3">
        <v>1511.85</v>
      </c>
      <c r="K621" s="4">
        <v>1239727.1845</v>
      </c>
      <c r="L621" s="4">
        <v>0.20709165820854819</v>
      </c>
      <c r="M621" s="3">
        <v>3</v>
      </c>
      <c r="N621" t="s">
        <v>1246</v>
      </c>
      <c r="O621" t="s">
        <v>1227</v>
      </c>
      <c r="P621" t="s">
        <v>1199</v>
      </c>
    </row>
    <row r="622" spans="1:16" x14ac:dyDescent="0.4">
      <c r="A622" s="2">
        <v>45916</v>
      </c>
      <c r="B622" t="s">
        <v>33</v>
      </c>
      <c r="C622" t="s">
        <v>649</v>
      </c>
      <c r="D622" s="3" t="str">
        <f t="shared" si="18"/>
        <v>PASS</v>
      </c>
      <c r="E622" s="3" t="str">
        <f t="shared" si="19"/>
        <v>PASS</v>
      </c>
      <c r="F622" t="s">
        <v>649</v>
      </c>
      <c r="G622" t="s">
        <v>649</v>
      </c>
      <c r="H622" s="3">
        <v>15424565.25</v>
      </c>
      <c r="I622" s="3">
        <v>13834371.189999999</v>
      </c>
      <c r="J622" s="3">
        <v>999.69</v>
      </c>
      <c r="K622" s="4">
        <v>771228.26250000007</v>
      </c>
      <c r="L622" s="4">
        <v>0.20763373508185851</v>
      </c>
      <c r="M622" s="3">
        <v>3</v>
      </c>
      <c r="N622" t="s">
        <v>1247</v>
      </c>
      <c r="O622" t="s">
        <v>1198</v>
      </c>
      <c r="P622" t="s">
        <v>1199</v>
      </c>
    </row>
    <row r="623" spans="1:16" x14ac:dyDescent="0.4">
      <c r="A623" s="2">
        <v>45916</v>
      </c>
      <c r="B623" t="s">
        <v>34</v>
      </c>
      <c r="C623" t="s">
        <v>649</v>
      </c>
      <c r="D623" s="3" t="str">
        <f t="shared" si="18"/>
        <v>PASS</v>
      </c>
      <c r="E623" s="3" t="str">
        <f t="shared" si="19"/>
        <v>PASS</v>
      </c>
      <c r="F623" t="s">
        <v>649</v>
      </c>
      <c r="G623" t="s">
        <v>649</v>
      </c>
      <c r="H623" s="3">
        <v>167544928.38</v>
      </c>
      <c r="I623" s="3">
        <v>143791223.71000001</v>
      </c>
      <c r="J623" s="3">
        <v>10400.18</v>
      </c>
      <c r="K623" s="4">
        <v>8377246.4189999998</v>
      </c>
      <c r="L623" s="4">
        <v>0.2072839586278819</v>
      </c>
      <c r="M623" s="3">
        <v>3</v>
      </c>
      <c r="N623" t="s">
        <v>1248</v>
      </c>
      <c r="O623" t="s">
        <v>1198</v>
      </c>
      <c r="P623" t="s">
        <v>1199</v>
      </c>
    </row>
    <row r="624" spans="1:16" x14ac:dyDescent="0.4">
      <c r="A624" s="2">
        <v>45916</v>
      </c>
      <c r="B624" t="s">
        <v>35</v>
      </c>
      <c r="C624" t="s">
        <v>649</v>
      </c>
      <c r="D624" s="3" t="str">
        <f t="shared" si="18"/>
        <v>PASS</v>
      </c>
      <c r="E624" s="3" t="str">
        <f t="shared" si="19"/>
        <v>PASS</v>
      </c>
      <c r="F624" t="s">
        <v>649</v>
      </c>
      <c r="G624" t="s">
        <v>649</v>
      </c>
      <c r="H624" s="3">
        <v>136371727.21000001</v>
      </c>
      <c r="I624" s="3">
        <v>124483690.27</v>
      </c>
      <c r="J624" s="3">
        <v>8783.18</v>
      </c>
      <c r="K624" s="4">
        <v>6818586.3605000004</v>
      </c>
      <c r="L624" s="4">
        <v>0.21255659574510399</v>
      </c>
      <c r="M624" s="3">
        <v>3</v>
      </c>
      <c r="N624" t="s">
        <v>1249</v>
      </c>
      <c r="O624" t="s">
        <v>790</v>
      </c>
      <c r="P624" t="s">
        <v>1131</v>
      </c>
    </row>
    <row r="625" spans="1:16" x14ac:dyDescent="0.4">
      <c r="A625" s="2">
        <v>45916</v>
      </c>
      <c r="B625" t="s">
        <v>36</v>
      </c>
      <c r="C625" t="s">
        <v>649</v>
      </c>
      <c r="D625" s="3" t="str">
        <f t="shared" si="18"/>
        <v>PASS</v>
      </c>
      <c r="E625" s="3" t="str">
        <f t="shared" si="19"/>
        <v>PASS</v>
      </c>
      <c r="F625" t="s">
        <v>649</v>
      </c>
      <c r="G625" t="s">
        <v>649</v>
      </c>
      <c r="H625" s="3">
        <v>101740630.58</v>
      </c>
      <c r="I625" s="3">
        <v>92764945.920000002</v>
      </c>
      <c r="J625" s="3">
        <v>6735.91</v>
      </c>
      <c r="K625" s="4">
        <v>5087031.5290000001</v>
      </c>
      <c r="L625" s="4">
        <v>0.20649622726570491</v>
      </c>
      <c r="M625" s="3">
        <v>3</v>
      </c>
      <c r="N625" t="s">
        <v>1250</v>
      </c>
      <c r="O625" t="s">
        <v>1227</v>
      </c>
      <c r="P625" t="s">
        <v>1232</v>
      </c>
    </row>
    <row r="626" spans="1:16" x14ac:dyDescent="0.4">
      <c r="A626" s="2">
        <v>45916</v>
      </c>
      <c r="B626" t="s">
        <v>37</v>
      </c>
      <c r="C626" t="s">
        <v>649</v>
      </c>
      <c r="D626" s="3" t="str">
        <f t="shared" si="18"/>
        <v>PASS</v>
      </c>
      <c r="E626" s="3" t="str">
        <f t="shared" si="19"/>
        <v>PASS</v>
      </c>
      <c r="F626" t="s">
        <v>649</v>
      </c>
      <c r="G626" t="s">
        <v>649</v>
      </c>
      <c r="H626" s="3">
        <v>40487727.009999998</v>
      </c>
      <c r="I626" s="3">
        <v>35210244.040000007</v>
      </c>
      <c r="J626" s="3">
        <v>2559.23</v>
      </c>
      <c r="K626" s="4">
        <v>2024386.3504999999</v>
      </c>
      <c r="L626" s="4">
        <v>0.20638236846872399</v>
      </c>
      <c r="M626" s="3">
        <v>3</v>
      </c>
      <c r="N626" t="s">
        <v>1251</v>
      </c>
      <c r="O626" t="s">
        <v>1227</v>
      </c>
      <c r="P626" t="s">
        <v>1232</v>
      </c>
    </row>
    <row r="627" spans="1:16" x14ac:dyDescent="0.4">
      <c r="A627" s="2">
        <v>45916</v>
      </c>
      <c r="B627" t="s">
        <v>38</v>
      </c>
      <c r="C627" t="s">
        <v>649</v>
      </c>
      <c r="D627" s="3" t="str">
        <f t="shared" si="18"/>
        <v>PASS</v>
      </c>
      <c r="E627" s="3" t="str">
        <f t="shared" si="19"/>
        <v>PASS</v>
      </c>
      <c r="F627" t="s">
        <v>649</v>
      </c>
      <c r="G627" t="s">
        <v>649</v>
      </c>
      <c r="H627" s="3">
        <v>43624531.920000002</v>
      </c>
      <c r="I627" s="3">
        <v>38299021.200000003</v>
      </c>
      <c r="J627" s="3">
        <v>2704.74</v>
      </c>
      <c r="K627" s="4">
        <v>2181226.5959999999</v>
      </c>
      <c r="L627" s="4">
        <v>0.2124461430403756</v>
      </c>
      <c r="M627" s="3">
        <v>3</v>
      </c>
      <c r="N627" t="s">
        <v>1249</v>
      </c>
      <c r="O627" t="s">
        <v>790</v>
      </c>
      <c r="P627" t="s">
        <v>1131</v>
      </c>
    </row>
    <row r="628" spans="1:16" x14ac:dyDescent="0.4">
      <c r="A628" s="2">
        <v>45916</v>
      </c>
      <c r="B628" t="s">
        <v>39</v>
      </c>
      <c r="C628" t="s">
        <v>649</v>
      </c>
      <c r="D628" s="3" t="str">
        <f t="shared" si="18"/>
        <v>PASS</v>
      </c>
      <c r="E628" s="3" t="str">
        <f t="shared" si="19"/>
        <v>PASS</v>
      </c>
      <c r="F628" t="s">
        <v>649</v>
      </c>
      <c r="G628" t="s">
        <v>649</v>
      </c>
      <c r="H628" s="3">
        <v>79177985.060000002</v>
      </c>
      <c r="I628" s="3">
        <v>71992391.389999986</v>
      </c>
      <c r="J628" s="3">
        <v>5174.16</v>
      </c>
      <c r="K628" s="4">
        <v>3958899.253</v>
      </c>
      <c r="L628" s="4">
        <v>0.2086470070112818</v>
      </c>
      <c r="M628" s="3">
        <v>3</v>
      </c>
      <c r="N628" t="s">
        <v>1252</v>
      </c>
      <c r="O628" t="s">
        <v>1166</v>
      </c>
      <c r="P628" t="s">
        <v>941</v>
      </c>
    </row>
    <row r="629" spans="1:16" x14ac:dyDescent="0.4">
      <c r="A629" s="2">
        <v>45917</v>
      </c>
      <c r="B629" t="s">
        <v>27</v>
      </c>
      <c r="C629" t="s">
        <v>649</v>
      </c>
      <c r="D629" s="3" t="str">
        <f t="shared" si="18"/>
        <v>PASS</v>
      </c>
      <c r="E629" s="3" t="str">
        <f t="shared" si="19"/>
        <v>PASS</v>
      </c>
      <c r="F629" t="s">
        <v>649</v>
      </c>
      <c r="G629" t="s">
        <v>649</v>
      </c>
      <c r="H629" s="3">
        <v>54588603.82</v>
      </c>
      <c r="I629" s="3">
        <v>50274155.979999997</v>
      </c>
      <c r="J629" s="3">
        <v>3619.13</v>
      </c>
      <c r="K629" s="4">
        <v>2729430.1910000001</v>
      </c>
      <c r="L629" s="4">
        <v>0</v>
      </c>
      <c r="M629" s="3">
        <v>0</v>
      </c>
      <c r="N629" t="s">
        <v>29</v>
      </c>
      <c r="O629" t="s">
        <v>1253</v>
      </c>
      <c r="P629" t="s">
        <v>1254</v>
      </c>
    </row>
    <row r="630" spans="1:16" x14ac:dyDescent="0.4">
      <c r="A630" s="2">
        <v>45917</v>
      </c>
      <c r="B630" t="s">
        <v>30</v>
      </c>
      <c r="C630" t="s">
        <v>649</v>
      </c>
      <c r="D630" s="3" t="str">
        <f t="shared" si="18"/>
        <v>PASS</v>
      </c>
      <c r="E630" s="3" t="str">
        <f t="shared" si="19"/>
        <v>PASS</v>
      </c>
      <c r="F630" t="s">
        <v>649</v>
      </c>
      <c r="G630" t="s">
        <v>649</v>
      </c>
      <c r="H630" s="3">
        <v>34772840.829999998</v>
      </c>
      <c r="I630" s="3">
        <v>33096252.989999998</v>
      </c>
      <c r="J630" s="3">
        <v>2366.96</v>
      </c>
      <c r="K630" s="4">
        <v>1738642.0415000001</v>
      </c>
      <c r="L630" s="4">
        <v>0.2082525203065109</v>
      </c>
      <c r="M630" s="3">
        <v>3</v>
      </c>
      <c r="N630" t="s">
        <v>1255</v>
      </c>
      <c r="O630" t="s">
        <v>1131</v>
      </c>
      <c r="P630" t="s">
        <v>910</v>
      </c>
    </row>
    <row r="631" spans="1:16" x14ac:dyDescent="0.4">
      <c r="A631" s="2">
        <v>45917</v>
      </c>
      <c r="B631" t="s">
        <v>31</v>
      </c>
      <c r="C631" t="s">
        <v>649</v>
      </c>
      <c r="D631" s="3" t="str">
        <f t="shared" si="18"/>
        <v>PASS</v>
      </c>
      <c r="E631" s="3" t="str">
        <f t="shared" si="19"/>
        <v>PASS</v>
      </c>
      <c r="F631" t="s">
        <v>649</v>
      </c>
      <c r="G631" t="s">
        <v>649</v>
      </c>
      <c r="H631" s="3">
        <v>23531999.620000001</v>
      </c>
      <c r="I631" s="3">
        <v>21809584.25</v>
      </c>
      <c r="J631" s="3">
        <v>1569.62</v>
      </c>
      <c r="K631" s="4">
        <v>1176599.9809999999</v>
      </c>
      <c r="L631" s="4">
        <v>0.20704943369653361</v>
      </c>
      <c r="M631" s="3">
        <v>3</v>
      </c>
      <c r="N631" t="s">
        <v>1256</v>
      </c>
      <c r="O631" t="s">
        <v>1144</v>
      </c>
      <c r="P631" t="s">
        <v>915</v>
      </c>
    </row>
    <row r="632" spans="1:16" x14ac:dyDescent="0.4">
      <c r="A632" s="2">
        <v>45917</v>
      </c>
      <c r="B632" t="s">
        <v>32</v>
      </c>
      <c r="C632" t="s">
        <v>649</v>
      </c>
      <c r="D632" s="3" t="str">
        <f t="shared" si="18"/>
        <v>PASS</v>
      </c>
      <c r="E632" s="3" t="str">
        <f t="shared" si="19"/>
        <v>PASS</v>
      </c>
      <c r="F632" t="s">
        <v>649</v>
      </c>
      <c r="G632" t="s">
        <v>649</v>
      </c>
      <c r="H632" s="3">
        <v>24781783.140000001</v>
      </c>
      <c r="I632" s="3">
        <v>20915094.030000001</v>
      </c>
      <c r="J632" s="3">
        <v>1512.06</v>
      </c>
      <c r="K632" s="4">
        <v>1239089.1569999999</v>
      </c>
      <c r="L632" s="4">
        <v>0.2061301749823081</v>
      </c>
      <c r="M632" s="3">
        <v>3</v>
      </c>
      <c r="N632" t="s">
        <v>1257</v>
      </c>
      <c r="O632" t="s">
        <v>1168</v>
      </c>
      <c r="P632" t="s">
        <v>915</v>
      </c>
    </row>
    <row r="633" spans="1:16" x14ac:dyDescent="0.4">
      <c r="A633" s="2">
        <v>45917</v>
      </c>
      <c r="B633" t="s">
        <v>33</v>
      </c>
      <c r="C633" t="s">
        <v>649</v>
      </c>
      <c r="D633" s="3" t="str">
        <f t="shared" si="18"/>
        <v>PASS</v>
      </c>
      <c r="E633" s="3" t="str">
        <f t="shared" si="19"/>
        <v>PASS</v>
      </c>
      <c r="F633" t="s">
        <v>649</v>
      </c>
      <c r="G633" t="s">
        <v>649</v>
      </c>
      <c r="H633" s="3">
        <v>15418677.27</v>
      </c>
      <c r="I633" s="3">
        <v>13867994.51</v>
      </c>
      <c r="J633" s="3">
        <v>999.92</v>
      </c>
      <c r="K633" s="4">
        <v>770933.86349999998</v>
      </c>
      <c r="L633" s="4">
        <v>0.20665946475119529</v>
      </c>
      <c r="M633" s="3">
        <v>3</v>
      </c>
      <c r="N633" t="s">
        <v>1258</v>
      </c>
      <c r="O633" t="s">
        <v>1168</v>
      </c>
      <c r="P633" t="s">
        <v>915</v>
      </c>
    </row>
    <row r="634" spans="1:16" x14ac:dyDescent="0.4">
      <c r="A634" s="2">
        <v>45917</v>
      </c>
      <c r="B634" t="s">
        <v>34</v>
      </c>
      <c r="C634" t="s">
        <v>649</v>
      </c>
      <c r="D634" s="3" t="str">
        <f t="shared" si="18"/>
        <v>PASS</v>
      </c>
      <c r="E634" s="3" t="str">
        <f t="shared" si="19"/>
        <v>PASS</v>
      </c>
      <c r="F634" t="s">
        <v>649</v>
      </c>
      <c r="G634" t="s">
        <v>649</v>
      </c>
      <c r="H634" s="3">
        <v>167482275.74000001</v>
      </c>
      <c r="I634" s="3">
        <v>144233767.03</v>
      </c>
      <c r="J634" s="3">
        <v>10405.35</v>
      </c>
      <c r="K634" s="4">
        <v>8374113.7869999995</v>
      </c>
      <c r="L634" s="4">
        <v>0.20644587487419719</v>
      </c>
      <c r="M634" s="3">
        <v>3</v>
      </c>
      <c r="N634" t="s">
        <v>1259</v>
      </c>
      <c r="O634" t="s">
        <v>1168</v>
      </c>
      <c r="P634" t="s">
        <v>915</v>
      </c>
    </row>
    <row r="635" spans="1:16" x14ac:dyDescent="0.4">
      <c r="A635" s="2">
        <v>45917</v>
      </c>
      <c r="B635" t="s">
        <v>35</v>
      </c>
      <c r="C635" t="s">
        <v>649</v>
      </c>
      <c r="D635" s="3" t="str">
        <f t="shared" si="18"/>
        <v>PASS</v>
      </c>
      <c r="E635" s="3" t="str">
        <f t="shared" si="19"/>
        <v>PASS</v>
      </c>
      <c r="F635" t="s">
        <v>649</v>
      </c>
      <c r="G635" t="s">
        <v>649</v>
      </c>
      <c r="H635" s="3">
        <v>136323076.80000001</v>
      </c>
      <c r="I635" s="3">
        <v>124868147.48999999</v>
      </c>
      <c r="J635" s="3">
        <v>8784.67</v>
      </c>
      <c r="K635" s="4">
        <v>6816153.8400000008</v>
      </c>
      <c r="L635" s="4">
        <v>0.21169451694722821</v>
      </c>
      <c r="M635" s="3">
        <v>3</v>
      </c>
      <c r="N635" t="s">
        <v>1260</v>
      </c>
      <c r="O635" t="s">
        <v>800</v>
      </c>
      <c r="P635" t="s">
        <v>1129</v>
      </c>
    </row>
    <row r="636" spans="1:16" x14ac:dyDescent="0.4">
      <c r="A636" s="2">
        <v>45917</v>
      </c>
      <c r="B636" t="s">
        <v>36</v>
      </c>
      <c r="C636" t="s">
        <v>649</v>
      </c>
      <c r="D636" s="3" t="str">
        <f t="shared" si="18"/>
        <v>PASS</v>
      </c>
      <c r="E636" s="3" t="str">
        <f t="shared" si="19"/>
        <v>PASS</v>
      </c>
      <c r="F636" t="s">
        <v>649</v>
      </c>
      <c r="G636" t="s">
        <v>649</v>
      </c>
      <c r="H636" s="3">
        <v>101694823.14</v>
      </c>
      <c r="I636" s="3">
        <v>93050091.520000011</v>
      </c>
      <c r="J636" s="3">
        <v>6738.89</v>
      </c>
      <c r="K636" s="4">
        <v>5084741.1570000006</v>
      </c>
      <c r="L636" s="4">
        <v>0.20566316329455639</v>
      </c>
      <c r="M636" s="3">
        <v>3</v>
      </c>
      <c r="N636" t="s">
        <v>1261</v>
      </c>
      <c r="O636" t="s">
        <v>1168</v>
      </c>
      <c r="P636" t="s">
        <v>913</v>
      </c>
    </row>
    <row r="637" spans="1:16" x14ac:dyDescent="0.4">
      <c r="A637" s="2">
        <v>45917</v>
      </c>
      <c r="B637" t="s">
        <v>37</v>
      </c>
      <c r="C637" t="s">
        <v>649</v>
      </c>
      <c r="D637" s="3" t="str">
        <f t="shared" si="18"/>
        <v>PASS</v>
      </c>
      <c r="E637" s="3" t="str">
        <f t="shared" si="19"/>
        <v>PASS</v>
      </c>
      <c r="F637" t="s">
        <v>649</v>
      </c>
      <c r="G637" t="s">
        <v>649</v>
      </c>
      <c r="H637" s="3">
        <v>40469308.969999999</v>
      </c>
      <c r="I637" s="3">
        <v>35296960.810000002</v>
      </c>
      <c r="J637" s="3">
        <v>2559.7800000000002</v>
      </c>
      <c r="K637" s="4">
        <v>2023465.4484999999</v>
      </c>
      <c r="L637" s="4">
        <v>0.20543962335756269</v>
      </c>
      <c r="M637" s="3">
        <v>3</v>
      </c>
      <c r="N637" t="s">
        <v>1262</v>
      </c>
      <c r="O637" t="s">
        <v>1166</v>
      </c>
      <c r="P637" t="s">
        <v>913</v>
      </c>
    </row>
    <row r="638" spans="1:16" x14ac:dyDescent="0.4">
      <c r="A638" s="2">
        <v>45917</v>
      </c>
      <c r="B638" t="s">
        <v>38</v>
      </c>
      <c r="C638" t="s">
        <v>649</v>
      </c>
      <c r="D638" s="3" t="str">
        <f t="shared" si="18"/>
        <v>PASS</v>
      </c>
      <c r="E638" s="3" t="str">
        <f t="shared" si="19"/>
        <v>PASS</v>
      </c>
      <c r="F638" t="s">
        <v>649</v>
      </c>
      <c r="G638" t="s">
        <v>649</v>
      </c>
      <c r="H638" s="3">
        <v>43605320.5</v>
      </c>
      <c r="I638" s="3">
        <v>38393451.780000001</v>
      </c>
      <c r="J638" s="3">
        <v>2704.6</v>
      </c>
      <c r="K638" s="4">
        <v>2180266.0249999999</v>
      </c>
      <c r="L638" s="4">
        <v>0.21147337030275451</v>
      </c>
      <c r="M638" s="3">
        <v>3</v>
      </c>
      <c r="N638" t="s">
        <v>1263</v>
      </c>
      <c r="O638" t="s">
        <v>800</v>
      </c>
      <c r="P638" t="s">
        <v>1129</v>
      </c>
    </row>
    <row r="639" spans="1:16" x14ac:dyDescent="0.4">
      <c r="A639" s="2">
        <v>45917</v>
      </c>
      <c r="B639" t="s">
        <v>39</v>
      </c>
      <c r="C639" t="s">
        <v>649</v>
      </c>
      <c r="D639" s="3" t="str">
        <f t="shared" si="18"/>
        <v>PASS</v>
      </c>
      <c r="E639" s="3" t="str">
        <f t="shared" si="19"/>
        <v>PASS</v>
      </c>
      <c r="F639" t="s">
        <v>649</v>
      </c>
      <c r="G639" t="s">
        <v>649</v>
      </c>
      <c r="H639" s="3">
        <v>79147861.799999997</v>
      </c>
      <c r="I639" s="3">
        <v>72168411.530000001</v>
      </c>
      <c r="J639" s="3">
        <v>5175.3</v>
      </c>
      <c r="K639" s="4">
        <v>3957393.09</v>
      </c>
      <c r="L639" s="4">
        <v>0.20766959860826209</v>
      </c>
      <c r="M639" s="3">
        <v>3</v>
      </c>
      <c r="N639" t="s">
        <v>1264</v>
      </c>
      <c r="O639" t="s">
        <v>1144</v>
      </c>
      <c r="P639" t="s">
        <v>910</v>
      </c>
    </row>
    <row r="640" spans="1:16" x14ac:dyDescent="0.4">
      <c r="A640" s="2">
        <v>45918</v>
      </c>
      <c r="B640" t="s">
        <v>27</v>
      </c>
      <c r="C640" t="s">
        <v>649</v>
      </c>
      <c r="D640" s="3" t="str">
        <f t="shared" si="18"/>
        <v>PASS</v>
      </c>
      <c r="E640" s="3" t="str">
        <f t="shared" si="19"/>
        <v>PASS</v>
      </c>
      <c r="F640" t="s">
        <v>649</v>
      </c>
      <c r="G640" t="s">
        <v>649</v>
      </c>
      <c r="H640" s="3">
        <v>54968752.82</v>
      </c>
      <c r="I640" s="3">
        <v>50766176.290000007</v>
      </c>
      <c r="J640" s="3">
        <v>3637.21</v>
      </c>
      <c r="K640" s="4">
        <v>2748437.6409999998</v>
      </c>
      <c r="L640" s="4">
        <v>0</v>
      </c>
      <c r="M640" s="3">
        <v>0</v>
      </c>
      <c r="N640" t="s">
        <v>29</v>
      </c>
      <c r="O640" t="s">
        <v>875</v>
      </c>
      <c r="P640" t="s">
        <v>1064</v>
      </c>
    </row>
    <row r="641" spans="1:16" x14ac:dyDescent="0.4">
      <c r="A641" s="2">
        <v>45918</v>
      </c>
      <c r="B641" t="s">
        <v>30</v>
      </c>
      <c r="C641" t="s">
        <v>649</v>
      </c>
      <c r="D641" s="3" t="str">
        <f t="shared" si="18"/>
        <v>PASS</v>
      </c>
      <c r="E641" s="3" t="str">
        <f t="shared" si="19"/>
        <v>PASS</v>
      </c>
      <c r="F641" t="s">
        <v>649</v>
      </c>
      <c r="G641" t="s">
        <v>649</v>
      </c>
      <c r="H641" s="3">
        <v>34845174.710000001</v>
      </c>
      <c r="I641" s="3">
        <v>33183392.920000002</v>
      </c>
      <c r="J641" s="3">
        <v>2365.58</v>
      </c>
      <c r="K641" s="4">
        <v>1742258.7355</v>
      </c>
      <c r="L641" s="4">
        <v>0.20991448825576969</v>
      </c>
      <c r="M641" s="3">
        <v>3</v>
      </c>
      <c r="N641" t="s">
        <v>1265</v>
      </c>
      <c r="O641" t="s">
        <v>1198</v>
      </c>
      <c r="P641" t="s">
        <v>1199</v>
      </c>
    </row>
    <row r="642" spans="1:16" x14ac:dyDescent="0.4">
      <c r="A642" s="2">
        <v>45918</v>
      </c>
      <c r="B642" t="s">
        <v>31</v>
      </c>
      <c r="C642" t="s">
        <v>649</v>
      </c>
      <c r="D642" s="3" t="str">
        <f t="shared" ref="D642:D661" si="20">IF(I642/H642&gt;=0.5,"PASS","FAIL")</f>
        <v>PASS</v>
      </c>
      <c r="E642" s="3" t="str">
        <f t="shared" ref="E642:E661" si="21">IF(L642&lt;=0.5,"PASS","FAIL")</f>
        <v>PASS</v>
      </c>
      <c r="F642" t="s">
        <v>649</v>
      </c>
      <c r="G642" t="s">
        <v>649</v>
      </c>
      <c r="H642" s="3">
        <v>23573350.859999999</v>
      </c>
      <c r="I642" s="3">
        <v>21867070.899999999</v>
      </c>
      <c r="J642" s="3">
        <v>1568.92</v>
      </c>
      <c r="K642" s="4">
        <v>1178667.5430000001</v>
      </c>
      <c r="L642" s="4">
        <v>0.208765488110219</v>
      </c>
      <c r="M642" s="3">
        <v>3</v>
      </c>
      <c r="N642" t="s">
        <v>1266</v>
      </c>
      <c r="O642" t="s">
        <v>1227</v>
      </c>
      <c r="P642" t="s">
        <v>1199</v>
      </c>
    </row>
    <row r="643" spans="1:16" x14ac:dyDescent="0.4">
      <c r="A643" s="2">
        <v>45918</v>
      </c>
      <c r="B643" t="s">
        <v>32</v>
      </c>
      <c r="C643" t="s">
        <v>649</v>
      </c>
      <c r="D643" s="3" t="str">
        <f t="shared" si="20"/>
        <v>PASS</v>
      </c>
      <c r="E643" s="3" t="str">
        <f t="shared" si="21"/>
        <v>PASS</v>
      </c>
      <c r="F643" t="s">
        <v>649</v>
      </c>
      <c r="G643" t="s">
        <v>649</v>
      </c>
      <c r="H643" s="3">
        <v>24813121.530000001</v>
      </c>
      <c r="I643" s="3">
        <v>20970184.59</v>
      </c>
      <c r="J643" s="3">
        <v>1511.02</v>
      </c>
      <c r="K643" s="4">
        <v>1240656.0765</v>
      </c>
      <c r="L643" s="4">
        <v>0.2079233863427106</v>
      </c>
      <c r="M643" s="3">
        <v>3</v>
      </c>
      <c r="N643" t="s">
        <v>1267</v>
      </c>
      <c r="O643" t="s">
        <v>1230</v>
      </c>
      <c r="P643" t="s">
        <v>1232</v>
      </c>
    </row>
    <row r="644" spans="1:16" x14ac:dyDescent="0.4">
      <c r="A644" s="2">
        <v>45918</v>
      </c>
      <c r="B644" t="s">
        <v>33</v>
      </c>
      <c r="C644" t="s">
        <v>649</v>
      </c>
      <c r="D644" s="3" t="str">
        <f t="shared" si="20"/>
        <v>PASS</v>
      </c>
      <c r="E644" s="3" t="str">
        <f t="shared" si="21"/>
        <v>PASS</v>
      </c>
      <c r="F644" t="s">
        <v>649</v>
      </c>
      <c r="G644" t="s">
        <v>649</v>
      </c>
      <c r="H644" s="3">
        <v>15443455.75</v>
      </c>
      <c r="I644" s="3">
        <v>13904499.550000001</v>
      </c>
      <c r="J644" s="3">
        <v>999.41</v>
      </c>
      <c r="K644" s="4">
        <v>772172.78750000009</v>
      </c>
      <c r="L644" s="4">
        <v>0.2083959018786801</v>
      </c>
      <c r="M644" s="3">
        <v>3</v>
      </c>
      <c r="N644" t="s">
        <v>1268</v>
      </c>
      <c r="O644" t="s">
        <v>1227</v>
      </c>
      <c r="P644" t="s">
        <v>1232</v>
      </c>
    </row>
    <row r="645" spans="1:16" x14ac:dyDescent="0.4">
      <c r="A645" s="2">
        <v>45918</v>
      </c>
      <c r="B645" t="s">
        <v>34</v>
      </c>
      <c r="C645" t="s">
        <v>649</v>
      </c>
      <c r="D645" s="3" t="str">
        <f t="shared" si="20"/>
        <v>PASS</v>
      </c>
      <c r="E645" s="3" t="str">
        <f t="shared" si="21"/>
        <v>PASS</v>
      </c>
      <c r="F645" t="s">
        <v>649</v>
      </c>
      <c r="G645" t="s">
        <v>649</v>
      </c>
      <c r="H645" s="3">
        <v>167709097.06</v>
      </c>
      <c r="I645" s="3">
        <v>144613753.59999999</v>
      </c>
      <c r="J645" s="3">
        <v>10400.040000000001</v>
      </c>
      <c r="K645" s="4">
        <v>8385454.8530000001</v>
      </c>
      <c r="L645" s="4">
        <v>0.2082257483069766</v>
      </c>
      <c r="M645" s="3">
        <v>3</v>
      </c>
      <c r="N645" t="s">
        <v>1269</v>
      </c>
      <c r="O645" t="s">
        <v>1227</v>
      </c>
      <c r="P645" t="s">
        <v>1232</v>
      </c>
    </row>
    <row r="646" spans="1:16" x14ac:dyDescent="0.4">
      <c r="A646" s="2">
        <v>45918</v>
      </c>
      <c r="B646" t="s">
        <v>35</v>
      </c>
      <c r="C646" t="s">
        <v>649</v>
      </c>
      <c r="D646" s="3" t="str">
        <f t="shared" si="20"/>
        <v>PASS</v>
      </c>
      <c r="E646" s="3" t="str">
        <f t="shared" si="21"/>
        <v>PASS</v>
      </c>
      <c r="F646" t="s">
        <v>649</v>
      </c>
      <c r="G646" t="s">
        <v>649</v>
      </c>
      <c r="H646" s="3">
        <v>136564466.80000001</v>
      </c>
      <c r="I646" s="3">
        <v>125197054.06999999</v>
      </c>
      <c r="J646" s="3">
        <v>8780.5</v>
      </c>
      <c r="K646" s="4">
        <v>6828223.3400000008</v>
      </c>
      <c r="L646" s="4">
        <v>0.21343173979486449</v>
      </c>
      <c r="M646" s="3">
        <v>3</v>
      </c>
      <c r="N646" t="s">
        <v>1270</v>
      </c>
      <c r="O646" t="s">
        <v>744</v>
      </c>
      <c r="P646" t="s">
        <v>1144</v>
      </c>
    </row>
    <row r="647" spans="1:16" x14ac:dyDescent="0.4">
      <c r="A647" s="2">
        <v>45918</v>
      </c>
      <c r="B647" t="s">
        <v>36</v>
      </c>
      <c r="C647" t="s">
        <v>649</v>
      </c>
      <c r="D647" s="3" t="str">
        <f t="shared" si="20"/>
        <v>PASS</v>
      </c>
      <c r="E647" s="3" t="str">
        <f t="shared" si="21"/>
        <v>PASS</v>
      </c>
      <c r="F647" t="s">
        <v>649</v>
      </c>
      <c r="G647" t="s">
        <v>649</v>
      </c>
      <c r="H647" s="3">
        <v>101828595.05</v>
      </c>
      <c r="I647" s="3">
        <v>93295184.620000005</v>
      </c>
      <c r="J647" s="3">
        <v>6735.07</v>
      </c>
      <c r="K647" s="4">
        <v>5091429.7525000004</v>
      </c>
      <c r="L647" s="4">
        <v>0.20746562879522759</v>
      </c>
      <c r="M647" s="3">
        <v>3</v>
      </c>
      <c r="N647" t="s">
        <v>1271</v>
      </c>
      <c r="O647" t="s">
        <v>1230</v>
      </c>
      <c r="P647" t="s">
        <v>1232</v>
      </c>
    </row>
    <row r="648" spans="1:16" x14ac:dyDescent="0.4">
      <c r="A648" s="2">
        <v>45918</v>
      </c>
      <c r="B648" t="s">
        <v>37</v>
      </c>
      <c r="C648" t="s">
        <v>649</v>
      </c>
      <c r="D648" s="3" t="str">
        <f t="shared" si="20"/>
        <v>PASS</v>
      </c>
      <c r="E648" s="3" t="str">
        <f t="shared" si="21"/>
        <v>PASS</v>
      </c>
      <c r="F648" t="s">
        <v>649</v>
      </c>
      <c r="G648" t="s">
        <v>649</v>
      </c>
      <c r="H648" s="3">
        <v>40527520.280000001</v>
      </c>
      <c r="I648" s="3">
        <v>35390018.979999997</v>
      </c>
      <c r="J648" s="3">
        <v>2558.2600000000002</v>
      </c>
      <c r="K648" s="4">
        <v>2026376.014</v>
      </c>
      <c r="L648" s="4">
        <v>0.20719657664655039</v>
      </c>
      <c r="M648" s="3">
        <v>3</v>
      </c>
      <c r="N648" t="s">
        <v>1272</v>
      </c>
      <c r="O648" t="s">
        <v>1230</v>
      </c>
      <c r="P648" t="s">
        <v>1273</v>
      </c>
    </row>
    <row r="649" spans="1:16" x14ac:dyDescent="0.4">
      <c r="A649" s="2">
        <v>45918</v>
      </c>
      <c r="B649" t="s">
        <v>38</v>
      </c>
      <c r="C649" t="s">
        <v>649</v>
      </c>
      <c r="D649" s="3" t="str">
        <f t="shared" si="20"/>
        <v>PASS</v>
      </c>
      <c r="E649" s="3" t="str">
        <f t="shared" si="21"/>
        <v>PASS</v>
      </c>
      <c r="F649" t="s">
        <v>649</v>
      </c>
      <c r="G649" t="s">
        <v>649</v>
      </c>
      <c r="H649" s="3">
        <v>43679573.350000001</v>
      </c>
      <c r="I649" s="3">
        <v>38494583.369999997</v>
      </c>
      <c r="J649" s="3">
        <v>2703.01</v>
      </c>
      <c r="K649" s="4">
        <v>2183978.6675</v>
      </c>
      <c r="L649" s="4">
        <v>0.2132090324074416</v>
      </c>
      <c r="M649" s="3">
        <v>3</v>
      </c>
      <c r="N649" t="s">
        <v>1274</v>
      </c>
      <c r="O649" t="s">
        <v>744</v>
      </c>
      <c r="P649" t="s">
        <v>1168</v>
      </c>
    </row>
    <row r="650" spans="1:16" x14ac:dyDescent="0.4">
      <c r="A650" s="2">
        <v>45918</v>
      </c>
      <c r="B650" t="s">
        <v>39</v>
      </c>
      <c r="C650" t="s">
        <v>649</v>
      </c>
      <c r="D650" s="3" t="str">
        <f t="shared" si="20"/>
        <v>PASS</v>
      </c>
      <c r="E650" s="3" t="str">
        <f t="shared" si="21"/>
        <v>PASS</v>
      </c>
      <c r="F650" t="s">
        <v>649</v>
      </c>
      <c r="G650" t="s">
        <v>649</v>
      </c>
      <c r="H650" s="3">
        <v>79287497.430000007</v>
      </c>
      <c r="I650" s="3">
        <v>72358500.060000002</v>
      </c>
      <c r="J650" s="3">
        <v>5172.7299999999996</v>
      </c>
      <c r="K650" s="4">
        <v>3964374.8714999999</v>
      </c>
      <c r="L650" s="4">
        <v>0.2093813879212785</v>
      </c>
      <c r="M650" s="3">
        <v>3</v>
      </c>
      <c r="N650" t="s">
        <v>1275</v>
      </c>
      <c r="O650" t="s">
        <v>1227</v>
      </c>
      <c r="P650" t="s">
        <v>1199</v>
      </c>
    </row>
    <row r="651" spans="1:16" x14ac:dyDescent="0.4">
      <c r="A651" s="2">
        <v>45919</v>
      </c>
      <c r="B651" t="s">
        <v>27</v>
      </c>
      <c r="C651" t="s">
        <v>649</v>
      </c>
      <c r="D651" s="3" t="str">
        <f t="shared" si="20"/>
        <v>PASS</v>
      </c>
      <c r="E651" s="3" t="str">
        <f t="shared" si="21"/>
        <v>PASS</v>
      </c>
      <c r="F651" t="s">
        <v>649</v>
      </c>
      <c r="G651" t="s">
        <v>649</v>
      </c>
      <c r="H651" s="3">
        <v>54803891.590000004</v>
      </c>
      <c r="I651" s="3">
        <v>50740825.929999992</v>
      </c>
      <c r="J651" s="3">
        <v>10993.65</v>
      </c>
      <c r="K651" s="4">
        <v>2740194.5795</v>
      </c>
      <c r="L651" s="4">
        <v>0</v>
      </c>
      <c r="M651" s="3">
        <v>0</v>
      </c>
      <c r="N651" t="s">
        <v>29</v>
      </c>
      <c r="O651" t="s">
        <v>1225</v>
      </c>
      <c r="P651" t="s">
        <v>1028</v>
      </c>
    </row>
    <row r="652" spans="1:16" x14ac:dyDescent="0.4">
      <c r="A652" s="2">
        <v>45919</v>
      </c>
      <c r="B652" t="s">
        <v>30</v>
      </c>
      <c r="C652" t="s">
        <v>649</v>
      </c>
      <c r="D652" s="3" t="str">
        <f t="shared" si="20"/>
        <v>PASS</v>
      </c>
      <c r="E652" s="3" t="str">
        <f t="shared" si="21"/>
        <v>PASS</v>
      </c>
      <c r="F652" t="s">
        <v>649</v>
      </c>
      <c r="G652" t="s">
        <v>649</v>
      </c>
      <c r="H652" s="3">
        <v>35005584.299999997</v>
      </c>
      <c r="I652" s="3">
        <v>33383212.760000002</v>
      </c>
      <c r="J652" s="3">
        <v>7111.98</v>
      </c>
      <c r="K652" s="4">
        <v>1750279.2150000001</v>
      </c>
      <c r="L652" s="4">
        <v>0.21243775910003429</v>
      </c>
      <c r="M652" s="3">
        <v>3</v>
      </c>
      <c r="N652" t="s">
        <v>1276</v>
      </c>
      <c r="O652" t="s">
        <v>753</v>
      </c>
      <c r="P652" t="s">
        <v>1227</v>
      </c>
    </row>
    <row r="653" spans="1:16" x14ac:dyDescent="0.4">
      <c r="A653" s="2">
        <v>45919</v>
      </c>
      <c r="B653" t="s">
        <v>31</v>
      </c>
      <c r="C653" t="s">
        <v>649</v>
      </c>
      <c r="D653" s="3" t="str">
        <f t="shared" si="20"/>
        <v>PASS</v>
      </c>
      <c r="E653" s="3" t="str">
        <f t="shared" si="21"/>
        <v>PASS</v>
      </c>
      <c r="F653" t="s">
        <v>649</v>
      </c>
      <c r="G653" t="s">
        <v>649</v>
      </c>
      <c r="H653" s="3">
        <v>23674534.41</v>
      </c>
      <c r="I653" s="3">
        <v>21998748.789999999</v>
      </c>
      <c r="J653" s="3">
        <v>4715.43</v>
      </c>
      <c r="K653" s="4">
        <v>1183726.7205000001</v>
      </c>
      <c r="L653" s="4">
        <v>0.21132474599645551</v>
      </c>
      <c r="M653" s="3">
        <v>3</v>
      </c>
      <c r="N653" t="s">
        <v>1277</v>
      </c>
      <c r="O653" t="s">
        <v>1230</v>
      </c>
      <c r="P653" t="s">
        <v>1199</v>
      </c>
    </row>
    <row r="654" spans="1:16" x14ac:dyDescent="0.4">
      <c r="A654" s="2">
        <v>45919</v>
      </c>
      <c r="B654" t="s">
        <v>32</v>
      </c>
      <c r="C654" t="s">
        <v>649</v>
      </c>
      <c r="D654" s="3" t="str">
        <f t="shared" si="20"/>
        <v>PASS</v>
      </c>
      <c r="E654" s="3" t="str">
        <f t="shared" si="21"/>
        <v>PASS</v>
      </c>
      <c r="F654" t="s">
        <v>649</v>
      </c>
      <c r="G654" t="s">
        <v>649</v>
      </c>
      <c r="H654" s="3">
        <v>24913412.23</v>
      </c>
      <c r="I654" s="3">
        <v>21096467.329999998</v>
      </c>
      <c r="J654" s="3">
        <v>4539.57</v>
      </c>
      <c r="K654" s="4">
        <v>1245670.6115000001</v>
      </c>
      <c r="L654" s="4">
        <v>0.21044338483462391</v>
      </c>
      <c r="M654" s="3">
        <v>3</v>
      </c>
      <c r="N654" t="s">
        <v>1278</v>
      </c>
      <c r="O654" t="s">
        <v>1230</v>
      </c>
      <c r="P654" t="s">
        <v>1199</v>
      </c>
    </row>
    <row r="655" spans="1:16" x14ac:dyDescent="0.4">
      <c r="A655" s="2">
        <v>45919</v>
      </c>
      <c r="B655" t="s">
        <v>33</v>
      </c>
      <c r="C655" t="s">
        <v>649</v>
      </c>
      <c r="D655" s="3" t="str">
        <f t="shared" si="20"/>
        <v>PASS</v>
      </c>
      <c r="E655" s="3" t="str">
        <f t="shared" si="21"/>
        <v>PASS</v>
      </c>
      <c r="F655" t="s">
        <v>649</v>
      </c>
      <c r="G655" t="s">
        <v>649</v>
      </c>
      <c r="H655" s="3">
        <v>15512465.68</v>
      </c>
      <c r="I655" s="3">
        <v>13988209.789999999</v>
      </c>
      <c r="J655" s="3">
        <v>3003.42</v>
      </c>
      <c r="K655" s="4">
        <v>775623.28399999999</v>
      </c>
      <c r="L655" s="4">
        <v>0.2108807677040011</v>
      </c>
      <c r="M655" s="3">
        <v>3</v>
      </c>
      <c r="N655" t="s">
        <v>1279</v>
      </c>
      <c r="O655" t="s">
        <v>1230</v>
      </c>
      <c r="P655" t="s">
        <v>1199</v>
      </c>
    </row>
    <row r="656" spans="1:16" x14ac:dyDescent="0.4">
      <c r="A656" s="2">
        <v>45919</v>
      </c>
      <c r="B656" t="s">
        <v>34</v>
      </c>
      <c r="C656" t="s">
        <v>649</v>
      </c>
      <c r="D656" s="3" t="str">
        <f t="shared" si="20"/>
        <v>PASS</v>
      </c>
      <c r="E656" s="3" t="str">
        <f t="shared" si="21"/>
        <v>PASS</v>
      </c>
      <c r="F656" t="s">
        <v>649</v>
      </c>
      <c r="G656" t="s">
        <v>649</v>
      </c>
      <c r="H656" s="3">
        <v>168351067.34999999</v>
      </c>
      <c r="I656" s="3">
        <v>145484544.84</v>
      </c>
      <c r="J656" s="3">
        <v>31247.279999999999</v>
      </c>
      <c r="K656" s="4">
        <v>8417553.3674999997</v>
      </c>
      <c r="L656" s="4">
        <v>0.21082050930016541</v>
      </c>
      <c r="M656" s="3">
        <v>3</v>
      </c>
      <c r="N656" t="s">
        <v>1280</v>
      </c>
      <c r="O656" t="s">
        <v>1230</v>
      </c>
      <c r="P656" t="s">
        <v>1199</v>
      </c>
    </row>
    <row r="657" spans="1:16" x14ac:dyDescent="0.4">
      <c r="A657" s="2">
        <v>45919</v>
      </c>
      <c r="B657" t="s">
        <v>35</v>
      </c>
      <c r="C657" t="s">
        <v>649</v>
      </c>
      <c r="D657" s="3" t="str">
        <f t="shared" si="20"/>
        <v>PASS</v>
      </c>
      <c r="E657" s="3" t="str">
        <f t="shared" si="21"/>
        <v>PASS</v>
      </c>
      <c r="F657" t="s">
        <v>649</v>
      </c>
      <c r="G657" t="s">
        <v>649</v>
      </c>
      <c r="H657" s="3">
        <v>137161907.34</v>
      </c>
      <c r="I657" s="3">
        <v>125950905.2</v>
      </c>
      <c r="J657" s="3">
        <v>26392.17</v>
      </c>
      <c r="K657" s="4">
        <v>6858095.3670000006</v>
      </c>
      <c r="L657" s="4">
        <v>0.21599334153806629</v>
      </c>
      <c r="M657" s="3">
        <v>3</v>
      </c>
      <c r="N657" t="s">
        <v>1281</v>
      </c>
      <c r="O657" t="s">
        <v>740</v>
      </c>
      <c r="P657" t="s">
        <v>1168</v>
      </c>
    </row>
    <row r="658" spans="1:16" x14ac:dyDescent="0.4">
      <c r="A658" s="2">
        <v>45919</v>
      </c>
      <c r="B658" t="s">
        <v>36</v>
      </c>
      <c r="C658" t="s">
        <v>649</v>
      </c>
      <c r="D658" s="3" t="str">
        <f t="shared" si="20"/>
        <v>PASS</v>
      </c>
      <c r="E658" s="3" t="str">
        <f t="shared" si="21"/>
        <v>PASS</v>
      </c>
      <c r="F658" t="s">
        <v>649</v>
      </c>
      <c r="G658" t="s">
        <v>649</v>
      </c>
      <c r="H658" s="3">
        <v>102251836.43000001</v>
      </c>
      <c r="I658" s="3">
        <v>93856940.550000012</v>
      </c>
      <c r="J658" s="3">
        <v>20232.900000000001</v>
      </c>
      <c r="K658" s="4">
        <v>5112591.8215000005</v>
      </c>
      <c r="L658" s="4">
        <v>0.21003381828692649</v>
      </c>
      <c r="M658" s="3">
        <v>3</v>
      </c>
      <c r="N658" t="s">
        <v>1282</v>
      </c>
      <c r="O658" t="s">
        <v>1238</v>
      </c>
      <c r="P658" t="s">
        <v>1232</v>
      </c>
    </row>
    <row r="659" spans="1:16" x14ac:dyDescent="0.4">
      <c r="A659" s="2">
        <v>45919</v>
      </c>
      <c r="B659" t="s">
        <v>37</v>
      </c>
      <c r="C659" t="s">
        <v>649</v>
      </c>
      <c r="D659" s="3" t="str">
        <f t="shared" si="20"/>
        <v>PASS</v>
      </c>
      <c r="E659" s="3" t="str">
        <f t="shared" si="21"/>
        <v>PASS</v>
      </c>
      <c r="F659" t="s">
        <v>649</v>
      </c>
      <c r="G659" t="s">
        <v>649</v>
      </c>
      <c r="H659" s="3">
        <v>40698560.100000001</v>
      </c>
      <c r="I659" s="3">
        <v>35603143.25</v>
      </c>
      <c r="J659" s="3">
        <v>7686.9</v>
      </c>
      <c r="K659" s="4">
        <v>2034928.0049999999</v>
      </c>
      <c r="L659" s="4">
        <v>0.20970065176318689</v>
      </c>
      <c r="M659" s="3">
        <v>3</v>
      </c>
      <c r="N659" t="s">
        <v>1283</v>
      </c>
      <c r="O659" t="s">
        <v>1238</v>
      </c>
      <c r="P659" t="s">
        <v>1232</v>
      </c>
    </row>
    <row r="660" spans="1:16" x14ac:dyDescent="0.4">
      <c r="A660" s="2">
        <v>45919</v>
      </c>
      <c r="B660" t="s">
        <v>38</v>
      </c>
      <c r="C660" t="s">
        <v>649</v>
      </c>
      <c r="D660" s="3" t="str">
        <f t="shared" si="20"/>
        <v>PASS</v>
      </c>
      <c r="E660" s="3" t="str">
        <f t="shared" si="21"/>
        <v>PASS</v>
      </c>
      <c r="F660" t="s">
        <v>649</v>
      </c>
      <c r="G660" t="s">
        <v>649</v>
      </c>
      <c r="H660" s="3">
        <v>43873425.82</v>
      </c>
      <c r="I660" s="3">
        <v>38726383.060000002</v>
      </c>
      <c r="J660" s="3">
        <v>8124.63</v>
      </c>
      <c r="K660" s="4">
        <v>2193671.2910000002</v>
      </c>
      <c r="L660" s="4">
        <v>0.21571064311747459</v>
      </c>
      <c r="M660" s="3">
        <v>3</v>
      </c>
      <c r="N660" t="s">
        <v>1284</v>
      </c>
      <c r="O660" t="s">
        <v>740</v>
      </c>
      <c r="P660" t="s">
        <v>1168</v>
      </c>
    </row>
    <row r="661" spans="1:16" x14ac:dyDescent="0.4">
      <c r="A661" s="2">
        <v>45919</v>
      </c>
      <c r="B661" t="s">
        <v>39</v>
      </c>
      <c r="C661" t="s">
        <v>649</v>
      </c>
      <c r="D661" s="3" t="str">
        <f t="shared" si="20"/>
        <v>PASS</v>
      </c>
      <c r="E661" s="3" t="str">
        <f t="shared" si="21"/>
        <v>PASS</v>
      </c>
      <c r="F661" t="s">
        <v>649</v>
      </c>
      <c r="G661" t="s">
        <v>649</v>
      </c>
      <c r="H661" s="3">
        <v>79643231.370000005</v>
      </c>
      <c r="I661" s="3">
        <v>72794182.790000007</v>
      </c>
      <c r="J661" s="3">
        <v>15547.5</v>
      </c>
      <c r="K661" s="4">
        <v>3982161.568500001</v>
      </c>
      <c r="L661" s="4">
        <v>0.21188324441936951</v>
      </c>
      <c r="M661" s="3">
        <v>3</v>
      </c>
      <c r="N661" t="s">
        <v>1285</v>
      </c>
      <c r="O661" t="s">
        <v>1227</v>
      </c>
      <c r="P661" t="s">
        <v>941</v>
      </c>
    </row>
    <row r="662" spans="1:16" x14ac:dyDescent="0.4">
      <c r="A662" t="s">
        <v>1286</v>
      </c>
    </row>
    <row r="663" spans="1:16" x14ac:dyDescent="0.4">
      <c r="A663" t="s">
        <v>1287</v>
      </c>
    </row>
    <row r="664" spans="1:16" x14ac:dyDescent="0.4">
      <c r="A664" t="s">
        <v>1288</v>
      </c>
    </row>
    <row r="665" spans="1:16" x14ac:dyDescent="0.4">
      <c r="A665" t="s">
        <v>1289</v>
      </c>
    </row>
    <row r="666" spans="1:16" x14ac:dyDescent="0.4">
      <c r="A666" t="s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40Act_Diversification</vt:lpstr>
      <vt:lpstr>IRS_Diversification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2025-10-30T12:47:52Z</dcterms:created>
  <dcterms:modified xsi:type="dcterms:W3CDTF">2025-10-30T22:19:37Z</dcterms:modified>
</cp:coreProperties>
</file>