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CS_Compliance" sheetId="1" state="visible" r:id="rId1"/>
    <sheet xmlns:r="http://schemas.openxmlformats.org/officeDocument/2006/relationships" name="GICS_Calculations" sheetId="2" state="visible" r:id="rId2"/>
    <sheet xmlns:r="http://schemas.openxmlformats.org/officeDocument/2006/relationships" name="Prospectus_80pct" sheetId="3" state="visible" r:id="rId3"/>
    <sheet xmlns:r="http://schemas.openxmlformats.org/officeDocument/2006/relationships" name="40Act_Diversification" sheetId="4" state="visible" r:id="rId4"/>
    <sheet xmlns:r="http://schemas.openxmlformats.org/officeDocument/2006/relationships" name="IRS_Diversification" sheetId="5" state="visible" r:id="rId5"/>
    <sheet xmlns:r="http://schemas.openxmlformats.org/officeDocument/2006/relationships" name="Illiquid" sheetId="6" state="visible" r:id="rId6"/>
    <sheet xmlns:r="http://schemas.openxmlformats.org/officeDocument/2006/relationships" name="Real_Estate" sheetId="7" state="visible" r:id="rId7"/>
    <sheet xmlns:r="http://schemas.openxmlformats.org/officeDocument/2006/relationships" name="Commodities" sheetId="8" state="visible" r:id="rId8"/>
    <sheet xmlns:r="http://schemas.openxmlformats.org/officeDocument/2006/relationships" name="12d1_Other_Investment_Companies" sheetId="9" state="visible" r:id="rId9"/>
    <sheet xmlns:r="http://schemas.openxmlformats.org/officeDocument/2006/relationships" name="12d2_Insurance_Companies" sheetId="10" state="visible" r:id="rId10"/>
    <sheet xmlns:r="http://schemas.openxmlformats.org/officeDocument/2006/relationships" name="12d3_Securities_Business" sheetId="11" state="visible" r:id="rId11"/>
  </sheets>
  <definedNames/>
  <calcPr calcId="124519" fullCalcOnLoad="1"/>
</workbook>
</file>

<file path=xl/styles.xml><?xml version="1.0" encoding="utf-8"?>
<styleSheet xmlns="http://schemas.openxmlformats.org/spreadsheetml/2006/main">
  <numFmts count="3">
    <numFmt numFmtId="164" formatCode="yyyy-mm-dd"/>
    <numFmt numFmtId="165" formatCode="YYYY-MM-DD"/>
    <numFmt numFmtId="166" formatCode="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4" fontId="0" fillId="0" borderId="0" pivotButton="0" quotePrefix="0" xfId="0"/>
    <xf numFmtId="10"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50" customWidth="1" min="1" max="1"/>
    <col width="8" customWidth="1" min="2" max="2"/>
    <col width="25" customWidth="1" min="3" max="3"/>
    <col width="22" customWidth="1" min="4" max="4"/>
    <col width="28" customWidth="1" min="5" max="5"/>
    <col width="29" customWidth="1" min="6" max="6"/>
    <col width="35" customWidth="1" min="7" max="7"/>
    <col width="36" customWidth="1" min="8" max="8"/>
    <col width="31" customWidth="1" min="9" max="9"/>
  </cols>
  <sheetData>
    <row r="1">
      <c r="A1" s="1" t="inlineStr">
        <is>
          <t>Date</t>
        </is>
      </c>
      <c r="B1" s="1" t="inlineStr">
        <is>
          <t>Fund</t>
        </is>
      </c>
      <c r="C1" s="1" t="inlineStr">
        <is>
          <t>Overall GICS Compliance</t>
        </is>
      </c>
      <c r="D1" s="1" t="inlineStr">
        <is>
          <t>Industry Exceeds 25%</t>
        </is>
      </c>
      <c r="E1" s="1" t="inlineStr">
        <is>
          <t>Industry Group Exceeds 25%</t>
        </is>
      </c>
      <c r="F1" s="1" t="inlineStr">
        <is>
          <t>Index Industry Exceeds 25%?</t>
        </is>
      </c>
      <c r="G1" s="1" t="inlineStr">
        <is>
          <t>Index Industry Group Exceeds 25%?</t>
        </is>
      </c>
      <c r="H1" s="1" t="inlineStr">
        <is>
          <t>Can Fund exceed 25% if Index does?</t>
        </is>
      </c>
      <c r="I1" s="1" t="inlineStr">
        <is>
          <t>Exceptions to Conc Policy</t>
        </is>
      </c>
    </row>
    <row r="2">
      <c r="A2" s="2" t="n">
        <v>45966</v>
      </c>
      <c r="B2" t="inlineStr">
        <is>
          <t>FDND</t>
        </is>
      </c>
      <c r="C2" t="inlineStr">
        <is>
          <t>PASS</t>
        </is>
      </c>
      <c r="D2" t="b">
        <v>0</v>
      </c>
      <c r="E2" t="b">
        <v>1</v>
      </c>
      <c r="F2" t="b">
        <v>0</v>
      </c>
      <c r="G2" t="b">
        <v>1</v>
      </c>
      <c r="H2" t="inlineStr">
        <is>
          <t>Yes</t>
        </is>
      </c>
      <c r="I2" t="inlineStr"/>
    </row>
    <row r="3">
      <c r="A3" s="2" t="n">
        <v>45966</v>
      </c>
      <c r="B3" t="inlineStr">
        <is>
          <t>FGSI</t>
        </is>
      </c>
      <c r="C3" t="inlineStr">
        <is>
          <t>FAIL</t>
        </is>
      </c>
      <c r="D3" t="b">
        <v>0</v>
      </c>
      <c r="E3" t="b">
        <v>0</v>
      </c>
      <c r="F3" t="b">
        <v>0</v>
      </c>
      <c r="G3" t="b">
        <v>0</v>
      </c>
      <c r="H3" t="inlineStr">
        <is>
          <t>No</t>
        </is>
      </c>
      <c r="I3" t="inlineStr"/>
    </row>
    <row r="4">
      <c r="A4" s="2" t="n">
        <v>45966</v>
      </c>
      <c r="B4" t="inlineStr">
        <is>
          <t>HE3B1</t>
        </is>
      </c>
      <c r="C4" t="inlineStr">
        <is>
          <t>FAIL</t>
        </is>
      </c>
      <c r="D4" t="b">
        <v>0</v>
      </c>
      <c r="E4" t="b">
        <v>0</v>
      </c>
      <c r="F4" t="b">
        <v>0</v>
      </c>
      <c r="G4" t="b">
        <v>0</v>
      </c>
      <c r="H4" t="inlineStr">
        <is>
          <t>No</t>
        </is>
      </c>
      <c r="I4" t="inlineStr"/>
    </row>
    <row r="5">
      <c r="A5" s="2" t="n">
        <v>45966</v>
      </c>
      <c r="B5" t="inlineStr">
        <is>
          <t>HE3B2</t>
        </is>
      </c>
      <c r="C5" t="inlineStr">
        <is>
          <t>FAIL</t>
        </is>
      </c>
      <c r="D5" t="b">
        <v>0</v>
      </c>
      <c r="E5" t="b">
        <v>0</v>
      </c>
      <c r="F5" t="b">
        <v>0</v>
      </c>
      <c r="G5" t="b">
        <v>0</v>
      </c>
      <c r="H5" t="inlineStr">
        <is>
          <t>No</t>
        </is>
      </c>
      <c r="I5" t="inlineStr"/>
    </row>
    <row r="6">
      <c r="A6" s="2" t="n">
        <v>45966</v>
      </c>
      <c r="B6" t="inlineStr">
        <is>
          <t>KNG</t>
        </is>
      </c>
      <c r="C6" t="inlineStr">
        <is>
          <t>PASS</t>
        </is>
      </c>
      <c r="D6" t="b">
        <v>0</v>
      </c>
      <c r="E6" t="b">
        <v>0</v>
      </c>
      <c r="F6" t="b">
        <v>0</v>
      </c>
      <c r="G6" t="b">
        <v>0</v>
      </c>
      <c r="H6" t="inlineStr">
        <is>
          <t>Yes</t>
        </is>
      </c>
      <c r="I6" t="inlineStr"/>
    </row>
    <row r="7">
      <c r="A7" s="2" t="n">
        <v>45966</v>
      </c>
      <c r="B7" t="inlineStr">
        <is>
          <t>P21026</t>
        </is>
      </c>
      <c r="C7" t="inlineStr">
        <is>
          <t>FAIL</t>
        </is>
      </c>
      <c r="D7" t="b">
        <v>0</v>
      </c>
      <c r="E7" t="b">
        <v>0</v>
      </c>
      <c r="F7" t="b">
        <v>0</v>
      </c>
      <c r="G7" t="b">
        <v>0</v>
      </c>
      <c r="H7" t="inlineStr">
        <is>
          <t>No</t>
        </is>
      </c>
      <c r="I7" t="inlineStr"/>
    </row>
    <row r="8">
      <c r="A8" s="2" t="n">
        <v>45966</v>
      </c>
      <c r="B8" t="inlineStr">
        <is>
          <t>P2726</t>
        </is>
      </c>
      <c r="C8" t="inlineStr">
        <is>
          <t>FAIL</t>
        </is>
      </c>
      <c r="D8" t="b">
        <v>0</v>
      </c>
      <c r="E8" t="b">
        <v>0</v>
      </c>
      <c r="F8" t="b">
        <v>0</v>
      </c>
      <c r="G8" t="b">
        <v>0</v>
      </c>
      <c r="H8" t="inlineStr">
        <is>
          <t>No</t>
        </is>
      </c>
      <c r="I8" t="inlineStr"/>
    </row>
    <row r="9">
      <c r="A9" s="2" t="n">
        <v>45966</v>
      </c>
      <c r="B9" t="inlineStr">
        <is>
          <t>P30128</t>
        </is>
      </c>
      <c r="C9" t="inlineStr">
        <is>
          <t>FAIL</t>
        </is>
      </c>
      <c r="D9" t="b">
        <v>0</v>
      </c>
      <c r="E9" t="b">
        <v>0</v>
      </c>
      <c r="F9" t="b">
        <v>0</v>
      </c>
      <c r="G9" t="b">
        <v>0</v>
      </c>
      <c r="H9" t="inlineStr">
        <is>
          <t>No</t>
        </is>
      </c>
      <c r="I9" t="inlineStr"/>
    </row>
    <row r="10">
      <c r="A10" s="2" t="n">
        <v>45966</v>
      </c>
      <c r="B10" t="inlineStr">
        <is>
          <t>P31027</t>
        </is>
      </c>
      <c r="C10" t="inlineStr">
        <is>
          <t>FAIL</t>
        </is>
      </c>
      <c r="D10" t="b">
        <v>0</v>
      </c>
      <c r="E10" t="b">
        <v>0</v>
      </c>
      <c r="F10" t="b">
        <v>0</v>
      </c>
      <c r="G10" t="b">
        <v>0</v>
      </c>
      <c r="H10" t="inlineStr">
        <is>
          <t>No</t>
        </is>
      </c>
      <c r="I10" t="inlineStr"/>
    </row>
    <row r="11">
      <c r="A11" s="2" t="n">
        <v>45966</v>
      </c>
      <c r="B11" t="inlineStr">
        <is>
          <t>P3727</t>
        </is>
      </c>
      <c r="C11" t="inlineStr">
        <is>
          <t>FAIL</t>
        </is>
      </c>
      <c r="D11" t="b">
        <v>0</v>
      </c>
      <c r="E11" t="b">
        <v>0</v>
      </c>
      <c r="F11" t="b">
        <v>0</v>
      </c>
      <c r="G11" t="b">
        <v>0</v>
      </c>
      <c r="H11" t="inlineStr">
        <is>
          <t>No</t>
        </is>
      </c>
      <c r="I11" t="inlineStr"/>
    </row>
    <row r="12">
      <c r="A12" s="2" t="n">
        <v>45966</v>
      </c>
      <c r="B12" t="inlineStr">
        <is>
          <t>R21126</t>
        </is>
      </c>
      <c r="C12" t="inlineStr">
        <is>
          <t>FAIL</t>
        </is>
      </c>
      <c r="D12" t="b">
        <v>0</v>
      </c>
      <c r="E12" t="b">
        <v>0</v>
      </c>
      <c r="F12" t="b">
        <v>0</v>
      </c>
      <c r="G12" t="b">
        <v>0</v>
      </c>
      <c r="H12" t="inlineStr">
        <is>
          <t>No</t>
        </is>
      </c>
      <c r="I12" t="inlineStr"/>
    </row>
    <row r="13">
      <c r="A13" s="2" t="n">
        <v>45966</v>
      </c>
      <c r="B13" t="inlineStr">
        <is>
          <t>RDVI</t>
        </is>
      </c>
      <c r="C13" t="inlineStr">
        <is>
          <t>FAIL</t>
        </is>
      </c>
      <c r="D13" t="b">
        <v>0</v>
      </c>
      <c r="E13" t="b">
        <v>0</v>
      </c>
      <c r="F13" t="b">
        <v>0</v>
      </c>
      <c r="G13" t="b">
        <v>0</v>
      </c>
      <c r="H13" t="inlineStr">
        <is>
          <t>No</t>
        </is>
      </c>
      <c r="I13" t="inlineStr"/>
    </row>
    <row r="14">
      <c r="A14" s="2" t="n">
        <v>45966</v>
      </c>
      <c r="B14" t="inlineStr">
        <is>
          <t>SDVD</t>
        </is>
      </c>
      <c r="C14" t="inlineStr">
        <is>
          <t>FAIL</t>
        </is>
      </c>
      <c r="D14" t="b">
        <v>0</v>
      </c>
      <c r="E14" t="b">
        <v>1</v>
      </c>
      <c r="F14" t="b">
        <v>0</v>
      </c>
      <c r="G14" t="b">
        <v>1</v>
      </c>
      <c r="H14" t="inlineStr">
        <is>
          <t>No</t>
        </is>
      </c>
      <c r="I14" t="inlineStr"/>
    </row>
    <row r="15">
      <c r="A15" s="2" t="n">
        <v>45966</v>
      </c>
      <c r="B15" t="inlineStr">
        <is>
          <t>TDVI</t>
        </is>
      </c>
      <c r="C15" t="inlineStr">
        <is>
          <t>PASS</t>
        </is>
      </c>
      <c r="D15" t="b">
        <v>1</v>
      </c>
      <c r="E15" t="b">
        <v>1</v>
      </c>
      <c r="F15" t="b">
        <v>1</v>
      </c>
      <c r="G15" t="b">
        <v>1</v>
      </c>
      <c r="H15" t="inlineStr">
        <is>
          <t>No</t>
        </is>
      </c>
      <c r="I15" t="inlineStr">
        <is>
          <t>Information Technology Sector</t>
        </is>
      </c>
    </row>
    <row r="16">
      <c r="A16" s="2" t="n">
        <v>45966</v>
      </c>
      <c r="B16" t="inlineStr">
        <is>
          <t>TR2B1</t>
        </is>
      </c>
      <c r="C16" t="inlineStr">
        <is>
          <t>FAIL</t>
        </is>
      </c>
      <c r="D16" t="b">
        <v>0</v>
      </c>
      <c r="E16" t="b">
        <v>0</v>
      </c>
      <c r="F16" t="b">
        <v>0</v>
      </c>
      <c r="G16" t="b">
        <v>0</v>
      </c>
      <c r="H16" t="inlineStr">
        <is>
          <t>No</t>
        </is>
      </c>
      <c r="I16" t="inlineStr"/>
    </row>
    <row r="17">
      <c r="A17" s="2" t="n">
        <v>45966</v>
      </c>
      <c r="B17" t="inlineStr">
        <is>
          <t>TR2B2</t>
        </is>
      </c>
      <c r="C17" t="inlineStr">
        <is>
          <t>FAIL</t>
        </is>
      </c>
      <c r="D17" t="b">
        <v>0</v>
      </c>
      <c r="E17" t="b">
        <v>0</v>
      </c>
      <c r="F17" t="b">
        <v>0</v>
      </c>
      <c r="G17" t="b">
        <v>0</v>
      </c>
      <c r="H17" t="inlineStr">
        <is>
          <t>No</t>
        </is>
      </c>
      <c r="I17" t="inlineStr"/>
    </row>
    <row r="18">
      <c r="A18" t="inlineStr">
        <is>
          <t>* Certain funds may not have more than 25% of total assets in any industry or group of industries. However, other funds may have more than 25% of total assets in an industry or group of industries if (1) the fund’s Underlying ETF invests more than 25% of its assets in that industry or group of industries or (2) the fund is specifically permitted to concentrate in a specified industry or group of industries in its fundamental investment policy (such as information technology). Therefore, some funds have additional info listed about their underlying ETF (represented by an index) or have a note that they can concentrate in a certain industry or group of industries.</t>
        </is>
      </c>
      <c r="B18" t="inlineStr"/>
      <c r="C18" t="inlineStr"/>
      <c r="D18" t="inlineStr"/>
      <c r="E18" t="inlineStr"/>
      <c r="F18" t="inlineStr"/>
      <c r="G18" t="inlineStr"/>
      <c r="H18" t="inlineStr"/>
      <c r="I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80"/>
  <sheetViews>
    <sheetView workbookViewId="0">
      <selection activeCell="A1" sqref="A1"/>
    </sheetView>
  </sheetViews>
  <sheetFormatPr baseColWidth="8" defaultRowHeight="15"/>
  <cols>
    <col width="12" customWidth="1" min="1" max="1"/>
    <col width="8" customWidth="1" min="2" max="2"/>
    <col width="26" customWidth="1" min="3" max="3"/>
    <col width="48" customWidth="1" min="4" max="4"/>
    <col width="18" customWidth="1" min="5" max="5"/>
    <col width="21" customWidth="1" min="6" max="6"/>
    <col width="22" customWidth="1" min="7" max="7"/>
    <col width="13" customWidth="1" min="8" max="8"/>
    <col width="14" customWidth="1" min="9" max="9"/>
  </cols>
  <sheetData>
    <row r="1">
      <c r="A1" s="1" t="inlineStr">
        <is>
          <t>Date</t>
        </is>
      </c>
      <c r="B1" s="1" t="inlineStr">
        <is>
          <t>Fund</t>
        </is>
      </c>
      <c r="C1" s="1" t="inlineStr">
        <is>
          <t>GICS_Class</t>
        </is>
      </c>
      <c r="D1" s="1" t="inlineStr">
        <is>
          <t>GICS_Class Value</t>
        </is>
      </c>
      <c r="E1" s="1" t="inlineStr">
        <is>
          <t>GICS_SECTOR_NAME</t>
        </is>
      </c>
      <c r="F1" s="1" t="inlineStr">
        <is>
          <t>Exceeding_Fund_25%?</t>
        </is>
      </c>
      <c r="G1" s="1" t="inlineStr">
        <is>
          <t>Exceeding_Index_25%?</t>
        </is>
      </c>
      <c r="H1" s="1" t="inlineStr">
        <is>
          <t>Fund_Weight</t>
        </is>
      </c>
      <c r="I1" s="1" t="inlineStr">
        <is>
          <t>Index_Weight</t>
        </is>
      </c>
    </row>
    <row r="2">
      <c r="A2" s="2" t="n">
        <v>45966</v>
      </c>
      <c r="B2" t="inlineStr">
        <is>
          <t>FDND</t>
        </is>
      </c>
      <c r="C2" t="inlineStr">
        <is>
          <t>GICS_INDUSTRY_GROUP_NAME</t>
        </is>
      </c>
      <c r="D2" t="inlineStr">
        <is>
          <t>Media &amp; Entertainment</t>
        </is>
      </c>
      <c r="E2" t="inlineStr">
        <is>
          <t>N/A</t>
        </is>
      </c>
      <c r="F2" t="b">
        <v>1</v>
      </c>
      <c r="G2" t="b">
        <v>1</v>
      </c>
      <c r="H2" t="inlineStr">
        <is>
          <t>32.37%</t>
        </is>
      </c>
      <c r="I2" t="inlineStr">
        <is>
          <t>32.38%</t>
        </is>
      </c>
    </row>
    <row r="3">
      <c r="A3" s="2" t="n">
        <v>45966</v>
      </c>
      <c r="B3" t="inlineStr">
        <is>
          <t>FDND</t>
        </is>
      </c>
      <c r="C3" t="inlineStr">
        <is>
          <t>GICS_INDUSTRY_GROUP_NAME</t>
        </is>
      </c>
      <c r="D3" t="inlineStr">
        <is>
          <t>Software &amp; Services</t>
        </is>
      </c>
      <c r="E3" t="inlineStr">
        <is>
          <t>N/A</t>
        </is>
      </c>
      <c r="F3" t="inlineStr"/>
      <c r="G3" t="inlineStr"/>
      <c r="H3" t="inlineStr">
        <is>
          <t>23.65%</t>
        </is>
      </c>
      <c r="I3" t="inlineStr">
        <is>
          <t>23.65%</t>
        </is>
      </c>
    </row>
    <row r="4">
      <c r="A4" s="2" t="n">
        <v>45966</v>
      </c>
      <c r="B4" t="inlineStr">
        <is>
          <t>FDND</t>
        </is>
      </c>
      <c r="C4" t="inlineStr">
        <is>
          <t>GICS_INDUSTRY_NAME</t>
        </is>
      </c>
      <c r="D4" t="inlineStr">
        <is>
          <t>Interactive Media &amp; Services</t>
        </is>
      </c>
      <c r="E4" t="inlineStr">
        <is>
          <t>N/A</t>
        </is>
      </c>
      <c r="F4" t="inlineStr"/>
      <c r="G4" t="inlineStr"/>
      <c r="H4" t="inlineStr">
        <is>
          <t>20.81%</t>
        </is>
      </c>
      <c r="I4" t="inlineStr">
        <is>
          <t>20.82%</t>
        </is>
      </c>
    </row>
    <row r="5">
      <c r="A5" s="2" t="n">
        <v>45966</v>
      </c>
      <c r="B5" t="inlineStr">
        <is>
          <t>FDND</t>
        </is>
      </c>
      <c r="C5" t="inlineStr">
        <is>
          <t>GICS_INDUSTRY_GROUP_NAME</t>
        </is>
      </c>
      <c r="D5" t="inlineStr">
        <is>
          <t>Consumer Discretionary Distribution &amp; Retail</t>
        </is>
      </c>
      <c r="E5" t="inlineStr">
        <is>
          <t>N/A</t>
        </is>
      </c>
      <c r="F5" t="inlineStr"/>
      <c r="G5" t="inlineStr"/>
      <c r="H5" t="inlineStr">
        <is>
          <t>14.26%</t>
        </is>
      </c>
      <c r="I5" t="inlineStr">
        <is>
          <t>14.26%</t>
        </is>
      </c>
    </row>
    <row r="6">
      <c r="A6" s="2" t="n">
        <v>45966</v>
      </c>
      <c r="B6" t="inlineStr">
        <is>
          <t>FDND</t>
        </is>
      </c>
      <c r="C6" t="inlineStr">
        <is>
          <t>GICS_INDUSTRY_NAME</t>
        </is>
      </c>
      <c r="D6" t="inlineStr">
        <is>
          <t>Software</t>
        </is>
      </c>
      <c r="E6" t="inlineStr">
        <is>
          <t>N/A</t>
        </is>
      </c>
      <c r="F6" t="inlineStr"/>
      <c r="G6" t="inlineStr"/>
      <c r="H6" t="inlineStr">
        <is>
          <t>13.83%</t>
        </is>
      </c>
      <c r="I6" t="inlineStr">
        <is>
          <t>13.83%</t>
        </is>
      </c>
    </row>
    <row r="7">
      <c r="A7" s="2" t="n">
        <v>45966</v>
      </c>
      <c r="B7" t="inlineStr">
        <is>
          <t>FDND</t>
        </is>
      </c>
      <c r="C7" t="inlineStr">
        <is>
          <t>GICS_INDUSTRY_NAME</t>
        </is>
      </c>
      <c r="D7" t="inlineStr">
        <is>
          <t>Broadline Retail</t>
        </is>
      </c>
      <c r="E7" t="inlineStr">
        <is>
          <t>N/A</t>
        </is>
      </c>
      <c r="F7" t="inlineStr"/>
      <c r="G7" t="inlineStr"/>
      <c r="H7" t="inlineStr">
        <is>
          <t>12.58%</t>
        </is>
      </c>
      <c r="I7" t="inlineStr">
        <is>
          <t>12.58%</t>
        </is>
      </c>
    </row>
    <row r="8">
      <c r="A8" s="2" t="n">
        <v>45966</v>
      </c>
      <c r="B8" t="inlineStr">
        <is>
          <t>FDND</t>
        </is>
      </c>
      <c r="C8" t="inlineStr">
        <is>
          <t>GICS_INDUSTRY_GROUP_NAME</t>
        </is>
      </c>
      <c r="D8" t="inlineStr">
        <is>
          <t>Consumer Services</t>
        </is>
      </c>
      <c r="E8" t="inlineStr">
        <is>
          <t>N/A</t>
        </is>
      </c>
      <c r="F8" t="inlineStr"/>
      <c r="G8" t="inlineStr"/>
      <c r="H8" t="inlineStr">
        <is>
          <t>12.16%</t>
        </is>
      </c>
      <c r="I8" t="inlineStr">
        <is>
          <t>12.13%</t>
        </is>
      </c>
    </row>
    <row r="9">
      <c r="A9" s="2" t="n">
        <v>45966</v>
      </c>
      <c r="B9" t="inlineStr">
        <is>
          <t>FDND</t>
        </is>
      </c>
      <c r="C9" t="inlineStr">
        <is>
          <t>GICS_INDUSTRY_NAME</t>
        </is>
      </c>
      <c r="D9" t="inlineStr">
        <is>
          <t>Hotels, Restaurants &amp; Leisure</t>
        </is>
      </c>
      <c r="E9" t="inlineStr">
        <is>
          <t>N/A</t>
        </is>
      </c>
      <c r="F9" t="inlineStr"/>
      <c r="G9" t="inlineStr"/>
      <c r="H9" t="inlineStr">
        <is>
          <t>11.75%</t>
        </is>
      </c>
      <c r="I9" t="inlineStr">
        <is>
          <t>11.73%</t>
        </is>
      </c>
    </row>
    <row r="10">
      <c r="A10" s="2" t="n">
        <v>45966</v>
      </c>
      <c r="B10" t="inlineStr">
        <is>
          <t>FDND</t>
        </is>
      </c>
      <c r="C10" t="inlineStr">
        <is>
          <t>GICS_INDUSTRY_NAME</t>
        </is>
      </c>
      <c r="D10" t="inlineStr">
        <is>
          <t>Entertainment</t>
        </is>
      </c>
      <c r="E10" t="inlineStr">
        <is>
          <t>N/A</t>
        </is>
      </c>
      <c r="F10" t="inlineStr"/>
      <c r="G10" t="inlineStr"/>
      <c r="H10" t="inlineStr">
        <is>
          <t>11.55%</t>
        </is>
      </c>
      <c r="I10" t="inlineStr">
        <is>
          <t>11.56%</t>
        </is>
      </c>
    </row>
    <row r="11">
      <c r="A11" s="2" t="n">
        <v>45966</v>
      </c>
      <c r="B11" t="inlineStr">
        <is>
          <t>FDND</t>
        </is>
      </c>
      <c r="C11" t="inlineStr">
        <is>
          <t>GICS_INDUSTRY_GROUP_NAME</t>
        </is>
      </c>
      <c r="D11" t="inlineStr">
        <is>
          <t>Technology Hardware &amp; Equipment</t>
        </is>
      </c>
      <c r="E11" t="inlineStr">
        <is>
          <t>N/A</t>
        </is>
      </c>
      <c r="F11" t="inlineStr"/>
      <c r="G11" t="inlineStr"/>
      <c r="H11" t="inlineStr">
        <is>
          <t>11.42%</t>
        </is>
      </c>
      <c r="I11" t="inlineStr">
        <is>
          <t>11.42%</t>
        </is>
      </c>
    </row>
    <row r="12">
      <c r="A12" s="2" t="n">
        <v>45966</v>
      </c>
      <c r="B12" t="inlineStr">
        <is>
          <t>FDND</t>
        </is>
      </c>
      <c r="C12" t="inlineStr">
        <is>
          <t>GICS_INDUSTRY_NAME</t>
        </is>
      </c>
      <c r="D12" t="inlineStr">
        <is>
          <t>Communications Equipment</t>
        </is>
      </c>
      <c r="E12" t="inlineStr">
        <is>
          <t>N/A</t>
        </is>
      </c>
      <c r="F12" t="inlineStr"/>
      <c r="G12" t="inlineStr"/>
      <c r="H12" t="inlineStr">
        <is>
          <t>11.42%</t>
        </is>
      </c>
      <c r="I12" t="inlineStr">
        <is>
          <t>11.42%</t>
        </is>
      </c>
    </row>
    <row r="13">
      <c r="A13" s="2" t="n">
        <v>45966</v>
      </c>
      <c r="B13" t="inlineStr">
        <is>
          <t>FDND</t>
        </is>
      </c>
      <c r="C13" t="inlineStr">
        <is>
          <t>GICS_INDUSTRY_NAME</t>
        </is>
      </c>
      <c r="D13" t="inlineStr">
        <is>
          <t>IT Services</t>
        </is>
      </c>
      <c r="E13" t="inlineStr">
        <is>
          <t>N/A</t>
        </is>
      </c>
      <c r="F13" t="inlineStr"/>
      <c r="G13" t="inlineStr"/>
      <c r="H13" t="inlineStr">
        <is>
          <t>9.81%</t>
        </is>
      </c>
      <c r="I13" t="inlineStr">
        <is>
          <t>9.82%</t>
        </is>
      </c>
    </row>
    <row r="14">
      <c r="A14" s="2" t="n">
        <v>45966</v>
      </c>
      <c r="B14" t="inlineStr">
        <is>
          <t>FDND</t>
        </is>
      </c>
      <c r="C14" t="inlineStr">
        <is>
          <t>GICS_INDUSTRY_GROUP_NAME</t>
        </is>
      </c>
      <c r="D14" t="inlineStr">
        <is>
          <t>Financial Services</t>
        </is>
      </c>
      <c r="E14" t="inlineStr">
        <is>
          <t>N/A</t>
        </is>
      </c>
      <c r="F14" t="inlineStr"/>
      <c r="G14" t="inlineStr"/>
      <c r="H14" t="inlineStr">
        <is>
          <t>2.56%</t>
        </is>
      </c>
      <c r="I14" t="inlineStr">
        <is>
          <t>2.57%</t>
        </is>
      </c>
    </row>
    <row r="15">
      <c r="A15" s="2" t="n">
        <v>45966</v>
      </c>
      <c r="B15" t="inlineStr">
        <is>
          <t>FDND</t>
        </is>
      </c>
      <c r="C15" t="inlineStr">
        <is>
          <t>GICS_INDUSTRY_NAME</t>
        </is>
      </c>
      <c r="D15" t="inlineStr">
        <is>
          <t>Financial Services</t>
        </is>
      </c>
      <c r="E15" t="inlineStr">
        <is>
          <t>N/A</t>
        </is>
      </c>
      <c r="F15" t="inlineStr"/>
      <c r="G15" t="inlineStr"/>
      <c r="H15" t="inlineStr">
        <is>
          <t>2.56%</t>
        </is>
      </c>
      <c r="I15" t="inlineStr">
        <is>
          <t>2.57%</t>
        </is>
      </c>
    </row>
    <row r="16">
      <c r="A16" s="2" t="n">
        <v>45966</v>
      </c>
      <c r="B16" t="inlineStr">
        <is>
          <t>FDND</t>
        </is>
      </c>
      <c r="C16" t="inlineStr">
        <is>
          <t>GICS_INDUSTRY_GROUP_NAME</t>
        </is>
      </c>
      <c r="D16" t="inlineStr">
        <is>
          <t>Commercial &amp; Professional Services</t>
        </is>
      </c>
      <c r="E16" t="inlineStr">
        <is>
          <t>N/A</t>
        </is>
      </c>
      <c r="F16" t="inlineStr"/>
      <c r="G16" t="inlineStr"/>
      <c r="H16" t="inlineStr">
        <is>
          <t>1.83%</t>
        </is>
      </c>
      <c r="I16" t="inlineStr">
        <is>
          <t>1.84%</t>
        </is>
      </c>
    </row>
    <row r="17">
      <c r="A17" s="2" t="n">
        <v>45966</v>
      </c>
      <c r="B17" t="inlineStr">
        <is>
          <t>FDND</t>
        </is>
      </c>
      <c r="C17" t="inlineStr">
        <is>
          <t>GICS_INDUSTRY_GROUP_NAME</t>
        </is>
      </c>
      <c r="D17" t="inlineStr">
        <is>
          <t>Health Care Equipment &amp; Services</t>
        </is>
      </c>
      <c r="E17" t="inlineStr">
        <is>
          <t>N/A</t>
        </is>
      </c>
      <c r="F17" t="inlineStr"/>
      <c r="G17" t="inlineStr"/>
      <c r="H17" t="inlineStr">
        <is>
          <t>1.75%</t>
        </is>
      </c>
      <c r="I17" t="inlineStr">
        <is>
          <t>1.75%</t>
        </is>
      </c>
    </row>
    <row r="18">
      <c r="A18" s="2" t="n">
        <v>45966</v>
      </c>
      <c r="B18" t="inlineStr">
        <is>
          <t>FDND</t>
        </is>
      </c>
      <c r="C18" t="inlineStr">
        <is>
          <t>GICS_INDUSTRY_NAME</t>
        </is>
      </c>
      <c r="D18" t="inlineStr">
        <is>
          <t>Health Care Technology</t>
        </is>
      </c>
      <c r="E18" t="inlineStr">
        <is>
          <t>N/A</t>
        </is>
      </c>
      <c r="F18" t="inlineStr"/>
      <c r="G18" t="inlineStr"/>
      <c r="H18" t="inlineStr">
        <is>
          <t>1.75%</t>
        </is>
      </c>
      <c r="I18" t="inlineStr">
        <is>
          <t>1.75%</t>
        </is>
      </c>
    </row>
    <row r="19">
      <c r="A19" s="2" t="n">
        <v>45966</v>
      </c>
      <c r="B19" t="inlineStr">
        <is>
          <t>FDND</t>
        </is>
      </c>
      <c r="C19" t="inlineStr">
        <is>
          <t>GICS_INDUSTRY_NAME</t>
        </is>
      </c>
      <c r="D19" t="inlineStr">
        <is>
          <t>Specialty Retail</t>
        </is>
      </c>
      <c r="E19" t="inlineStr">
        <is>
          <t>N/A</t>
        </is>
      </c>
      <c r="F19" t="inlineStr"/>
      <c r="G19" t="inlineStr"/>
      <c r="H19" t="inlineStr">
        <is>
          <t>1.69%</t>
        </is>
      </c>
      <c r="I19" t="inlineStr">
        <is>
          <t>1.69%</t>
        </is>
      </c>
    </row>
    <row r="20">
      <c r="A20" s="2" t="n">
        <v>45966</v>
      </c>
      <c r="B20" t="inlineStr">
        <is>
          <t>FDND</t>
        </is>
      </c>
      <c r="C20" t="inlineStr">
        <is>
          <t>GICS_INDUSTRY_NAME</t>
        </is>
      </c>
      <c r="D20" t="inlineStr">
        <is>
          <t>Commercial Services &amp; Supplies</t>
        </is>
      </c>
      <c r="E20" t="inlineStr">
        <is>
          <t>N/A</t>
        </is>
      </c>
      <c r="F20" t="inlineStr"/>
      <c r="G20" t="inlineStr"/>
      <c r="H20" t="inlineStr">
        <is>
          <t>1.47%</t>
        </is>
      </c>
      <c r="I20" t="inlineStr">
        <is>
          <t>1.47%</t>
        </is>
      </c>
    </row>
    <row r="21">
      <c r="A21" s="2" t="n">
        <v>45966</v>
      </c>
      <c r="B21" t="inlineStr">
        <is>
          <t>FDND</t>
        </is>
      </c>
      <c r="C21" t="inlineStr">
        <is>
          <t>GICS_INDUSTRY_NAME</t>
        </is>
      </c>
      <c r="D21" t="inlineStr">
        <is>
          <t>Diversified Consumer Services</t>
        </is>
      </c>
      <c r="E21" t="inlineStr">
        <is>
          <t>N/A</t>
        </is>
      </c>
      <c r="F21" t="inlineStr"/>
      <c r="G21" t="inlineStr"/>
      <c r="H21" t="inlineStr">
        <is>
          <t>0.41%</t>
        </is>
      </c>
      <c r="I21" t="inlineStr">
        <is>
          <t>0.41%</t>
        </is>
      </c>
    </row>
    <row r="22">
      <c r="A22" s="2" t="n">
        <v>45966</v>
      </c>
      <c r="B22" t="inlineStr">
        <is>
          <t>FDND</t>
        </is>
      </c>
      <c r="C22" t="inlineStr">
        <is>
          <t>GICS_INDUSTRY_NAME</t>
        </is>
      </c>
      <c r="D22" t="inlineStr">
        <is>
          <t>Professional Services</t>
        </is>
      </c>
      <c r="E22" t="inlineStr">
        <is>
          <t>N/A</t>
        </is>
      </c>
      <c r="F22" t="inlineStr"/>
      <c r="G22" t="inlineStr"/>
      <c r="H22" t="inlineStr">
        <is>
          <t>0.36%</t>
        </is>
      </c>
      <c r="I22" t="inlineStr">
        <is>
          <t>0.36%</t>
        </is>
      </c>
    </row>
    <row r="23">
      <c r="A23" s="2" t="n">
        <v>45966</v>
      </c>
      <c r="B23" t="inlineStr">
        <is>
          <t>FGSI</t>
        </is>
      </c>
      <c r="C23" t="inlineStr">
        <is>
          <t>GICS_INDUSTRY_GROUP_NAME</t>
        </is>
      </c>
      <c r="D23" t="inlineStr">
        <is>
          <t>Financial Services</t>
        </is>
      </c>
      <c r="E23" t="inlineStr">
        <is>
          <t>N/A</t>
        </is>
      </c>
      <c r="F23" t="inlineStr"/>
      <c r="G23" t="inlineStr"/>
      <c r="H23" t="inlineStr">
        <is>
          <t>18.56%</t>
        </is>
      </c>
      <c r="I23" t="inlineStr">
        <is>
          <t>18.57%</t>
        </is>
      </c>
    </row>
    <row r="24">
      <c r="A24" s="2" t="n">
        <v>45966</v>
      </c>
      <c r="B24" t="inlineStr">
        <is>
          <t>FGSI</t>
        </is>
      </c>
      <c r="C24" t="inlineStr">
        <is>
          <t>GICS_INDUSTRY_GROUP_NAME</t>
        </is>
      </c>
      <c r="D24" t="inlineStr">
        <is>
          <t>Software &amp; Services</t>
        </is>
      </c>
      <c r="E24" t="inlineStr">
        <is>
          <t>N/A</t>
        </is>
      </c>
      <c r="F24" t="inlineStr"/>
      <c r="G24" t="inlineStr"/>
      <c r="H24" t="inlineStr">
        <is>
          <t>16.44%</t>
        </is>
      </c>
      <c r="I24" t="inlineStr">
        <is>
          <t>16.41%</t>
        </is>
      </c>
    </row>
    <row r="25">
      <c r="A25" s="2" t="n">
        <v>45966</v>
      </c>
      <c r="B25" t="inlineStr">
        <is>
          <t>FGSI</t>
        </is>
      </c>
      <c r="C25" t="inlineStr">
        <is>
          <t>GICS_INDUSTRY_NAME</t>
        </is>
      </c>
      <c r="D25" t="inlineStr">
        <is>
          <t>Software</t>
        </is>
      </c>
      <c r="E25" t="inlineStr">
        <is>
          <t>N/A</t>
        </is>
      </c>
      <c r="F25" t="inlineStr"/>
      <c r="G25" t="inlineStr"/>
      <c r="H25" t="inlineStr">
        <is>
          <t>14.34%</t>
        </is>
      </c>
      <c r="I25" t="inlineStr">
        <is>
          <t>14.31%</t>
        </is>
      </c>
    </row>
    <row r="26">
      <c r="A26" s="2" t="n">
        <v>45966</v>
      </c>
      <c r="B26" t="inlineStr">
        <is>
          <t>FGSI</t>
        </is>
      </c>
      <c r="C26" t="inlineStr">
        <is>
          <t>GICS_INDUSTRY_NAME</t>
        </is>
      </c>
      <c r="D26" t="inlineStr">
        <is>
          <t>Capital Markets</t>
        </is>
      </c>
      <c r="E26" t="inlineStr">
        <is>
          <t>N/A</t>
        </is>
      </c>
      <c r="F26" t="inlineStr"/>
      <c r="G26" t="inlineStr"/>
      <c r="H26" t="inlineStr">
        <is>
          <t>10.45%</t>
        </is>
      </c>
      <c r="I26" t="inlineStr">
        <is>
          <t>10.44%</t>
        </is>
      </c>
    </row>
    <row r="27">
      <c r="A27" s="2" t="n">
        <v>45966</v>
      </c>
      <c r="B27" t="inlineStr">
        <is>
          <t>FGSI</t>
        </is>
      </c>
      <c r="C27" t="inlineStr">
        <is>
          <t>GICS_INDUSTRY_NAME</t>
        </is>
      </c>
      <c r="D27" t="inlineStr">
        <is>
          <t>Financial Services</t>
        </is>
      </c>
      <c r="E27" t="inlineStr">
        <is>
          <t>N/A</t>
        </is>
      </c>
      <c r="F27" t="inlineStr"/>
      <c r="G27" t="inlineStr"/>
      <c r="H27" t="inlineStr">
        <is>
          <t>8.11%</t>
        </is>
      </c>
      <c r="I27" t="inlineStr">
        <is>
          <t>8.13%</t>
        </is>
      </c>
    </row>
    <row r="28">
      <c r="A28" s="2" t="n">
        <v>45966</v>
      </c>
      <c r="B28" t="inlineStr">
        <is>
          <t>FGSI</t>
        </is>
      </c>
      <c r="C28" t="inlineStr">
        <is>
          <t>GICS_INDUSTRY_GROUP_NAME</t>
        </is>
      </c>
      <c r="D28" t="inlineStr">
        <is>
          <t>Technology Hardware &amp; Equipment</t>
        </is>
      </c>
      <c r="E28" t="inlineStr">
        <is>
          <t>N/A</t>
        </is>
      </c>
      <c r="F28" t="inlineStr"/>
      <c r="G28" t="inlineStr"/>
      <c r="H28" t="inlineStr">
        <is>
          <t>7.73%</t>
        </is>
      </c>
      <c r="I28" t="inlineStr">
        <is>
          <t>7.71%</t>
        </is>
      </c>
    </row>
    <row r="29">
      <c r="A29" s="2" t="n">
        <v>45966</v>
      </c>
      <c r="B29" t="inlineStr">
        <is>
          <t>FGSI</t>
        </is>
      </c>
      <c r="C29" t="inlineStr">
        <is>
          <t>GICS_INDUSTRY_GROUP_NAME</t>
        </is>
      </c>
      <c r="D29" t="inlineStr">
        <is>
          <t>Media &amp; Entertainment</t>
        </is>
      </c>
      <c r="E29" t="inlineStr">
        <is>
          <t>N/A</t>
        </is>
      </c>
      <c r="F29" t="inlineStr"/>
      <c r="G29" t="inlineStr"/>
      <c r="H29" t="inlineStr">
        <is>
          <t>7.19%</t>
        </is>
      </c>
      <c r="I29" t="inlineStr">
        <is>
          <t>7.22%</t>
        </is>
      </c>
    </row>
    <row r="30">
      <c r="A30" s="2" t="n">
        <v>45966</v>
      </c>
      <c r="B30" t="inlineStr">
        <is>
          <t>FGSI</t>
        </is>
      </c>
      <c r="C30" t="inlineStr">
        <is>
          <t>GICS_INDUSTRY_GROUP_NAME</t>
        </is>
      </c>
      <c r="D30" t="inlineStr">
        <is>
          <t>Pharmaceuticals, Biotechnology &amp; Life Sciences</t>
        </is>
      </c>
      <c r="E30" t="inlineStr">
        <is>
          <t>N/A</t>
        </is>
      </c>
      <c r="F30" t="inlineStr"/>
      <c r="G30" t="inlineStr"/>
      <c r="H30" t="inlineStr">
        <is>
          <t>6.87%</t>
        </is>
      </c>
      <c r="I30" t="inlineStr">
        <is>
          <t>6.90%</t>
        </is>
      </c>
    </row>
    <row r="31">
      <c r="A31" s="2" t="n">
        <v>45966</v>
      </c>
      <c r="B31" t="inlineStr">
        <is>
          <t>FGSI</t>
        </is>
      </c>
      <c r="C31" t="inlineStr">
        <is>
          <t>GICS_INDUSTRY_GROUP_NAME</t>
        </is>
      </c>
      <c r="D31" t="inlineStr">
        <is>
          <t>Semiconductors &amp; Semiconductor Equipment</t>
        </is>
      </c>
      <c r="E31" t="inlineStr">
        <is>
          <t>N/A</t>
        </is>
      </c>
      <c r="F31" t="inlineStr"/>
      <c r="G31" t="inlineStr"/>
      <c r="H31" t="inlineStr">
        <is>
          <t>6.28%</t>
        </is>
      </c>
      <c r="I31" t="inlineStr">
        <is>
          <t>6.28%</t>
        </is>
      </c>
    </row>
    <row r="32">
      <c r="A32" s="2" t="n">
        <v>45966</v>
      </c>
      <c r="B32" t="inlineStr">
        <is>
          <t>FGSI</t>
        </is>
      </c>
      <c r="C32" t="inlineStr">
        <is>
          <t>GICS_INDUSTRY_NAME</t>
        </is>
      </c>
      <c r="D32" t="inlineStr">
        <is>
          <t>Semiconductors &amp; Semiconductor Equipment</t>
        </is>
      </c>
      <c r="E32" t="inlineStr">
        <is>
          <t>N/A</t>
        </is>
      </c>
      <c r="F32" t="inlineStr"/>
      <c r="G32" t="inlineStr"/>
      <c r="H32" t="inlineStr">
        <is>
          <t>6.28%</t>
        </is>
      </c>
      <c r="I32" t="inlineStr">
        <is>
          <t>6.28%</t>
        </is>
      </c>
    </row>
    <row r="33">
      <c r="A33" s="2" t="n">
        <v>45966</v>
      </c>
      <c r="B33" t="inlineStr">
        <is>
          <t>FGSI</t>
        </is>
      </c>
      <c r="C33" t="inlineStr">
        <is>
          <t>GICS_INDUSTRY_NAME</t>
        </is>
      </c>
      <c r="D33" t="inlineStr">
        <is>
          <t>Communications Equipment</t>
        </is>
      </c>
      <c r="E33" t="inlineStr">
        <is>
          <t>N/A</t>
        </is>
      </c>
      <c r="F33" t="inlineStr"/>
      <c r="G33" t="inlineStr"/>
      <c r="H33" t="inlineStr">
        <is>
          <t>5.48%</t>
        </is>
      </c>
      <c r="I33" t="inlineStr">
        <is>
          <t>5.46%</t>
        </is>
      </c>
    </row>
    <row r="34">
      <c r="A34" s="2" t="n">
        <v>45966</v>
      </c>
      <c r="B34" t="inlineStr">
        <is>
          <t>FGSI</t>
        </is>
      </c>
      <c r="C34" t="inlineStr">
        <is>
          <t>GICS_INDUSTRY_NAME</t>
        </is>
      </c>
      <c r="D34" t="inlineStr">
        <is>
          <t>Biotechnology</t>
        </is>
      </c>
      <c r="E34" t="inlineStr">
        <is>
          <t>N/A</t>
        </is>
      </c>
      <c r="F34" t="inlineStr"/>
      <c r="G34" t="inlineStr"/>
      <c r="H34" t="inlineStr">
        <is>
          <t>4.55%</t>
        </is>
      </c>
      <c r="I34" t="inlineStr">
        <is>
          <t>4.55%</t>
        </is>
      </c>
    </row>
    <row r="35">
      <c r="A35" s="2" t="n">
        <v>45966</v>
      </c>
      <c r="B35" t="inlineStr">
        <is>
          <t>FGSI</t>
        </is>
      </c>
      <c r="C35" t="inlineStr">
        <is>
          <t>GICS_INDUSTRY_GROUP_NAME</t>
        </is>
      </c>
      <c r="D35" t="inlineStr">
        <is>
          <t>Energy</t>
        </is>
      </c>
      <c r="E35" t="inlineStr">
        <is>
          <t>N/A</t>
        </is>
      </c>
      <c r="F35" t="inlineStr"/>
      <c r="G35" t="inlineStr"/>
      <c r="H35" t="inlineStr">
        <is>
          <t>4.40%</t>
        </is>
      </c>
      <c r="I35" t="inlineStr">
        <is>
          <t>4.39%</t>
        </is>
      </c>
    </row>
    <row r="36">
      <c r="A36" s="2" t="n">
        <v>45966</v>
      </c>
      <c r="B36" t="inlineStr">
        <is>
          <t>FGSI</t>
        </is>
      </c>
      <c r="C36" t="inlineStr">
        <is>
          <t>GICS_INDUSTRY_NAME</t>
        </is>
      </c>
      <c r="D36" t="inlineStr">
        <is>
          <t>Energy Equipment &amp; Services</t>
        </is>
      </c>
      <c r="E36" t="inlineStr">
        <is>
          <t>N/A</t>
        </is>
      </c>
      <c r="F36" t="inlineStr"/>
      <c r="G36" t="inlineStr"/>
      <c r="H36" t="inlineStr">
        <is>
          <t>4.40%</t>
        </is>
      </c>
      <c r="I36" t="inlineStr">
        <is>
          <t>4.39%</t>
        </is>
      </c>
    </row>
    <row r="37">
      <c r="A37" s="2" t="n">
        <v>45966</v>
      </c>
      <c r="B37" t="inlineStr">
        <is>
          <t>FGSI</t>
        </is>
      </c>
      <c r="C37" t="inlineStr">
        <is>
          <t>GICS_INDUSTRY_GROUP_NAME</t>
        </is>
      </c>
      <c r="D37" t="inlineStr">
        <is>
          <t>Capital Goods</t>
        </is>
      </c>
      <c r="E37" t="inlineStr">
        <is>
          <t>N/A</t>
        </is>
      </c>
      <c r="F37" t="inlineStr"/>
      <c r="G37" t="inlineStr"/>
      <c r="H37" t="inlineStr">
        <is>
          <t>4.13%</t>
        </is>
      </c>
      <c r="I37" t="inlineStr">
        <is>
          <t>4.15%</t>
        </is>
      </c>
    </row>
    <row r="38">
      <c r="A38" s="2" t="n">
        <v>45966</v>
      </c>
      <c r="B38" t="inlineStr">
        <is>
          <t>FGSI</t>
        </is>
      </c>
      <c r="C38" t="inlineStr">
        <is>
          <t>GICS_INDUSTRY_GROUP_NAME</t>
        </is>
      </c>
      <c r="D38" t="inlineStr">
        <is>
          <t>Consumer Staples Distribution &amp; Retail</t>
        </is>
      </c>
      <c r="E38" t="inlineStr">
        <is>
          <t>N/A</t>
        </is>
      </c>
      <c r="F38" t="inlineStr"/>
      <c r="G38" t="inlineStr"/>
      <c r="H38" t="inlineStr">
        <is>
          <t>3.95%</t>
        </is>
      </c>
      <c r="I38" t="inlineStr">
        <is>
          <t>3.95%</t>
        </is>
      </c>
    </row>
    <row r="39">
      <c r="A39" s="2" t="n">
        <v>45966</v>
      </c>
      <c r="B39" t="inlineStr">
        <is>
          <t>FGSI</t>
        </is>
      </c>
      <c r="C39" t="inlineStr">
        <is>
          <t>GICS_INDUSTRY_NAME</t>
        </is>
      </c>
      <c r="D39" t="inlineStr">
        <is>
          <t>Consumer Staples Distribution &amp; Retail</t>
        </is>
      </c>
      <c r="E39" t="inlineStr">
        <is>
          <t>N/A</t>
        </is>
      </c>
      <c r="F39" t="inlineStr"/>
      <c r="G39" t="inlineStr"/>
      <c r="H39" t="inlineStr">
        <is>
          <t>3.95%</t>
        </is>
      </c>
      <c r="I39" t="inlineStr">
        <is>
          <t>3.95%</t>
        </is>
      </c>
    </row>
    <row r="40">
      <c r="A40" s="2" t="n">
        <v>45966</v>
      </c>
      <c r="B40" t="inlineStr">
        <is>
          <t>FGSI</t>
        </is>
      </c>
      <c r="C40" t="inlineStr">
        <is>
          <t>GICS_INDUSTRY_GROUP_NAME</t>
        </is>
      </c>
      <c r="D40" t="inlineStr">
        <is>
          <t>Commercial &amp; Professional Services</t>
        </is>
      </c>
      <c r="E40" t="inlineStr">
        <is>
          <t>N/A</t>
        </is>
      </c>
      <c r="F40" t="inlineStr"/>
      <c r="G40" t="inlineStr"/>
      <c r="H40" t="inlineStr">
        <is>
          <t>3.80%</t>
        </is>
      </c>
      <c r="I40" t="inlineStr">
        <is>
          <t>3.80%</t>
        </is>
      </c>
    </row>
    <row r="41">
      <c r="A41" s="2" t="n">
        <v>45966</v>
      </c>
      <c r="B41" t="inlineStr">
        <is>
          <t>FGSI</t>
        </is>
      </c>
      <c r="C41" t="inlineStr">
        <is>
          <t>GICS_INDUSTRY_GROUP_NAME</t>
        </is>
      </c>
      <c r="D41" t="inlineStr">
        <is>
          <t>Health Care Equipment &amp; Services</t>
        </is>
      </c>
      <c r="E41" t="inlineStr">
        <is>
          <t>N/A</t>
        </is>
      </c>
      <c r="F41" t="inlineStr"/>
      <c r="G41" t="inlineStr"/>
      <c r="H41" t="inlineStr">
        <is>
          <t>3.68%</t>
        </is>
      </c>
      <c r="I41" t="inlineStr">
        <is>
          <t>3.67%</t>
        </is>
      </c>
    </row>
    <row r="42">
      <c r="A42" s="2" t="n">
        <v>45966</v>
      </c>
      <c r="B42" t="inlineStr">
        <is>
          <t>FGSI</t>
        </is>
      </c>
      <c r="C42" t="inlineStr">
        <is>
          <t>GICS_INDUSTRY_NAME</t>
        </is>
      </c>
      <c r="D42" t="inlineStr">
        <is>
          <t>Health Care Equipment &amp; Supplies</t>
        </is>
      </c>
      <c r="E42" t="inlineStr">
        <is>
          <t>N/A</t>
        </is>
      </c>
      <c r="F42" t="inlineStr"/>
      <c r="G42" t="inlineStr"/>
      <c r="H42" t="inlineStr">
        <is>
          <t>3.68%</t>
        </is>
      </c>
      <c r="I42" t="inlineStr">
        <is>
          <t>3.67%</t>
        </is>
      </c>
    </row>
    <row r="43">
      <c r="A43" s="2" t="n">
        <v>45966</v>
      </c>
      <c r="B43" t="inlineStr">
        <is>
          <t>FGSI</t>
        </is>
      </c>
      <c r="C43" t="inlineStr">
        <is>
          <t>GICS_INDUSTRY_GROUP_NAME</t>
        </is>
      </c>
      <c r="D43" t="inlineStr">
        <is>
          <t>Consumer Durables &amp; Apparel</t>
        </is>
      </c>
      <c r="E43" t="inlineStr">
        <is>
          <t>N/A</t>
        </is>
      </c>
      <c r="F43" t="inlineStr"/>
      <c r="G43" t="inlineStr"/>
      <c r="H43" t="inlineStr">
        <is>
          <t>3.63%</t>
        </is>
      </c>
      <c r="I43" t="inlineStr">
        <is>
          <t>3.63%</t>
        </is>
      </c>
    </row>
    <row r="44">
      <c r="A44" s="2" t="n">
        <v>45966</v>
      </c>
      <c r="B44" t="inlineStr">
        <is>
          <t>FGSI</t>
        </is>
      </c>
      <c r="C44" t="inlineStr">
        <is>
          <t>GICS_INDUSTRY_NAME</t>
        </is>
      </c>
      <c r="D44" t="inlineStr">
        <is>
          <t>Household Durables</t>
        </is>
      </c>
      <c r="E44" t="inlineStr">
        <is>
          <t>N/A</t>
        </is>
      </c>
      <c r="F44" t="inlineStr"/>
      <c r="G44" t="inlineStr"/>
      <c r="H44" t="inlineStr">
        <is>
          <t>3.63%</t>
        </is>
      </c>
      <c r="I44" t="inlineStr">
        <is>
          <t>3.63%</t>
        </is>
      </c>
    </row>
    <row r="45">
      <c r="A45" s="2" t="n">
        <v>45966</v>
      </c>
      <c r="B45" t="inlineStr">
        <is>
          <t>FGSI</t>
        </is>
      </c>
      <c r="C45" t="inlineStr">
        <is>
          <t>GICS_INDUSTRY_GROUP_NAME</t>
        </is>
      </c>
      <c r="D45" t="inlineStr">
        <is>
          <t>Consumer Services</t>
        </is>
      </c>
      <c r="E45" t="inlineStr">
        <is>
          <t>N/A</t>
        </is>
      </c>
      <c r="F45" t="inlineStr"/>
      <c r="G45" t="inlineStr"/>
      <c r="H45" t="inlineStr">
        <is>
          <t>3.53%</t>
        </is>
      </c>
      <c r="I45" t="inlineStr">
        <is>
          <t>3.53%</t>
        </is>
      </c>
    </row>
    <row r="46">
      <c r="A46" s="2" t="n">
        <v>45966</v>
      </c>
      <c r="B46" t="inlineStr">
        <is>
          <t>FGSI</t>
        </is>
      </c>
      <c r="C46" t="inlineStr">
        <is>
          <t>GICS_INDUSTRY_NAME</t>
        </is>
      </c>
      <c r="D46" t="inlineStr">
        <is>
          <t>Hotels, Restaurants &amp; Leisure</t>
        </is>
      </c>
      <c r="E46" t="inlineStr">
        <is>
          <t>N/A</t>
        </is>
      </c>
      <c r="F46" t="inlineStr"/>
      <c r="G46" t="inlineStr"/>
      <c r="H46" t="inlineStr">
        <is>
          <t>3.53%</t>
        </is>
      </c>
      <c r="I46" t="inlineStr">
        <is>
          <t>3.53%</t>
        </is>
      </c>
    </row>
    <row r="47">
      <c r="A47" s="2" t="n">
        <v>45966</v>
      </c>
      <c r="B47" t="inlineStr">
        <is>
          <t>FGSI</t>
        </is>
      </c>
      <c r="C47" t="inlineStr">
        <is>
          <t>GICS_INDUSTRY_NAME</t>
        </is>
      </c>
      <c r="D47" t="inlineStr">
        <is>
          <t>Interactive Media &amp; Services</t>
        </is>
      </c>
      <c r="E47" t="inlineStr">
        <is>
          <t>N/A</t>
        </is>
      </c>
      <c r="F47" t="inlineStr"/>
      <c r="G47" t="inlineStr"/>
      <c r="H47" t="inlineStr">
        <is>
          <t>3.40%</t>
        </is>
      </c>
      <c r="I47" t="inlineStr">
        <is>
          <t>3.42%</t>
        </is>
      </c>
    </row>
    <row r="48">
      <c r="A48" s="2" t="n">
        <v>45966</v>
      </c>
      <c r="B48" t="inlineStr">
        <is>
          <t>FGSI</t>
        </is>
      </c>
      <c r="C48" t="inlineStr">
        <is>
          <t>GICS_INDUSTRY_NAME</t>
        </is>
      </c>
      <c r="D48" t="inlineStr">
        <is>
          <t>Pharmaceuticals</t>
        </is>
      </c>
      <c r="E48" t="inlineStr">
        <is>
          <t>N/A</t>
        </is>
      </c>
      <c r="F48" t="inlineStr"/>
      <c r="G48" t="inlineStr"/>
      <c r="H48" t="inlineStr">
        <is>
          <t>2.32%</t>
        </is>
      </c>
      <c r="I48" t="inlineStr">
        <is>
          <t>2.34%</t>
        </is>
      </c>
    </row>
    <row r="49">
      <c r="A49" s="2" t="n">
        <v>45966</v>
      </c>
      <c r="B49" t="inlineStr">
        <is>
          <t>FGSI</t>
        </is>
      </c>
      <c r="C49" t="inlineStr">
        <is>
          <t>GICS_INDUSTRY_NAME</t>
        </is>
      </c>
      <c r="D49" t="inlineStr">
        <is>
          <t>Electronic Equipment, Instruments &amp; Components</t>
        </is>
      </c>
      <c r="E49" t="inlineStr">
        <is>
          <t>N/A</t>
        </is>
      </c>
      <c r="F49" t="inlineStr"/>
      <c r="G49" t="inlineStr"/>
      <c r="H49" t="inlineStr">
        <is>
          <t>2.25%</t>
        </is>
      </c>
      <c r="I49" t="inlineStr">
        <is>
          <t>2.25%</t>
        </is>
      </c>
    </row>
    <row r="50">
      <c r="A50" s="2" t="n">
        <v>45966</v>
      </c>
      <c r="B50" t="inlineStr">
        <is>
          <t>FGSI</t>
        </is>
      </c>
      <c r="C50" t="inlineStr">
        <is>
          <t>GICS_INDUSTRY_NAME</t>
        </is>
      </c>
      <c r="D50" t="inlineStr">
        <is>
          <t>Machinery</t>
        </is>
      </c>
      <c r="E50" t="inlineStr">
        <is>
          <t>N/A</t>
        </is>
      </c>
      <c r="F50" t="inlineStr"/>
      <c r="G50" t="inlineStr"/>
      <c r="H50" t="inlineStr">
        <is>
          <t>2.20%</t>
        </is>
      </c>
      <c r="I50" t="inlineStr">
        <is>
          <t>2.20%</t>
        </is>
      </c>
    </row>
    <row r="51">
      <c r="A51" s="2" t="n">
        <v>45966</v>
      </c>
      <c r="B51" t="inlineStr">
        <is>
          <t>FGSI</t>
        </is>
      </c>
      <c r="C51" t="inlineStr">
        <is>
          <t>GICS_INDUSTRY_NAME</t>
        </is>
      </c>
      <c r="D51" t="inlineStr">
        <is>
          <t>IT Services</t>
        </is>
      </c>
      <c r="E51" t="inlineStr">
        <is>
          <t>N/A</t>
        </is>
      </c>
      <c r="F51" t="inlineStr"/>
      <c r="G51" t="inlineStr"/>
      <c r="H51" t="inlineStr">
        <is>
          <t>2.11%</t>
        </is>
      </c>
      <c r="I51" t="inlineStr">
        <is>
          <t>2.10%</t>
        </is>
      </c>
    </row>
    <row r="52">
      <c r="A52" s="2" t="n">
        <v>45966</v>
      </c>
      <c r="B52" t="inlineStr">
        <is>
          <t>FGSI</t>
        </is>
      </c>
      <c r="C52" t="inlineStr">
        <is>
          <t>GICS_INDUSTRY_GROUP_NAME</t>
        </is>
      </c>
      <c r="D52" t="inlineStr">
        <is>
          <t>Transportation</t>
        </is>
      </c>
      <c r="E52" t="inlineStr">
        <is>
          <t>N/A</t>
        </is>
      </c>
      <c r="F52" t="inlineStr"/>
      <c r="G52" t="inlineStr"/>
      <c r="H52" t="inlineStr">
        <is>
          <t>2.05%</t>
        </is>
      </c>
      <c r="I52" t="inlineStr">
        <is>
          <t>2.04%</t>
        </is>
      </c>
    </row>
    <row r="53">
      <c r="A53" s="2" t="n">
        <v>45966</v>
      </c>
      <c r="B53" t="inlineStr">
        <is>
          <t>FGSI</t>
        </is>
      </c>
      <c r="C53" t="inlineStr">
        <is>
          <t>GICS_INDUSTRY_NAME</t>
        </is>
      </c>
      <c r="D53" t="inlineStr">
        <is>
          <t>Ground Transportation</t>
        </is>
      </c>
      <c r="E53" t="inlineStr">
        <is>
          <t>N/A</t>
        </is>
      </c>
      <c r="F53" t="inlineStr"/>
      <c r="G53" t="inlineStr"/>
      <c r="H53" t="inlineStr">
        <is>
          <t>2.05%</t>
        </is>
      </c>
      <c r="I53" t="inlineStr">
        <is>
          <t>2.04%</t>
        </is>
      </c>
    </row>
    <row r="54">
      <c r="A54" s="2" t="n">
        <v>45966</v>
      </c>
      <c r="B54" t="inlineStr">
        <is>
          <t>FGSI</t>
        </is>
      </c>
      <c r="C54" t="inlineStr">
        <is>
          <t>GICS_INDUSTRY_GROUP_NAME</t>
        </is>
      </c>
      <c r="D54" t="inlineStr">
        <is>
          <t>Consumer Discretionary Distribution &amp; Retail</t>
        </is>
      </c>
      <c r="E54" t="inlineStr">
        <is>
          <t>N/A</t>
        </is>
      </c>
      <c r="F54" t="inlineStr"/>
      <c r="G54" t="inlineStr"/>
      <c r="H54" t="inlineStr">
        <is>
          <t>2.03%</t>
        </is>
      </c>
      <c r="I54" t="inlineStr">
        <is>
          <t>2.03%</t>
        </is>
      </c>
    </row>
    <row r="55">
      <c r="A55" s="2" t="n">
        <v>45966</v>
      </c>
      <c r="B55" t="inlineStr">
        <is>
          <t>FGSI</t>
        </is>
      </c>
      <c r="C55" t="inlineStr">
        <is>
          <t>GICS_INDUSTRY_NAME</t>
        </is>
      </c>
      <c r="D55" t="inlineStr">
        <is>
          <t>Specialty Retail</t>
        </is>
      </c>
      <c r="E55" t="inlineStr">
        <is>
          <t>N/A</t>
        </is>
      </c>
      <c r="F55" t="inlineStr"/>
      <c r="G55" t="inlineStr"/>
      <c r="H55" t="inlineStr">
        <is>
          <t>2.03%</t>
        </is>
      </c>
      <c r="I55" t="inlineStr">
        <is>
          <t>2.03%</t>
        </is>
      </c>
    </row>
    <row r="56">
      <c r="A56" s="2" t="n">
        <v>45966</v>
      </c>
      <c r="B56" t="inlineStr">
        <is>
          <t>FGSI</t>
        </is>
      </c>
      <c r="C56" t="inlineStr">
        <is>
          <t>GICS_INDUSTRY_GROUP_NAME</t>
        </is>
      </c>
      <c r="D56" t="inlineStr">
        <is>
          <t>Food, Beverage &amp; Tobacco</t>
        </is>
      </c>
      <c r="E56" t="inlineStr">
        <is>
          <t>N/A</t>
        </is>
      </c>
      <c r="F56" t="inlineStr"/>
      <c r="G56" t="inlineStr"/>
      <c r="H56" t="inlineStr">
        <is>
          <t>1.97%</t>
        </is>
      </c>
      <c r="I56" t="inlineStr">
        <is>
          <t>1.97%</t>
        </is>
      </c>
    </row>
    <row r="57">
      <c r="A57" s="2" t="n">
        <v>45966</v>
      </c>
      <c r="B57" t="inlineStr">
        <is>
          <t>FGSI</t>
        </is>
      </c>
      <c r="C57" t="inlineStr">
        <is>
          <t>GICS_INDUSTRY_NAME</t>
        </is>
      </c>
      <c r="D57" t="inlineStr">
        <is>
          <t>Beverages</t>
        </is>
      </c>
      <c r="E57" t="inlineStr">
        <is>
          <t>N/A</t>
        </is>
      </c>
      <c r="F57" t="inlineStr"/>
      <c r="G57" t="inlineStr"/>
      <c r="H57" t="inlineStr">
        <is>
          <t>1.97%</t>
        </is>
      </c>
      <c r="I57" t="inlineStr">
        <is>
          <t>1.97%</t>
        </is>
      </c>
    </row>
    <row r="58">
      <c r="A58" s="2" t="n">
        <v>45966</v>
      </c>
      <c r="B58" t="inlineStr">
        <is>
          <t>FGSI</t>
        </is>
      </c>
      <c r="C58" t="inlineStr">
        <is>
          <t>GICS_INDUSTRY_NAME</t>
        </is>
      </c>
      <c r="D58" t="inlineStr">
        <is>
          <t>Media</t>
        </is>
      </c>
      <c r="E58" t="inlineStr">
        <is>
          <t>N/A</t>
        </is>
      </c>
      <c r="F58" t="inlineStr"/>
      <c r="G58" t="inlineStr"/>
      <c r="H58" t="inlineStr">
        <is>
          <t>1.94%</t>
        </is>
      </c>
      <c r="I58" t="inlineStr">
        <is>
          <t>1.94%</t>
        </is>
      </c>
    </row>
    <row r="59">
      <c r="A59" s="2" t="n">
        <v>45966</v>
      </c>
      <c r="B59" t="inlineStr">
        <is>
          <t>FGSI</t>
        </is>
      </c>
      <c r="C59" t="inlineStr">
        <is>
          <t>GICS_INDUSTRY_NAME</t>
        </is>
      </c>
      <c r="D59" t="inlineStr">
        <is>
          <t>Aerospace &amp; Defense</t>
        </is>
      </c>
      <c r="E59" t="inlineStr">
        <is>
          <t>N/A</t>
        </is>
      </c>
      <c r="F59" t="inlineStr"/>
      <c r="G59" t="inlineStr"/>
      <c r="H59" t="inlineStr">
        <is>
          <t>1.94%</t>
        </is>
      </c>
      <c r="I59" t="inlineStr">
        <is>
          <t>1.95%</t>
        </is>
      </c>
    </row>
    <row r="60">
      <c r="A60" s="2" t="n">
        <v>45966</v>
      </c>
      <c r="B60" t="inlineStr">
        <is>
          <t>FGSI</t>
        </is>
      </c>
      <c r="C60" t="inlineStr">
        <is>
          <t>GICS_INDUSTRY_NAME</t>
        </is>
      </c>
      <c r="D60" t="inlineStr">
        <is>
          <t>Commercial Services &amp; Supplies</t>
        </is>
      </c>
      <c r="E60" t="inlineStr">
        <is>
          <t>N/A</t>
        </is>
      </c>
      <c r="F60" t="inlineStr"/>
      <c r="G60" t="inlineStr"/>
      <c r="H60" t="inlineStr">
        <is>
          <t>1.93%</t>
        </is>
      </c>
      <c r="I60" t="inlineStr">
        <is>
          <t>1.92%</t>
        </is>
      </c>
    </row>
    <row r="61">
      <c r="A61" s="2" t="n">
        <v>45966</v>
      </c>
      <c r="B61" t="inlineStr">
        <is>
          <t>FGSI</t>
        </is>
      </c>
      <c r="C61" t="inlineStr">
        <is>
          <t>GICS_INDUSTRY_GROUP_NAME</t>
        </is>
      </c>
      <c r="D61" t="inlineStr">
        <is>
          <t>Insurance</t>
        </is>
      </c>
      <c r="E61" t="inlineStr">
        <is>
          <t>N/A</t>
        </is>
      </c>
      <c r="F61" t="inlineStr"/>
      <c r="G61" t="inlineStr"/>
      <c r="H61" t="inlineStr">
        <is>
          <t>1.91%</t>
        </is>
      </c>
      <c r="I61" t="inlineStr">
        <is>
          <t>1.91%</t>
        </is>
      </c>
    </row>
    <row r="62">
      <c r="A62" s="2" t="n">
        <v>45966</v>
      </c>
      <c r="B62" t="inlineStr">
        <is>
          <t>FGSI</t>
        </is>
      </c>
      <c r="C62" t="inlineStr">
        <is>
          <t>GICS_INDUSTRY_NAME</t>
        </is>
      </c>
      <c r="D62" t="inlineStr">
        <is>
          <t>Insurance</t>
        </is>
      </c>
      <c r="E62" t="inlineStr">
        <is>
          <t>N/A</t>
        </is>
      </c>
      <c r="F62" t="inlineStr"/>
      <c r="G62" t="inlineStr"/>
      <c r="H62" t="inlineStr">
        <is>
          <t>1.91%</t>
        </is>
      </c>
      <c r="I62" t="inlineStr">
        <is>
          <t>1.91%</t>
        </is>
      </c>
    </row>
    <row r="63">
      <c r="A63" s="2" t="n">
        <v>45966</v>
      </c>
      <c r="B63" t="inlineStr">
        <is>
          <t>FGSI</t>
        </is>
      </c>
      <c r="C63" t="inlineStr">
        <is>
          <t>GICS_INDUSTRY_NAME</t>
        </is>
      </c>
      <c r="D63" t="inlineStr">
        <is>
          <t>Professional Services</t>
        </is>
      </c>
      <c r="E63" t="inlineStr">
        <is>
          <t>N/A</t>
        </is>
      </c>
      <c r="F63" t="inlineStr"/>
      <c r="G63" t="inlineStr"/>
      <c r="H63" t="inlineStr">
        <is>
          <t>1.87%</t>
        </is>
      </c>
      <c r="I63" t="inlineStr">
        <is>
          <t>1.88%</t>
        </is>
      </c>
    </row>
    <row r="64">
      <c r="A64" s="2" t="n">
        <v>45966</v>
      </c>
      <c r="B64" t="inlineStr">
        <is>
          <t>FGSI</t>
        </is>
      </c>
      <c r="C64" t="inlineStr">
        <is>
          <t>GICS_INDUSTRY_NAME</t>
        </is>
      </c>
      <c r="D64" t="inlineStr">
        <is>
          <t>Entertainment</t>
        </is>
      </c>
      <c r="E64" t="inlineStr">
        <is>
          <t>N/A</t>
        </is>
      </c>
      <c r="F64" t="inlineStr"/>
      <c r="G64" t="inlineStr"/>
      <c r="H64" t="inlineStr">
        <is>
          <t>1.85%</t>
        </is>
      </c>
      <c r="I64" t="inlineStr">
        <is>
          <t>1.86%</t>
        </is>
      </c>
    </row>
    <row r="65">
      <c r="A65" s="2" t="n">
        <v>45966</v>
      </c>
      <c r="B65" t="inlineStr">
        <is>
          <t>FGSI</t>
        </is>
      </c>
      <c r="C65" t="inlineStr">
        <is>
          <t>GICS_INDUSTRY_GROUP_NAME</t>
        </is>
      </c>
      <c r="D65" t="inlineStr">
        <is>
          <t>Materials</t>
        </is>
      </c>
      <c r="E65" t="inlineStr">
        <is>
          <t>N/A</t>
        </is>
      </c>
      <c r="F65" t="inlineStr"/>
      <c r="G65" t="inlineStr"/>
      <c r="H65" t="inlineStr">
        <is>
          <t>1.83%</t>
        </is>
      </c>
      <c r="I65" t="inlineStr">
        <is>
          <t>1.83%</t>
        </is>
      </c>
    </row>
    <row r="66">
      <c r="A66" s="2" t="n">
        <v>45966</v>
      </c>
      <c r="B66" t="inlineStr">
        <is>
          <t>FGSI</t>
        </is>
      </c>
      <c r="C66" t="inlineStr">
        <is>
          <t>GICS_INDUSTRY_NAME</t>
        </is>
      </c>
      <c r="D66" t="inlineStr">
        <is>
          <t>Metals &amp; Mining</t>
        </is>
      </c>
      <c r="E66" t="inlineStr">
        <is>
          <t>N/A</t>
        </is>
      </c>
      <c r="F66" t="inlineStr"/>
      <c r="G66" t="inlineStr"/>
      <c r="H66" t="inlineStr">
        <is>
          <t>1.83%</t>
        </is>
      </c>
      <c r="I66" t="inlineStr">
        <is>
          <t>1.83%</t>
        </is>
      </c>
    </row>
    <row r="67">
      <c r="A67" s="2" t="n">
        <v>45966</v>
      </c>
      <c r="B67" t="inlineStr">
        <is>
          <t>HE3B1</t>
        </is>
      </c>
      <c r="C67" t="inlineStr">
        <is>
          <t>GICS_INDUSTRY_GROUP_NAME</t>
        </is>
      </c>
      <c r="D67" t="inlineStr">
        <is>
          <t>Semiconductors &amp; Semiconductor Equipment</t>
        </is>
      </c>
      <c r="E67" t="inlineStr">
        <is>
          <t>N/A</t>
        </is>
      </c>
      <c r="F67" t="inlineStr"/>
      <c r="G67" t="inlineStr"/>
      <c r="H67" t="inlineStr">
        <is>
          <t>14.70%</t>
        </is>
      </c>
      <c r="I67" t="inlineStr">
        <is>
          <t>14.90%</t>
        </is>
      </c>
    </row>
    <row r="68">
      <c r="A68" s="2" t="n">
        <v>45966</v>
      </c>
      <c r="B68" t="inlineStr">
        <is>
          <t>HE3B1</t>
        </is>
      </c>
      <c r="C68" t="inlineStr">
        <is>
          <t>GICS_INDUSTRY_NAME</t>
        </is>
      </c>
      <c r="D68" t="inlineStr">
        <is>
          <t>Semiconductors &amp; Semiconductor Equipment</t>
        </is>
      </c>
      <c r="E68" t="inlineStr">
        <is>
          <t>N/A</t>
        </is>
      </c>
      <c r="F68" t="inlineStr"/>
      <c r="G68" t="inlineStr"/>
      <c r="H68" t="inlineStr">
        <is>
          <t>14.70%</t>
        </is>
      </c>
      <c r="I68" t="inlineStr">
        <is>
          <t>14.90%</t>
        </is>
      </c>
    </row>
    <row r="69">
      <c r="A69" s="2" t="n">
        <v>45966</v>
      </c>
      <c r="B69" t="inlineStr">
        <is>
          <t>HE3B1</t>
        </is>
      </c>
      <c r="C69" t="inlineStr">
        <is>
          <t>GICS_INDUSTRY_GROUP_NAME</t>
        </is>
      </c>
      <c r="D69" t="inlineStr">
        <is>
          <t>Software &amp; Services</t>
        </is>
      </c>
      <c r="E69" t="inlineStr">
        <is>
          <t>N/A</t>
        </is>
      </c>
      <c r="F69" t="inlineStr"/>
      <c r="G69" t="inlineStr"/>
      <c r="H69" t="inlineStr">
        <is>
          <t>11.71%</t>
        </is>
      </c>
      <c r="I69" t="inlineStr">
        <is>
          <t>11.58%</t>
        </is>
      </c>
    </row>
    <row r="70">
      <c r="A70" s="2" t="n">
        <v>45966</v>
      </c>
      <c r="B70" t="inlineStr">
        <is>
          <t>HE3B1</t>
        </is>
      </c>
      <c r="C70" t="inlineStr">
        <is>
          <t>GICS_INDUSTRY_NAME</t>
        </is>
      </c>
      <c r="D70" t="inlineStr">
        <is>
          <t>Software</t>
        </is>
      </c>
      <c r="E70" t="inlineStr">
        <is>
          <t>N/A</t>
        </is>
      </c>
      <c r="F70" t="inlineStr"/>
      <c r="G70" t="inlineStr"/>
      <c r="H70" t="inlineStr">
        <is>
          <t>10.56%</t>
        </is>
      </c>
      <c r="I70" t="inlineStr">
        <is>
          <t>10.45%</t>
        </is>
      </c>
    </row>
    <row r="71">
      <c r="A71" s="2" t="n">
        <v>45966</v>
      </c>
      <c r="B71" t="inlineStr">
        <is>
          <t>HE3B1</t>
        </is>
      </c>
      <c r="C71" t="inlineStr">
        <is>
          <t>GICS_INDUSTRY_GROUP_NAME</t>
        </is>
      </c>
      <c r="D71" t="inlineStr">
        <is>
          <t>Media &amp; Entertainment</t>
        </is>
      </c>
      <c r="E71" t="inlineStr">
        <is>
          <t>N/A</t>
        </is>
      </c>
      <c r="F71" t="inlineStr"/>
      <c r="G71" t="inlineStr"/>
      <c r="H71" t="inlineStr">
        <is>
          <t>9.34%</t>
        </is>
      </c>
      <c r="I71" t="inlineStr">
        <is>
          <t>9.40%</t>
        </is>
      </c>
    </row>
    <row r="72">
      <c r="A72" s="2" t="n">
        <v>45966</v>
      </c>
      <c r="B72" t="inlineStr">
        <is>
          <t>HE3B1</t>
        </is>
      </c>
      <c r="C72" t="inlineStr">
        <is>
          <t>GICS_INDUSTRY_GROUP_NAME</t>
        </is>
      </c>
      <c r="D72" t="inlineStr">
        <is>
          <t>Technology Hardware &amp; Equipment</t>
        </is>
      </c>
      <c r="E72" t="inlineStr">
        <is>
          <t>N/A</t>
        </is>
      </c>
      <c r="F72" t="inlineStr"/>
      <c r="G72" t="inlineStr"/>
      <c r="H72" t="inlineStr">
        <is>
          <t>9.10%</t>
        </is>
      </c>
      <c r="I72" t="inlineStr">
        <is>
          <t>9.02%</t>
        </is>
      </c>
    </row>
    <row r="73">
      <c r="A73" s="2" t="n">
        <v>45966</v>
      </c>
      <c r="B73" t="inlineStr">
        <is>
          <t>HE3B1</t>
        </is>
      </c>
      <c r="C73" t="inlineStr">
        <is>
          <t>GICS_INDUSTRY_NAME</t>
        </is>
      </c>
      <c r="D73" t="inlineStr">
        <is>
          <t>Interactive Media &amp; Services</t>
        </is>
      </c>
      <c r="E73" t="inlineStr">
        <is>
          <t>N/A</t>
        </is>
      </c>
      <c r="F73" t="inlineStr"/>
      <c r="G73" t="inlineStr"/>
      <c r="H73" t="inlineStr">
        <is>
          <t>8.73%</t>
        </is>
      </c>
      <c r="I73" t="inlineStr">
        <is>
          <t>7.99%</t>
        </is>
      </c>
    </row>
    <row r="74">
      <c r="A74" s="2" t="n">
        <v>45966</v>
      </c>
      <c r="B74" t="inlineStr">
        <is>
          <t>HE3B1</t>
        </is>
      </c>
      <c r="C74" t="inlineStr">
        <is>
          <t>GICS_INDUSTRY_GROUP_NAME</t>
        </is>
      </c>
      <c r="D74" t="inlineStr">
        <is>
          <t>Capital Goods</t>
        </is>
      </c>
      <c r="E74" t="inlineStr">
        <is>
          <t>N/A</t>
        </is>
      </c>
      <c r="F74" t="inlineStr"/>
      <c r="G74" t="inlineStr"/>
      <c r="H74" t="inlineStr">
        <is>
          <t>7.18%</t>
        </is>
      </c>
      <c r="I74" t="inlineStr">
        <is>
          <t>6.29%</t>
        </is>
      </c>
    </row>
    <row r="75">
      <c r="A75" s="2" t="n">
        <v>45966</v>
      </c>
      <c r="B75" t="inlineStr">
        <is>
          <t>HE3B1</t>
        </is>
      </c>
      <c r="C75" t="inlineStr">
        <is>
          <t>GICS_INDUSTRY_NAME</t>
        </is>
      </c>
      <c r="D75" t="inlineStr">
        <is>
          <t>Technology Hardware, Storage &amp; Peripherals</t>
        </is>
      </c>
      <c r="E75" t="inlineStr">
        <is>
          <t>N/A</t>
        </is>
      </c>
      <c r="F75" t="inlineStr"/>
      <c r="G75" t="inlineStr"/>
      <c r="H75" t="inlineStr">
        <is>
          <t>7.08%</t>
        </is>
      </c>
      <c r="I75" t="inlineStr">
        <is>
          <t>7.01%</t>
        </is>
      </c>
    </row>
    <row r="76">
      <c r="A76" s="2" t="n">
        <v>45966</v>
      </c>
      <c r="B76" t="inlineStr">
        <is>
          <t>HE3B1</t>
        </is>
      </c>
      <c r="C76" t="inlineStr">
        <is>
          <t>GICS_INDUSTRY_GROUP_NAME</t>
        </is>
      </c>
      <c r="D76" t="inlineStr">
        <is>
          <t>Consumer Discretionary Distribution &amp; Retail</t>
        </is>
      </c>
      <c r="E76" t="inlineStr">
        <is>
          <t>N/A</t>
        </is>
      </c>
      <c r="F76" t="inlineStr"/>
      <c r="G76" t="inlineStr"/>
      <c r="H76" t="inlineStr">
        <is>
          <t>5.78%</t>
        </is>
      </c>
      <c r="I76" t="inlineStr">
        <is>
          <t>5.78%</t>
        </is>
      </c>
    </row>
    <row r="77">
      <c r="A77" s="2" t="n">
        <v>45966</v>
      </c>
      <c r="B77" t="inlineStr">
        <is>
          <t>HE3B1</t>
        </is>
      </c>
      <c r="C77" t="inlineStr">
        <is>
          <t>GICS_INDUSTRY_GROUP_NAME</t>
        </is>
      </c>
      <c r="D77" t="inlineStr">
        <is>
          <t>Pharmaceuticals, Biotechnology &amp; Life Sciences</t>
        </is>
      </c>
      <c r="E77" t="inlineStr">
        <is>
          <t>N/A</t>
        </is>
      </c>
      <c r="F77" t="inlineStr"/>
      <c r="G77" t="inlineStr"/>
      <c r="H77" t="inlineStr">
        <is>
          <t>5.75%</t>
        </is>
      </c>
      <c r="I77" t="inlineStr">
        <is>
          <t>5.66%</t>
        </is>
      </c>
    </row>
    <row r="78">
      <c r="A78" s="2" t="n">
        <v>45966</v>
      </c>
      <c r="B78" t="inlineStr">
        <is>
          <t>HE3B1</t>
        </is>
      </c>
      <c r="C78" t="inlineStr">
        <is>
          <t>GICS_INDUSTRY_GROUP_NAME</t>
        </is>
      </c>
      <c r="D78" t="inlineStr">
        <is>
          <t>Financial Services</t>
        </is>
      </c>
      <c r="E78" t="inlineStr">
        <is>
          <t>N/A</t>
        </is>
      </c>
      <c r="F78" t="inlineStr"/>
      <c r="G78" t="inlineStr"/>
      <c r="H78" t="inlineStr">
        <is>
          <t>5.54%</t>
        </is>
      </c>
      <c r="I78" t="inlineStr">
        <is>
          <t>7.82%</t>
        </is>
      </c>
    </row>
    <row r="79">
      <c r="A79" s="2" t="n">
        <v>45966</v>
      </c>
      <c r="B79" t="inlineStr">
        <is>
          <t>HE3B1</t>
        </is>
      </c>
      <c r="C79" t="inlineStr">
        <is>
          <t>GICS_INDUSTRY_GROUP_NAME</t>
        </is>
      </c>
      <c r="D79" t="inlineStr">
        <is>
          <t>Banks</t>
        </is>
      </c>
      <c r="E79" t="inlineStr">
        <is>
          <t>N/A</t>
        </is>
      </c>
      <c r="F79" t="inlineStr"/>
      <c r="G79" t="inlineStr"/>
      <c r="H79" t="inlineStr">
        <is>
          <t>5.20%</t>
        </is>
      </c>
      <c r="I79" t="inlineStr">
        <is>
          <t>3.69%</t>
        </is>
      </c>
    </row>
    <row r="80">
      <c r="A80" s="2" t="n">
        <v>45966</v>
      </c>
      <c r="B80" t="inlineStr">
        <is>
          <t>HE3B1</t>
        </is>
      </c>
      <c r="C80" t="inlineStr">
        <is>
          <t>GICS_INDUSTRY_NAME</t>
        </is>
      </c>
      <c r="D80" t="inlineStr">
        <is>
          <t>Banks</t>
        </is>
      </c>
      <c r="E80" t="inlineStr">
        <is>
          <t>N/A</t>
        </is>
      </c>
      <c r="F80" t="inlineStr"/>
      <c r="G80" t="inlineStr"/>
      <c r="H80" t="inlineStr">
        <is>
          <t>5.20%</t>
        </is>
      </c>
      <c r="I80" t="inlineStr">
        <is>
          <t>3.69%</t>
        </is>
      </c>
    </row>
    <row r="81">
      <c r="A81" s="2" t="n">
        <v>45966</v>
      </c>
      <c r="B81" t="inlineStr">
        <is>
          <t>HE3B1</t>
        </is>
      </c>
      <c r="C81" t="inlineStr">
        <is>
          <t>GICS_INDUSTRY_NAME</t>
        </is>
      </c>
      <c r="D81" t="inlineStr">
        <is>
          <t>Broadline Retail</t>
        </is>
      </c>
      <c r="E81" t="inlineStr">
        <is>
          <t>N/A</t>
        </is>
      </c>
      <c r="F81" t="inlineStr"/>
      <c r="G81" t="inlineStr"/>
      <c r="H81" t="inlineStr">
        <is>
          <t>4.50%</t>
        </is>
      </c>
      <c r="I81" t="inlineStr">
        <is>
          <t>4.50%</t>
        </is>
      </c>
    </row>
    <row r="82">
      <c r="A82" s="2" t="n">
        <v>45966</v>
      </c>
      <c r="B82" t="inlineStr">
        <is>
          <t>HE3B1</t>
        </is>
      </c>
      <c r="C82" t="inlineStr">
        <is>
          <t>GICS_INDUSTRY_NAME</t>
        </is>
      </c>
      <c r="D82" t="inlineStr">
        <is>
          <t>Aerospace &amp; Defense</t>
        </is>
      </c>
      <c r="E82" t="inlineStr">
        <is>
          <t>N/A</t>
        </is>
      </c>
      <c r="F82" t="inlineStr"/>
      <c r="G82" t="inlineStr"/>
      <c r="H82" t="inlineStr">
        <is>
          <t>3.52%</t>
        </is>
      </c>
      <c r="I82" t="inlineStr">
        <is>
          <t>3.09%</t>
        </is>
      </c>
    </row>
    <row r="83">
      <c r="A83" s="2" t="n">
        <v>45966</v>
      </c>
      <c r="B83" t="inlineStr">
        <is>
          <t>HE3B1</t>
        </is>
      </c>
      <c r="C83" t="inlineStr">
        <is>
          <t>GICS_INDUSTRY_GROUP_NAME</t>
        </is>
      </c>
      <c r="D83" t="inlineStr">
        <is>
          <t>Health Care Equipment &amp; Services</t>
        </is>
      </c>
      <c r="E83" t="inlineStr">
        <is>
          <t>N/A</t>
        </is>
      </c>
      <c r="F83" t="inlineStr"/>
      <c r="G83" t="inlineStr"/>
      <c r="H83" t="inlineStr">
        <is>
          <t>3.28%</t>
        </is>
      </c>
      <c r="I83" t="inlineStr">
        <is>
          <t>3.36%</t>
        </is>
      </c>
    </row>
    <row r="84">
      <c r="A84" s="2" t="n">
        <v>45966</v>
      </c>
      <c r="B84" t="inlineStr">
        <is>
          <t>HE3B1</t>
        </is>
      </c>
      <c r="C84" t="inlineStr">
        <is>
          <t>GICS_INDUSTRY_NAME</t>
        </is>
      </c>
      <c r="D84" t="inlineStr">
        <is>
          <t>Capital Markets</t>
        </is>
      </c>
      <c r="E84" t="inlineStr">
        <is>
          <t>N/A</t>
        </is>
      </c>
      <c r="F84" t="inlineStr"/>
      <c r="G84" t="inlineStr"/>
      <c r="H84" t="inlineStr">
        <is>
          <t>3.05%</t>
        </is>
      </c>
      <c r="I84" t="inlineStr">
        <is>
          <t>2.28%</t>
        </is>
      </c>
    </row>
    <row r="85">
      <c r="A85" s="2" t="n">
        <v>45966</v>
      </c>
      <c r="B85" t="inlineStr">
        <is>
          <t>HE3B1</t>
        </is>
      </c>
      <c r="C85" t="inlineStr">
        <is>
          <t>GICS_INDUSTRY_GROUP_NAME</t>
        </is>
      </c>
      <c r="D85" t="inlineStr">
        <is>
          <t>Energy</t>
        </is>
      </c>
      <c r="E85" t="inlineStr">
        <is>
          <t>N/A</t>
        </is>
      </c>
      <c r="F85" t="inlineStr"/>
      <c r="G85" t="inlineStr"/>
      <c r="H85" t="inlineStr">
        <is>
          <t>2.79%</t>
        </is>
      </c>
      <c r="I85" t="inlineStr">
        <is>
          <t>2.79%</t>
        </is>
      </c>
    </row>
    <row r="86">
      <c r="A86" s="2" t="n">
        <v>45966</v>
      </c>
      <c r="B86" t="inlineStr">
        <is>
          <t>HE3B1</t>
        </is>
      </c>
      <c r="C86" t="inlineStr">
        <is>
          <t>GICS_INDUSTRY_NAME</t>
        </is>
      </c>
      <c r="D86" t="inlineStr">
        <is>
          <t>Oil, Gas &amp; Consumable Fuels</t>
        </is>
      </c>
      <c r="E86" t="inlineStr">
        <is>
          <t>N/A</t>
        </is>
      </c>
      <c r="F86" t="inlineStr"/>
      <c r="G86" t="inlineStr"/>
      <c r="H86" t="inlineStr">
        <is>
          <t>2.79%</t>
        </is>
      </c>
      <c r="I86" t="inlineStr">
        <is>
          <t>2.79%</t>
        </is>
      </c>
    </row>
    <row r="87">
      <c r="A87" s="2" t="n">
        <v>45966</v>
      </c>
      <c r="B87" t="inlineStr">
        <is>
          <t>HE3B1</t>
        </is>
      </c>
      <c r="C87" t="inlineStr">
        <is>
          <t>GICS_INDUSTRY_NAME</t>
        </is>
      </c>
      <c r="D87" t="inlineStr">
        <is>
          <t>Pharmaceuticals</t>
        </is>
      </c>
      <c r="E87" t="inlineStr">
        <is>
          <t>N/A</t>
        </is>
      </c>
      <c r="F87" t="inlineStr"/>
      <c r="G87" t="inlineStr"/>
      <c r="H87" t="inlineStr">
        <is>
          <t>2.63%</t>
        </is>
      </c>
      <c r="I87" t="inlineStr">
        <is>
          <t>3.42%</t>
        </is>
      </c>
    </row>
    <row r="88">
      <c r="A88" s="2" t="n">
        <v>45966</v>
      </c>
      <c r="B88" t="inlineStr">
        <is>
          <t>HE3B1</t>
        </is>
      </c>
      <c r="C88" t="inlineStr">
        <is>
          <t>GICS_INDUSTRY_GROUP_NAME</t>
        </is>
      </c>
      <c r="D88" t="inlineStr">
        <is>
          <t>Insurance</t>
        </is>
      </c>
      <c r="E88" t="inlineStr">
        <is>
          <t>N/A</t>
        </is>
      </c>
      <c r="F88" t="inlineStr"/>
      <c r="G88" t="inlineStr"/>
      <c r="H88" t="inlineStr">
        <is>
          <t>2.53%</t>
        </is>
      </c>
      <c r="I88" t="inlineStr">
        <is>
          <t>1.79%</t>
        </is>
      </c>
    </row>
    <row r="89">
      <c r="A89" s="2" t="n">
        <v>45966</v>
      </c>
      <c r="B89" t="inlineStr">
        <is>
          <t>HE3B1</t>
        </is>
      </c>
      <c r="C89" t="inlineStr">
        <is>
          <t>GICS_INDUSTRY_NAME</t>
        </is>
      </c>
      <c r="D89" t="inlineStr">
        <is>
          <t>Insurance</t>
        </is>
      </c>
      <c r="E89" t="inlineStr">
        <is>
          <t>N/A</t>
        </is>
      </c>
      <c r="F89" t="inlineStr"/>
      <c r="G89" t="inlineStr"/>
      <c r="H89" t="inlineStr">
        <is>
          <t>2.53%</t>
        </is>
      </c>
      <c r="I89" t="inlineStr">
        <is>
          <t>1.79%</t>
        </is>
      </c>
    </row>
    <row r="90">
      <c r="A90" s="2" t="n">
        <v>45966</v>
      </c>
      <c r="B90" t="inlineStr">
        <is>
          <t>HE3B1</t>
        </is>
      </c>
      <c r="C90" t="inlineStr">
        <is>
          <t>GICS_INDUSTRY_NAME</t>
        </is>
      </c>
      <c r="D90" t="inlineStr">
        <is>
          <t>Health Care Equipment &amp; Supplies</t>
        </is>
      </c>
      <c r="E90" t="inlineStr">
        <is>
          <t>N/A</t>
        </is>
      </c>
      <c r="F90" t="inlineStr"/>
      <c r="G90" t="inlineStr"/>
      <c r="H90" t="inlineStr">
        <is>
          <t>2.47%</t>
        </is>
      </c>
      <c r="I90" t="inlineStr">
        <is>
          <t>1.77%</t>
        </is>
      </c>
    </row>
    <row r="91">
      <c r="A91" s="2" t="n">
        <v>45966</v>
      </c>
      <c r="B91" t="inlineStr">
        <is>
          <t>HE3B1</t>
        </is>
      </c>
      <c r="C91" t="inlineStr">
        <is>
          <t>GICS_INDUSTRY_GROUP_NAME</t>
        </is>
      </c>
      <c r="D91" t="inlineStr">
        <is>
          <t>Automobiles &amp; Components</t>
        </is>
      </c>
      <c r="E91" t="inlineStr">
        <is>
          <t>N/A</t>
        </is>
      </c>
      <c r="F91" t="inlineStr"/>
      <c r="G91" t="inlineStr"/>
      <c r="H91" t="inlineStr">
        <is>
          <t>2.45%</t>
        </is>
      </c>
      <c r="I91" t="inlineStr">
        <is>
          <t>2.45%</t>
        </is>
      </c>
    </row>
    <row r="92">
      <c r="A92" s="2" t="n">
        <v>45966</v>
      </c>
      <c r="B92" t="inlineStr">
        <is>
          <t>HE3B1</t>
        </is>
      </c>
      <c r="C92" t="inlineStr">
        <is>
          <t>GICS_INDUSTRY_NAME</t>
        </is>
      </c>
      <c r="D92" t="inlineStr">
        <is>
          <t>Automobiles</t>
        </is>
      </c>
      <c r="E92" t="inlineStr">
        <is>
          <t>N/A</t>
        </is>
      </c>
      <c r="F92" t="inlineStr"/>
      <c r="G92" t="inlineStr"/>
      <c r="H92" t="inlineStr">
        <is>
          <t>2.45%</t>
        </is>
      </c>
      <c r="I92" t="inlineStr">
        <is>
          <t>2.45%</t>
        </is>
      </c>
    </row>
    <row r="93">
      <c r="A93" s="2" t="n">
        <v>45966</v>
      </c>
      <c r="B93" t="inlineStr">
        <is>
          <t>HE3B1</t>
        </is>
      </c>
      <c r="C93" t="inlineStr">
        <is>
          <t>GICS_INDUSTRY_GROUP_NAME</t>
        </is>
      </c>
      <c r="D93" t="inlineStr">
        <is>
          <t>Utilities</t>
        </is>
      </c>
      <c r="E93" t="inlineStr">
        <is>
          <t>N/A</t>
        </is>
      </c>
      <c r="F93" t="inlineStr"/>
      <c r="G93" t="inlineStr"/>
      <c r="H93" t="inlineStr">
        <is>
          <t>2.26%</t>
        </is>
      </c>
      <c r="I93" t="inlineStr">
        <is>
          <t>2.26%</t>
        </is>
      </c>
    </row>
    <row r="94">
      <c r="A94" s="2" t="n">
        <v>45966</v>
      </c>
      <c r="B94" t="inlineStr">
        <is>
          <t>HE3B1</t>
        </is>
      </c>
      <c r="C94" t="inlineStr">
        <is>
          <t>GICS_INDUSTRY_NAME</t>
        </is>
      </c>
      <c r="D94" t="inlineStr">
        <is>
          <t>Electric Utilities</t>
        </is>
      </c>
      <c r="E94" t="inlineStr">
        <is>
          <t>N/A</t>
        </is>
      </c>
      <c r="F94" t="inlineStr"/>
      <c r="G94" t="inlineStr"/>
      <c r="H94" t="inlineStr">
        <is>
          <t>2.26%</t>
        </is>
      </c>
      <c r="I94" t="inlineStr">
        <is>
          <t>2.26%</t>
        </is>
      </c>
    </row>
    <row r="95">
      <c r="A95" s="2" t="n">
        <v>45966</v>
      </c>
      <c r="B95" t="inlineStr">
        <is>
          <t>HE3B1</t>
        </is>
      </c>
      <c r="C95" t="inlineStr">
        <is>
          <t>GICS_INDUSTRY_GROUP_NAME</t>
        </is>
      </c>
      <c r="D95" t="inlineStr">
        <is>
          <t>Food, Beverage &amp; Tobacco</t>
        </is>
      </c>
      <c r="E95" t="inlineStr">
        <is>
          <t>N/A</t>
        </is>
      </c>
      <c r="F95" t="inlineStr"/>
      <c r="G95" t="inlineStr"/>
      <c r="H95" t="inlineStr">
        <is>
          <t>2.15%</t>
        </is>
      </c>
      <c r="I95" t="inlineStr">
        <is>
          <t>2.15%</t>
        </is>
      </c>
    </row>
    <row r="96">
      <c r="A96" s="2" t="n">
        <v>45966</v>
      </c>
      <c r="B96" t="inlineStr">
        <is>
          <t>HE3B1</t>
        </is>
      </c>
      <c r="C96" t="inlineStr">
        <is>
          <t>GICS_INDUSTRY_NAME</t>
        </is>
      </c>
      <c r="D96" t="inlineStr">
        <is>
          <t>Biotechnology</t>
        </is>
      </c>
      <c r="E96" t="inlineStr">
        <is>
          <t>N/A</t>
        </is>
      </c>
      <c r="F96" t="inlineStr"/>
      <c r="G96" t="inlineStr"/>
      <c r="H96" t="inlineStr">
        <is>
          <t>2.08%</t>
        </is>
      </c>
      <c r="I96" t="inlineStr">
        <is>
          <t>1.49%</t>
        </is>
      </c>
    </row>
    <row r="97">
      <c r="A97" s="2" t="n">
        <v>45966</v>
      </c>
      <c r="B97" t="inlineStr">
        <is>
          <t>HE3B1</t>
        </is>
      </c>
      <c r="C97" t="inlineStr">
        <is>
          <t>GICS_INDUSTRY_NAME</t>
        </is>
      </c>
      <c r="D97" t="inlineStr">
        <is>
          <t>Communications Equipment</t>
        </is>
      </c>
      <c r="E97" t="inlineStr">
        <is>
          <t>N/A</t>
        </is>
      </c>
      <c r="F97" t="inlineStr"/>
      <c r="G97" t="inlineStr"/>
      <c r="H97" t="inlineStr">
        <is>
          <t>2.01%</t>
        </is>
      </c>
      <c r="I97" t="inlineStr">
        <is>
          <t>2.01%</t>
        </is>
      </c>
    </row>
    <row r="98">
      <c r="A98" s="2" t="n">
        <v>45966</v>
      </c>
      <c r="B98" t="inlineStr">
        <is>
          <t>HE3B1</t>
        </is>
      </c>
      <c r="C98" t="inlineStr">
        <is>
          <t>GICS_INDUSTRY_NAME</t>
        </is>
      </c>
      <c r="D98" t="inlineStr">
        <is>
          <t>Financial Services</t>
        </is>
      </c>
      <c r="E98" t="inlineStr">
        <is>
          <t>N/A</t>
        </is>
      </c>
      <c r="F98" t="inlineStr"/>
      <c r="G98" t="inlineStr"/>
      <c r="H98" t="inlineStr">
        <is>
          <t>1.78%</t>
        </is>
      </c>
      <c r="I98" t="inlineStr">
        <is>
          <t>5.03%</t>
        </is>
      </c>
    </row>
    <row r="99">
      <c r="A99" s="2" t="n">
        <v>45966</v>
      </c>
      <c r="B99" t="inlineStr">
        <is>
          <t>HE3B1</t>
        </is>
      </c>
      <c r="C99" t="inlineStr">
        <is>
          <t>GICS_INDUSTRY_GROUP_NAME</t>
        </is>
      </c>
      <c r="D99" t="inlineStr">
        <is>
          <t>Consumer Staples Distribution &amp; Retail</t>
        </is>
      </c>
      <c r="E99" t="inlineStr">
        <is>
          <t>N/A</t>
        </is>
      </c>
      <c r="F99" t="inlineStr"/>
      <c r="G99" t="inlineStr"/>
      <c r="H99" t="inlineStr">
        <is>
          <t>1.75%</t>
        </is>
      </c>
      <c r="I99" t="inlineStr">
        <is>
          <t>1.75%</t>
        </is>
      </c>
    </row>
    <row r="100">
      <c r="A100" s="2" t="n">
        <v>45966</v>
      </c>
      <c r="B100" t="inlineStr">
        <is>
          <t>HE3B1</t>
        </is>
      </c>
      <c r="C100" t="inlineStr">
        <is>
          <t>GICS_INDUSTRY_NAME</t>
        </is>
      </c>
      <c r="D100" t="inlineStr">
        <is>
          <t>Consumer Staples Distribution &amp; Retail</t>
        </is>
      </c>
      <c r="E100" t="inlineStr">
        <is>
          <t>N/A</t>
        </is>
      </c>
      <c r="F100" t="inlineStr"/>
      <c r="G100" t="inlineStr"/>
      <c r="H100" t="inlineStr">
        <is>
          <t>1.75%</t>
        </is>
      </c>
      <c r="I100" t="inlineStr">
        <is>
          <t>1.75%</t>
        </is>
      </c>
    </row>
    <row r="101">
      <c r="A101" s="2" t="n">
        <v>45966</v>
      </c>
      <c r="B101" t="inlineStr">
        <is>
          <t>HE3B1</t>
        </is>
      </c>
      <c r="C101" t="inlineStr">
        <is>
          <t>GICS_INDUSTRY_NAME</t>
        </is>
      </c>
      <c r="D101" t="inlineStr">
        <is>
          <t>Machinery</t>
        </is>
      </c>
      <c r="E101" t="inlineStr">
        <is>
          <t>N/A</t>
        </is>
      </c>
      <c r="F101" t="inlineStr"/>
      <c r="G101" t="inlineStr"/>
      <c r="H101" t="inlineStr">
        <is>
          <t>1.72%</t>
        </is>
      </c>
      <c r="I101" t="inlineStr">
        <is>
          <t>1.51%</t>
        </is>
      </c>
    </row>
    <row r="102">
      <c r="A102" s="2" t="n">
        <v>45966</v>
      </c>
      <c r="B102" t="inlineStr">
        <is>
          <t>HE3B1</t>
        </is>
      </c>
      <c r="C102" t="inlineStr">
        <is>
          <t>GICS_INDUSTRY_GROUP_NAME</t>
        </is>
      </c>
      <c r="D102" t="inlineStr">
        <is>
          <t>Materials</t>
        </is>
      </c>
      <c r="E102" t="inlineStr">
        <is>
          <t>N/A</t>
        </is>
      </c>
      <c r="F102" t="inlineStr"/>
      <c r="G102" t="inlineStr"/>
      <c r="H102" t="inlineStr">
        <is>
          <t>1.68%</t>
        </is>
      </c>
      <c r="I102" t="inlineStr">
        <is>
          <t>1.68%</t>
        </is>
      </c>
    </row>
    <row r="103">
      <c r="A103" s="2" t="n">
        <v>45966</v>
      </c>
      <c r="B103" t="inlineStr">
        <is>
          <t>HE3B1</t>
        </is>
      </c>
      <c r="C103" t="inlineStr">
        <is>
          <t>GICS_INDUSTRY_NAME</t>
        </is>
      </c>
      <c r="D103" t="inlineStr">
        <is>
          <t>Chemicals</t>
        </is>
      </c>
      <c r="E103" t="inlineStr">
        <is>
          <t>N/A</t>
        </is>
      </c>
      <c r="F103" t="inlineStr"/>
      <c r="G103" t="inlineStr"/>
      <c r="H103" t="inlineStr">
        <is>
          <t>1.68%</t>
        </is>
      </c>
      <c r="I103" t="inlineStr">
        <is>
          <t>1.68%</t>
        </is>
      </c>
    </row>
    <row r="104">
      <c r="A104" s="2" t="n">
        <v>45966</v>
      </c>
      <c r="B104" t="inlineStr">
        <is>
          <t>HE3B1</t>
        </is>
      </c>
      <c r="C104" t="inlineStr">
        <is>
          <t>GICS_INDUSTRY_GROUP_NAME</t>
        </is>
      </c>
      <c r="D104" t="inlineStr">
        <is>
          <t>Consumer Services</t>
        </is>
      </c>
      <c r="E104" t="inlineStr">
        <is>
          <t>N/A</t>
        </is>
      </c>
      <c r="F104" t="inlineStr"/>
      <c r="G104" t="inlineStr"/>
      <c r="H104" t="inlineStr">
        <is>
          <t>1.68%</t>
        </is>
      </c>
      <c r="I104" t="inlineStr">
        <is>
          <t>1.67%</t>
        </is>
      </c>
    </row>
    <row r="105">
      <c r="A105" s="2" t="n">
        <v>45966</v>
      </c>
      <c r="B105" t="inlineStr">
        <is>
          <t>HE3B1</t>
        </is>
      </c>
      <c r="C105" t="inlineStr">
        <is>
          <t>GICS_INDUSTRY_NAME</t>
        </is>
      </c>
      <c r="D105" t="inlineStr">
        <is>
          <t>Hotels, Restaurants &amp; Leisure</t>
        </is>
      </c>
      <c r="E105" t="inlineStr">
        <is>
          <t>N/A</t>
        </is>
      </c>
      <c r="F105" t="inlineStr"/>
      <c r="G105" t="inlineStr"/>
      <c r="H105" t="inlineStr">
        <is>
          <t>1.68%</t>
        </is>
      </c>
      <c r="I105" t="inlineStr">
        <is>
          <t>1.67%</t>
        </is>
      </c>
    </row>
    <row r="106">
      <c r="A106" s="2" t="n">
        <v>45966</v>
      </c>
      <c r="B106" t="inlineStr">
        <is>
          <t>HE3B1</t>
        </is>
      </c>
      <c r="C106" t="inlineStr">
        <is>
          <t>GICS_INDUSTRY_GROUP_NAME</t>
        </is>
      </c>
      <c r="D106" t="inlineStr">
        <is>
          <t>Equity Real Estate Investment Trusts</t>
        </is>
      </c>
      <c r="E106" t="inlineStr">
        <is>
          <t>N/A</t>
        </is>
      </c>
      <c r="F106" t="inlineStr"/>
      <c r="G106" t="inlineStr"/>
      <c r="H106" t="inlineStr">
        <is>
          <t>1.44%</t>
        </is>
      </c>
      <c r="I106" t="inlineStr">
        <is>
          <t>1.44%</t>
        </is>
      </c>
    </row>
    <row r="107">
      <c r="A107" s="2" t="n">
        <v>45966</v>
      </c>
      <c r="B107" t="inlineStr">
        <is>
          <t>HE3B1</t>
        </is>
      </c>
      <c r="C107" t="inlineStr">
        <is>
          <t>GICS_INDUSTRY_NAME</t>
        </is>
      </c>
      <c r="D107" t="inlineStr">
        <is>
          <t>Specialized REITs</t>
        </is>
      </c>
      <c r="E107" t="inlineStr">
        <is>
          <t>N/A</t>
        </is>
      </c>
      <c r="F107" t="inlineStr"/>
      <c r="G107" t="inlineStr"/>
      <c r="H107" t="inlineStr">
        <is>
          <t>1.44%</t>
        </is>
      </c>
      <c r="I107" t="inlineStr">
        <is>
          <t>1.44%</t>
        </is>
      </c>
    </row>
    <row r="108">
      <c r="A108" s="2" t="n">
        <v>45966</v>
      </c>
      <c r="B108" t="inlineStr">
        <is>
          <t>HE3B1</t>
        </is>
      </c>
      <c r="C108" t="inlineStr">
        <is>
          <t>GICS_INDUSTRY_GROUP_NAME</t>
        </is>
      </c>
      <c r="D108" t="inlineStr">
        <is>
          <t>Transportation</t>
        </is>
      </c>
      <c r="E108" t="inlineStr">
        <is>
          <t>N/A</t>
        </is>
      </c>
      <c r="F108" t="inlineStr"/>
      <c r="G108" t="inlineStr"/>
      <c r="H108" t="inlineStr">
        <is>
          <t>1.43%</t>
        </is>
      </c>
      <c r="I108" t="inlineStr">
        <is>
          <t>1.32%</t>
        </is>
      </c>
    </row>
    <row r="109">
      <c r="A109" s="2" t="n">
        <v>45966</v>
      </c>
      <c r="B109" t="inlineStr">
        <is>
          <t>HE3B1</t>
        </is>
      </c>
      <c r="C109" t="inlineStr">
        <is>
          <t>GICS_INDUSTRY_NAME</t>
        </is>
      </c>
      <c r="D109" t="inlineStr">
        <is>
          <t>Specialty Retail</t>
        </is>
      </c>
      <c r="E109" t="inlineStr">
        <is>
          <t>N/A</t>
        </is>
      </c>
      <c r="F109" t="inlineStr"/>
      <c r="G109" t="inlineStr"/>
      <c r="H109" t="inlineStr">
        <is>
          <t>1.28%</t>
        </is>
      </c>
      <c r="I109" t="inlineStr">
        <is>
          <t>1.28%</t>
        </is>
      </c>
    </row>
    <row r="110">
      <c r="A110" s="2" t="n">
        <v>45966</v>
      </c>
      <c r="B110" t="inlineStr">
        <is>
          <t>HE3B1</t>
        </is>
      </c>
      <c r="C110" t="inlineStr">
        <is>
          <t>GICS_INDUSTRY_NAME</t>
        </is>
      </c>
      <c r="D110" t="inlineStr">
        <is>
          <t>Beverages</t>
        </is>
      </c>
      <c r="E110" t="inlineStr">
        <is>
          <t>N/A</t>
        </is>
      </c>
      <c r="F110" t="inlineStr"/>
      <c r="G110" t="inlineStr"/>
      <c r="H110" t="inlineStr">
        <is>
          <t>1.15%</t>
        </is>
      </c>
      <c r="I110" t="inlineStr">
        <is>
          <t>1.15%</t>
        </is>
      </c>
    </row>
    <row r="111">
      <c r="A111" s="2" t="n">
        <v>45966</v>
      </c>
      <c r="B111" t="inlineStr">
        <is>
          <t>HE3B1</t>
        </is>
      </c>
      <c r="C111" t="inlineStr">
        <is>
          <t>GICS_INDUSTRY_NAME</t>
        </is>
      </c>
      <c r="D111" t="inlineStr">
        <is>
          <t>IT Services</t>
        </is>
      </c>
      <c r="E111" t="inlineStr">
        <is>
          <t>N/A</t>
        </is>
      </c>
      <c r="F111" t="inlineStr"/>
      <c r="G111" t="inlineStr"/>
      <c r="H111" t="inlineStr">
        <is>
          <t>1.14%</t>
        </is>
      </c>
      <c r="I111" t="inlineStr">
        <is>
          <t>1.13%</t>
        </is>
      </c>
    </row>
    <row r="112">
      <c r="A112" s="2" t="n">
        <v>45966</v>
      </c>
      <c r="B112" t="inlineStr">
        <is>
          <t>HE3B1</t>
        </is>
      </c>
      <c r="C112" t="inlineStr">
        <is>
          <t>GICS_INDUSTRY_NAME</t>
        </is>
      </c>
      <c r="D112" t="inlineStr">
        <is>
          <t>Life Sciences Tools &amp; Services</t>
        </is>
      </c>
      <c r="E112" t="inlineStr">
        <is>
          <t>N/A</t>
        </is>
      </c>
      <c r="F112" t="inlineStr"/>
      <c r="G112" t="inlineStr"/>
      <c r="H112" t="inlineStr">
        <is>
          <t>1.04%</t>
        </is>
      </c>
      <c r="I112" t="inlineStr">
        <is>
          <t>0.74%</t>
        </is>
      </c>
    </row>
    <row r="113">
      <c r="A113" s="2" t="n">
        <v>45966</v>
      </c>
      <c r="B113" t="inlineStr">
        <is>
          <t>HE3B1</t>
        </is>
      </c>
      <c r="C113" t="inlineStr">
        <is>
          <t>GICS_INDUSTRY_NAME</t>
        </is>
      </c>
      <c r="D113" t="inlineStr">
        <is>
          <t>Ground Transportation</t>
        </is>
      </c>
      <c r="E113" t="inlineStr">
        <is>
          <t>N/A</t>
        </is>
      </c>
      <c r="F113" t="inlineStr"/>
      <c r="G113" t="inlineStr"/>
      <c r="H113" t="inlineStr">
        <is>
          <t>1.01%</t>
        </is>
      </c>
      <c r="I113" t="inlineStr">
        <is>
          <t>0.95%</t>
        </is>
      </c>
    </row>
    <row r="114">
      <c r="A114" s="2" t="n">
        <v>45966</v>
      </c>
      <c r="B114" t="inlineStr">
        <is>
          <t>HE3B1</t>
        </is>
      </c>
      <c r="C114" t="inlineStr">
        <is>
          <t>GICS_INDUSTRY_NAME</t>
        </is>
      </c>
      <c r="D114" t="inlineStr">
        <is>
          <t>Electrical Equipment</t>
        </is>
      </c>
      <c r="E114" t="inlineStr">
        <is>
          <t>N/A</t>
        </is>
      </c>
      <c r="F114" t="inlineStr"/>
      <c r="G114" t="inlineStr"/>
      <c r="H114" t="inlineStr">
        <is>
          <t>0.99%</t>
        </is>
      </c>
      <c r="I114" t="inlineStr">
        <is>
          <t>0.87%</t>
        </is>
      </c>
    </row>
    <row r="115">
      <c r="A115" s="2" t="n">
        <v>45966</v>
      </c>
      <c r="B115" t="inlineStr">
        <is>
          <t>HE3B1</t>
        </is>
      </c>
      <c r="C115" t="inlineStr">
        <is>
          <t>GICS_INDUSTRY_NAME</t>
        </is>
      </c>
      <c r="D115" t="inlineStr">
        <is>
          <t>Industrial Conglomerates</t>
        </is>
      </c>
      <c r="E115" t="inlineStr">
        <is>
          <t>N/A</t>
        </is>
      </c>
      <c r="F115" t="inlineStr"/>
      <c r="G115" t="inlineStr"/>
      <c r="H115" t="inlineStr">
        <is>
          <t>0.95%</t>
        </is>
      </c>
      <c r="I115" t="inlineStr">
        <is>
          <t>0.83%</t>
        </is>
      </c>
    </row>
    <row r="116">
      <c r="A116" s="2" t="n">
        <v>45966</v>
      </c>
      <c r="B116" t="inlineStr">
        <is>
          <t>HE3B1</t>
        </is>
      </c>
      <c r="C116" t="inlineStr">
        <is>
          <t>GICS_INDUSTRY_GROUP_NAME</t>
        </is>
      </c>
      <c r="D116" t="inlineStr">
        <is>
          <t>Household &amp; Personal Products</t>
        </is>
      </c>
      <c r="E116" t="inlineStr">
        <is>
          <t>N/A</t>
        </is>
      </c>
      <c r="F116" t="inlineStr"/>
      <c r="G116" t="inlineStr"/>
      <c r="H116" t="inlineStr">
        <is>
          <t>0.92%</t>
        </is>
      </c>
      <c r="I116" t="inlineStr">
        <is>
          <t>0.92%</t>
        </is>
      </c>
    </row>
    <row r="117">
      <c r="A117" s="2" t="n">
        <v>45966</v>
      </c>
      <c r="B117" t="inlineStr">
        <is>
          <t>HE3B1</t>
        </is>
      </c>
      <c r="C117" t="inlineStr">
        <is>
          <t>GICS_INDUSTRY_NAME</t>
        </is>
      </c>
      <c r="D117" t="inlineStr">
        <is>
          <t>Household Products</t>
        </is>
      </c>
      <c r="E117" t="inlineStr">
        <is>
          <t>N/A</t>
        </is>
      </c>
      <c r="F117" t="inlineStr"/>
      <c r="G117" t="inlineStr"/>
      <c r="H117" t="inlineStr">
        <is>
          <t>0.92%</t>
        </is>
      </c>
      <c r="I117" t="inlineStr">
        <is>
          <t>0.92%</t>
        </is>
      </c>
    </row>
    <row r="118">
      <c r="A118" s="2" t="n">
        <v>45966</v>
      </c>
      <c r="B118" t="inlineStr">
        <is>
          <t>HE3B1</t>
        </is>
      </c>
      <c r="C118" t="inlineStr">
        <is>
          <t>GICS_INDUSTRY_GROUP_NAME</t>
        </is>
      </c>
      <c r="D118" t="inlineStr">
        <is>
          <t>Telecommunication Services</t>
        </is>
      </c>
      <c r="E118" t="inlineStr">
        <is>
          <t>N/A</t>
        </is>
      </c>
      <c r="F118" t="inlineStr"/>
      <c r="G118" t="inlineStr"/>
      <c r="H118" t="inlineStr">
        <is>
          <t>0.86%</t>
        </is>
      </c>
      <c r="I118" t="inlineStr">
        <is>
          <t>0.79%</t>
        </is>
      </c>
    </row>
    <row r="119">
      <c r="A119" s="2" t="n">
        <v>45966</v>
      </c>
      <c r="B119" t="inlineStr">
        <is>
          <t>HE3B1</t>
        </is>
      </c>
      <c r="C119" t="inlineStr">
        <is>
          <t>GICS_INDUSTRY_NAME</t>
        </is>
      </c>
      <c r="D119" t="inlineStr">
        <is>
          <t>Diversified Telecommunication Services</t>
        </is>
      </c>
      <c r="E119" t="inlineStr">
        <is>
          <t>N/A</t>
        </is>
      </c>
      <c r="F119" t="inlineStr"/>
      <c r="G119" t="inlineStr"/>
      <c r="H119" t="inlineStr">
        <is>
          <t>0.86%</t>
        </is>
      </c>
      <c r="I119" t="inlineStr">
        <is>
          <t>0.79%</t>
        </is>
      </c>
    </row>
    <row r="120">
      <c r="A120" s="2" t="n">
        <v>45966</v>
      </c>
      <c r="B120" t="inlineStr">
        <is>
          <t>HE3B1</t>
        </is>
      </c>
      <c r="C120" t="inlineStr">
        <is>
          <t>GICS_INDUSTRY_NAME</t>
        </is>
      </c>
      <c r="D120" t="inlineStr">
        <is>
          <t>Tobacco</t>
        </is>
      </c>
      <c r="E120" t="inlineStr">
        <is>
          <t>N/A</t>
        </is>
      </c>
      <c r="F120" t="inlineStr"/>
      <c r="G120" t="inlineStr"/>
      <c r="H120" t="inlineStr">
        <is>
          <t>0.82%</t>
        </is>
      </c>
      <c r="I120" t="inlineStr">
        <is>
          <t>0.81%</t>
        </is>
      </c>
    </row>
    <row r="121">
      <c r="A121" s="2" t="n">
        <v>45966</v>
      </c>
      <c r="B121" t="inlineStr">
        <is>
          <t>HE3B1</t>
        </is>
      </c>
      <c r="C121" t="inlineStr">
        <is>
          <t>GICS_INDUSTRY_NAME</t>
        </is>
      </c>
      <c r="D121" t="inlineStr">
        <is>
          <t>Health Care Providers &amp; Services</t>
        </is>
      </c>
      <c r="E121" t="inlineStr">
        <is>
          <t>N/A</t>
        </is>
      </c>
      <c r="F121" t="inlineStr"/>
      <c r="G121" t="inlineStr"/>
      <c r="H121" t="inlineStr">
        <is>
          <t>0.81%</t>
        </is>
      </c>
      <c r="I121" t="inlineStr">
        <is>
          <t>1.59%</t>
        </is>
      </c>
    </row>
    <row r="122">
      <c r="A122" s="2" t="n">
        <v>45966</v>
      </c>
      <c r="B122" t="inlineStr">
        <is>
          <t>HE3B1</t>
        </is>
      </c>
      <c r="C122" t="inlineStr">
        <is>
          <t>GICS_INDUSTRY_NAME</t>
        </is>
      </c>
      <c r="D122" t="inlineStr">
        <is>
          <t>Consumer Finance</t>
        </is>
      </c>
      <c r="E122" t="inlineStr">
        <is>
          <t>N/A</t>
        </is>
      </c>
      <c r="F122" t="inlineStr"/>
      <c r="G122" t="inlineStr"/>
      <c r="H122" t="inlineStr">
        <is>
          <t>0.72%</t>
        </is>
      </c>
      <c r="I122" t="inlineStr">
        <is>
          <t>0.51%</t>
        </is>
      </c>
    </row>
    <row r="123">
      <c r="A123" s="2" t="n">
        <v>45966</v>
      </c>
      <c r="B123" t="inlineStr">
        <is>
          <t>HE3B1</t>
        </is>
      </c>
      <c r="C123" t="inlineStr">
        <is>
          <t>GICS_INDUSTRY_GROUP_NAME</t>
        </is>
      </c>
      <c r="D123" t="inlineStr">
        <is>
          <t>Consumer Durables &amp; Apparel</t>
        </is>
      </c>
      <c r="E123" t="inlineStr">
        <is>
          <t>N/A</t>
        </is>
      </c>
      <c r="F123" t="inlineStr"/>
      <c r="G123" t="inlineStr"/>
      <c r="H123" t="inlineStr">
        <is>
          <t>0.51%</t>
        </is>
      </c>
      <c r="I123" t="inlineStr">
        <is>
          <t>0.51%</t>
        </is>
      </c>
    </row>
    <row r="124">
      <c r="A124" s="2" t="n">
        <v>45966</v>
      </c>
      <c r="B124" t="inlineStr">
        <is>
          <t>HE3B1</t>
        </is>
      </c>
      <c r="C124" t="inlineStr">
        <is>
          <t>GICS_INDUSTRY_NAME</t>
        </is>
      </c>
      <c r="D124" t="inlineStr">
        <is>
          <t>Textiles, Apparel &amp; Luxury Goods</t>
        </is>
      </c>
      <c r="E124" t="inlineStr">
        <is>
          <t>N/A</t>
        </is>
      </c>
      <c r="F124" t="inlineStr"/>
      <c r="G124" t="inlineStr"/>
      <c r="H124" t="inlineStr">
        <is>
          <t>0.51%</t>
        </is>
      </c>
      <c r="I124" t="inlineStr">
        <is>
          <t>0.51%</t>
        </is>
      </c>
    </row>
    <row r="125">
      <c r="A125" s="2" t="n">
        <v>45966</v>
      </c>
      <c r="B125" t="inlineStr">
        <is>
          <t>HE3B1</t>
        </is>
      </c>
      <c r="C125" t="inlineStr">
        <is>
          <t>GICS_INDUSTRY_NAME</t>
        </is>
      </c>
      <c r="D125" t="inlineStr">
        <is>
          <t>Air Freight &amp; Logistics</t>
        </is>
      </c>
      <c r="E125" t="inlineStr">
        <is>
          <t>N/A</t>
        </is>
      </c>
      <c r="F125" t="inlineStr"/>
      <c r="G125" t="inlineStr"/>
      <c r="H125" t="inlineStr">
        <is>
          <t>0.42%</t>
        </is>
      </c>
      <c r="I125" t="inlineStr">
        <is>
          <t>0.37%</t>
        </is>
      </c>
    </row>
    <row r="126">
      <c r="A126" s="2" t="n">
        <v>45966</v>
      </c>
      <c r="B126" t="inlineStr">
        <is>
          <t>HE3B1</t>
        </is>
      </c>
      <c r="C126" t="inlineStr">
        <is>
          <t>GICS_INDUSTRY_NAME</t>
        </is>
      </c>
      <c r="D126" t="inlineStr">
        <is>
          <t>Entertainment</t>
        </is>
      </c>
      <c r="E126" t="inlineStr">
        <is>
          <t>N/A</t>
        </is>
      </c>
      <c r="F126" t="inlineStr"/>
      <c r="G126" t="inlineStr"/>
      <c r="H126" t="inlineStr">
        <is>
          <t>0.40%</t>
        </is>
      </c>
      <c r="I126" t="inlineStr">
        <is>
          <t>1.22%</t>
        </is>
      </c>
    </row>
    <row r="127">
      <c r="A127" s="2" t="n">
        <v>45966</v>
      </c>
      <c r="B127" t="inlineStr">
        <is>
          <t>HE3B1</t>
        </is>
      </c>
      <c r="C127" t="inlineStr">
        <is>
          <t>GICS_INDUSTRY_NAME</t>
        </is>
      </c>
      <c r="D127" t="inlineStr">
        <is>
          <t>Media</t>
        </is>
      </c>
      <c r="E127" t="inlineStr">
        <is>
          <t>N/A</t>
        </is>
      </c>
      <c r="F127" t="inlineStr"/>
      <c r="G127" t="inlineStr"/>
      <c r="H127" t="inlineStr">
        <is>
          <t>0.21%</t>
        </is>
      </c>
      <c r="I127" t="inlineStr">
        <is>
          <t>0.19%</t>
        </is>
      </c>
    </row>
    <row r="128">
      <c r="A128" s="2" t="n">
        <v>45966</v>
      </c>
      <c r="B128" t="inlineStr">
        <is>
          <t>HE3B1</t>
        </is>
      </c>
      <c r="C128" t="inlineStr">
        <is>
          <t>GICS_INDUSTRY_NAME</t>
        </is>
      </c>
      <c r="D128" t="inlineStr">
        <is>
          <t>Food Products</t>
        </is>
      </c>
      <c r="E128" t="inlineStr">
        <is>
          <t>N/A</t>
        </is>
      </c>
      <c r="F128" t="inlineStr"/>
      <c r="G128" t="inlineStr"/>
      <c r="H128" t="inlineStr">
        <is>
          <t>0.19%</t>
        </is>
      </c>
      <c r="I128" t="inlineStr">
        <is>
          <t>0.19%</t>
        </is>
      </c>
    </row>
    <row r="129">
      <c r="A129" s="2" t="n">
        <v>45966</v>
      </c>
      <c r="B129" t="inlineStr">
        <is>
          <t>HE3B1</t>
        </is>
      </c>
      <c r="C129" t="inlineStr">
        <is>
          <t>GICS_INDUSTRY_GROUP_NAME</t>
        </is>
      </c>
      <c r="D129" t="inlineStr">
        <is>
          <t>Commercial &amp; Professional Services</t>
        </is>
      </c>
      <c r="E129" t="inlineStr">
        <is>
          <t>N/A</t>
        </is>
      </c>
      <c r="F129" t="inlineStr"/>
      <c r="G129" t="inlineStr"/>
      <c r="H129" t="inlineStr">
        <is>
          <t>0.00%</t>
        </is>
      </c>
      <c r="I129" t="inlineStr">
        <is>
          <t>0.99%</t>
        </is>
      </c>
    </row>
    <row r="130">
      <c r="A130" s="2" t="n">
        <v>45966</v>
      </c>
      <c r="B130" t="inlineStr">
        <is>
          <t>HE3B1</t>
        </is>
      </c>
      <c r="C130" t="inlineStr">
        <is>
          <t>GICS_INDUSTRY_NAME</t>
        </is>
      </c>
      <c r="D130" t="inlineStr">
        <is>
          <t>Commercial Services &amp; Supplies</t>
        </is>
      </c>
      <c r="E130" t="inlineStr">
        <is>
          <t>N/A</t>
        </is>
      </c>
      <c r="F130" t="inlineStr"/>
      <c r="G130" t="inlineStr"/>
      <c r="H130" t="inlineStr">
        <is>
          <t>0.00%</t>
        </is>
      </c>
      <c r="I130" t="inlineStr">
        <is>
          <t>0.99%</t>
        </is>
      </c>
    </row>
    <row r="131">
      <c r="A131" s="2" t="n">
        <v>45966</v>
      </c>
      <c r="B131" t="inlineStr">
        <is>
          <t>HE3B2</t>
        </is>
      </c>
      <c r="C131" t="inlineStr">
        <is>
          <t>GICS_INDUSTRY_GROUP_NAME</t>
        </is>
      </c>
      <c r="D131" t="inlineStr">
        <is>
          <t>Semiconductors &amp; Semiconductor Equipment</t>
        </is>
      </c>
      <c r="E131" t="inlineStr">
        <is>
          <t>N/A</t>
        </is>
      </c>
      <c r="F131" t="inlineStr"/>
      <c r="G131" t="inlineStr"/>
      <c r="H131" t="inlineStr">
        <is>
          <t>15.88%</t>
        </is>
      </c>
      <c r="I131" t="inlineStr">
        <is>
          <t>14.90%</t>
        </is>
      </c>
    </row>
    <row r="132">
      <c r="A132" s="2" t="n">
        <v>45966</v>
      </c>
      <c r="B132" t="inlineStr">
        <is>
          <t>HE3B2</t>
        </is>
      </c>
      <c r="C132" t="inlineStr">
        <is>
          <t>GICS_INDUSTRY_NAME</t>
        </is>
      </c>
      <c r="D132" t="inlineStr">
        <is>
          <t>Semiconductors &amp; Semiconductor Equipment</t>
        </is>
      </c>
      <c r="E132" t="inlineStr">
        <is>
          <t>N/A</t>
        </is>
      </c>
      <c r="F132" t="inlineStr"/>
      <c r="G132" t="inlineStr"/>
      <c r="H132" t="inlineStr">
        <is>
          <t>15.88%</t>
        </is>
      </c>
      <c r="I132" t="inlineStr">
        <is>
          <t>14.90%</t>
        </is>
      </c>
    </row>
    <row r="133">
      <c r="A133" s="2" t="n">
        <v>45966</v>
      </c>
      <c r="B133" t="inlineStr">
        <is>
          <t>HE3B2</t>
        </is>
      </c>
      <c r="C133" t="inlineStr">
        <is>
          <t>GICS_INDUSTRY_GROUP_NAME</t>
        </is>
      </c>
      <c r="D133" t="inlineStr">
        <is>
          <t>Software &amp; Services</t>
        </is>
      </c>
      <c r="E133" t="inlineStr">
        <is>
          <t>N/A</t>
        </is>
      </c>
      <c r="F133" t="inlineStr"/>
      <c r="G133" t="inlineStr"/>
      <c r="H133" t="inlineStr">
        <is>
          <t>10.17%</t>
        </is>
      </c>
      <c r="I133" t="inlineStr">
        <is>
          <t>11.58%</t>
        </is>
      </c>
    </row>
    <row r="134">
      <c r="A134" s="2" t="n">
        <v>45966</v>
      </c>
      <c r="B134" t="inlineStr">
        <is>
          <t>HE3B2</t>
        </is>
      </c>
      <c r="C134" t="inlineStr">
        <is>
          <t>GICS_INDUSTRY_GROUP_NAME</t>
        </is>
      </c>
      <c r="D134" t="inlineStr">
        <is>
          <t>Technology Hardware &amp; Equipment</t>
        </is>
      </c>
      <c r="E134" t="inlineStr">
        <is>
          <t>N/A</t>
        </is>
      </c>
      <c r="F134" t="inlineStr"/>
      <c r="G134" t="inlineStr"/>
      <c r="H134" t="inlineStr">
        <is>
          <t>9.48%</t>
        </is>
      </c>
      <c r="I134" t="inlineStr">
        <is>
          <t>9.02%</t>
        </is>
      </c>
    </row>
    <row r="135">
      <c r="A135" s="2" t="n">
        <v>45966</v>
      </c>
      <c r="B135" t="inlineStr">
        <is>
          <t>HE3B2</t>
        </is>
      </c>
      <c r="C135" t="inlineStr">
        <is>
          <t>GICS_INDUSTRY_GROUP_NAME</t>
        </is>
      </c>
      <c r="D135" t="inlineStr">
        <is>
          <t>Media &amp; Entertainment</t>
        </is>
      </c>
      <c r="E135" t="inlineStr">
        <is>
          <t>N/A</t>
        </is>
      </c>
      <c r="F135" t="inlineStr"/>
      <c r="G135" t="inlineStr"/>
      <c r="H135" t="inlineStr">
        <is>
          <t>9.40%</t>
        </is>
      </c>
      <c r="I135" t="inlineStr">
        <is>
          <t>9.40%</t>
        </is>
      </c>
    </row>
    <row r="136">
      <c r="A136" s="2" t="n">
        <v>45966</v>
      </c>
      <c r="B136" t="inlineStr">
        <is>
          <t>HE3B2</t>
        </is>
      </c>
      <c r="C136" t="inlineStr">
        <is>
          <t>GICS_INDUSTRY_NAME</t>
        </is>
      </c>
      <c r="D136" t="inlineStr">
        <is>
          <t>Software</t>
        </is>
      </c>
      <c r="E136" t="inlineStr">
        <is>
          <t>N/A</t>
        </is>
      </c>
      <c r="F136" t="inlineStr"/>
      <c r="G136" t="inlineStr"/>
      <c r="H136" t="inlineStr">
        <is>
          <t>8.97%</t>
        </is>
      </c>
      <c r="I136" t="inlineStr">
        <is>
          <t>10.45%</t>
        </is>
      </c>
    </row>
    <row r="137">
      <c r="A137" s="2" t="n">
        <v>45966</v>
      </c>
      <c r="B137" t="inlineStr">
        <is>
          <t>HE3B2</t>
        </is>
      </c>
      <c r="C137" t="inlineStr">
        <is>
          <t>GICS_INDUSTRY_NAME</t>
        </is>
      </c>
      <c r="D137" t="inlineStr">
        <is>
          <t>Interactive Media &amp; Services</t>
        </is>
      </c>
      <c r="E137" t="inlineStr">
        <is>
          <t>N/A</t>
        </is>
      </c>
      <c r="F137" t="inlineStr"/>
      <c r="G137" t="inlineStr"/>
      <c r="H137" t="inlineStr">
        <is>
          <t>7.99%</t>
        </is>
      </c>
      <c r="I137" t="inlineStr">
        <is>
          <t>7.99%</t>
        </is>
      </c>
    </row>
    <row r="138">
      <c r="A138" s="2" t="n">
        <v>45966</v>
      </c>
      <c r="B138" t="inlineStr">
        <is>
          <t>HE3B2</t>
        </is>
      </c>
      <c r="C138" t="inlineStr">
        <is>
          <t>GICS_INDUSTRY_NAME</t>
        </is>
      </c>
      <c r="D138" t="inlineStr">
        <is>
          <t>Technology Hardware, Storage &amp; Peripherals</t>
        </is>
      </c>
      <c r="E138" t="inlineStr">
        <is>
          <t>N/A</t>
        </is>
      </c>
      <c r="F138" t="inlineStr"/>
      <c r="G138" t="inlineStr"/>
      <c r="H138" t="inlineStr">
        <is>
          <t>7.46%</t>
        </is>
      </c>
      <c r="I138" t="inlineStr">
        <is>
          <t>7.01%</t>
        </is>
      </c>
    </row>
    <row r="139">
      <c r="A139" s="2" t="n">
        <v>45966</v>
      </c>
      <c r="B139" t="inlineStr">
        <is>
          <t>HE3B2</t>
        </is>
      </c>
      <c r="C139" t="inlineStr">
        <is>
          <t>GICS_INDUSTRY_GROUP_NAME</t>
        </is>
      </c>
      <c r="D139" t="inlineStr">
        <is>
          <t>Financial Services</t>
        </is>
      </c>
      <c r="E139" t="inlineStr">
        <is>
          <t>N/A</t>
        </is>
      </c>
      <c r="F139" t="inlineStr"/>
      <c r="G139" t="inlineStr"/>
      <c r="H139" t="inlineStr">
        <is>
          <t>6.64%</t>
        </is>
      </c>
      <c r="I139" t="inlineStr">
        <is>
          <t>7.82%</t>
        </is>
      </c>
    </row>
    <row r="140">
      <c r="A140" s="2" t="n">
        <v>45966</v>
      </c>
      <c r="B140" t="inlineStr">
        <is>
          <t>HE3B2</t>
        </is>
      </c>
      <c r="C140" t="inlineStr">
        <is>
          <t>GICS_INDUSTRY_GROUP_NAME</t>
        </is>
      </c>
      <c r="D140" t="inlineStr">
        <is>
          <t>Capital Goods</t>
        </is>
      </c>
      <c r="E140" t="inlineStr">
        <is>
          <t>N/A</t>
        </is>
      </c>
      <c r="F140" t="inlineStr"/>
      <c r="G140" t="inlineStr"/>
      <c r="H140" t="inlineStr">
        <is>
          <t>6.29%</t>
        </is>
      </c>
      <c r="I140" t="inlineStr">
        <is>
          <t>6.29%</t>
        </is>
      </c>
    </row>
    <row r="141">
      <c r="A141" s="2" t="n">
        <v>45966</v>
      </c>
      <c r="B141" t="inlineStr">
        <is>
          <t>HE3B2</t>
        </is>
      </c>
      <c r="C141" t="inlineStr">
        <is>
          <t>GICS_INDUSTRY_GROUP_NAME</t>
        </is>
      </c>
      <c r="D141" t="inlineStr">
        <is>
          <t>Consumer Discretionary Distribution &amp; Retail</t>
        </is>
      </c>
      <c r="E141" t="inlineStr">
        <is>
          <t>N/A</t>
        </is>
      </c>
      <c r="F141" t="inlineStr"/>
      <c r="G141" t="inlineStr"/>
      <c r="H141" t="inlineStr">
        <is>
          <t>5.78%</t>
        </is>
      </c>
      <c r="I141" t="inlineStr">
        <is>
          <t>5.78%</t>
        </is>
      </c>
    </row>
    <row r="142">
      <c r="A142" s="2" t="n">
        <v>45966</v>
      </c>
      <c r="B142" t="inlineStr">
        <is>
          <t>HE3B2</t>
        </is>
      </c>
      <c r="C142" t="inlineStr">
        <is>
          <t>GICS_INDUSTRY_GROUP_NAME</t>
        </is>
      </c>
      <c r="D142" t="inlineStr">
        <is>
          <t>Pharmaceuticals, Biotechnology &amp; Life Sciences</t>
        </is>
      </c>
      <c r="E142" t="inlineStr">
        <is>
          <t>N/A</t>
        </is>
      </c>
      <c r="F142" t="inlineStr"/>
      <c r="G142" t="inlineStr"/>
      <c r="H142" t="inlineStr">
        <is>
          <t>4.96%</t>
        </is>
      </c>
      <c r="I142" t="inlineStr">
        <is>
          <t>5.66%</t>
        </is>
      </c>
    </row>
    <row r="143">
      <c r="A143" s="2" t="n">
        <v>45966</v>
      </c>
      <c r="B143" t="inlineStr">
        <is>
          <t>HE3B2</t>
        </is>
      </c>
      <c r="C143" t="inlineStr">
        <is>
          <t>GICS_INDUSTRY_NAME</t>
        </is>
      </c>
      <c r="D143" t="inlineStr">
        <is>
          <t>Broadline Retail</t>
        </is>
      </c>
      <c r="E143" t="inlineStr">
        <is>
          <t>N/A</t>
        </is>
      </c>
      <c r="F143" t="inlineStr"/>
      <c r="G143" t="inlineStr"/>
      <c r="H143" t="inlineStr">
        <is>
          <t>4.50%</t>
        </is>
      </c>
      <c r="I143" t="inlineStr">
        <is>
          <t>4.50%</t>
        </is>
      </c>
    </row>
    <row r="144">
      <c r="A144" s="2" t="n">
        <v>45966</v>
      </c>
      <c r="B144" t="inlineStr">
        <is>
          <t>HE3B2</t>
        </is>
      </c>
      <c r="C144" t="inlineStr">
        <is>
          <t>GICS_INDUSTRY_GROUP_NAME</t>
        </is>
      </c>
      <c r="D144" t="inlineStr">
        <is>
          <t>Banks</t>
        </is>
      </c>
      <c r="E144" t="inlineStr">
        <is>
          <t>N/A</t>
        </is>
      </c>
      <c r="F144" t="inlineStr"/>
      <c r="G144" t="inlineStr"/>
      <c r="H144" t="inlineStr">
        <is>
          <t>4.47%</t>
        </is>
      </c>
      <c r="I144" t="inlineStr">
        <is>
          <t>3.69%</t>
        </is>
      </c>
    </row>
    <row r="145">
      <c r="A145" s="2" t="n">
        <v>45966</v>
      </c>
      <c r="B145" t="inlineStr">
        <is>
          <t>HE3B2</t>
        </is>
      </c>
      <c r="C145" t="inlineStr">
        <is>
          <t>GICS_INDUSTRY_NAME</t>
        </is>
      </c>
      <c r="D145" t="inlineStr">
        <is>
          <t>Banks</t>
        </is>
      </c>
      <c r="E145" t="inlineStr">
        <is>
          <t>N/A</t>
        </is>
      </c>
      <c r="F145" t="inlineStr"/>
      <c r="G145" t="inlineStr"/>
      <c r="H145" t="inlineStr">
        <is>
          <t>4.47%</t>
        </is>
      </c>
      <c r="I145" t="inlineStr">
        <is>
          <t>3.69%</t>
        </is>
      </c>
    </row>
    <row r="146">
      <c r="A146" s="2" t="n">
        <v>45966</v>
      </c>
      <c r="B146" t="inlineStr">
        <is>
          <t>HE3B2</t>
        </is>
      </c>
      <c r="C146" t="inlineStr">
        <is>
          <t>GICS_INDUSTRY_GROUP_NAME</t>
        </is>
      </c>
      <c r="D146" t="inlineStr">
        <is>
          <t>Health Care Equipment &amp; Services</t>
        </is>
      </c>
      <c r="E146" t="inlineStr">
        <is>
          <t>N/A</t>
        </is>
      </c>
      <c r="F146" t="inlineStr"/>
      <c r="G146" t="inlineStr"/>
      <c r="H146" t="inlineStr">
        <is>
          <t>4.04%</t>
        </is>
      </c>
      <c r="I146" t="inlineStr">
        <is>
          <t>3.36%</t>
        </is>
      </c>
    </row>
    <row r="147">
      <c r="A147" s="2" t="n">
        <v>45966</v>
      </c>
      <c r="B147" t="inlineStr">
        <is>
          <t>HE3B2</t>
        </is>
      </c>
      <c r="C147" t="inlineStr">
        <is>
          <t>GICS_INDUSTRY_NAME</t>
        </is>
      </c>
      <c r="D147" t="inlineStr">
        <is>
          <t>Financial Services</t>
        </is>
      </c>
      <c r="E147" t="inlineStr">
        <is>
          <t>N/A</t>
        </is>
      </c>
      <c r="F147" t="inlineStr"/>
      <c r="G147" t="inlineStr"/>
      <c r="H147" t="inlineStr">
        <is>
          <t>3.34%</t>
        </is>
      </c>
      <c r="I147" t="inlineStr">
        <is>
          <t>5.03%</t>
        </is>
      </c>
    </row>
    <row r="148">
      <c r="A148" s="2" t="n">
        <v>45966</v>
      </c>
      <c r="B148" t="inlineStr">
        <is>
          <t>HE3B2</t>
        </is>
      </c>
      <c r="C148" t="inlineStr">
        <is>
          <t>GICS_INDUSTRY_NAME</t>
        </is>
      </c>
      <c r="D148" t="inlineStr">
        <is>
          <t>Aerospace &amp; Defense</t>
        </is>
      </c>
      <c r="E148" t="inlineStr">
        <is>
          <t>N/A</t>
        </is>
      </c>
      <c r="F148" t="inlineStr"/>
      <c r="G148" t="inlineStr"/>
      <c r="H148" t="inlineStr">
        <is>
          <t>3.09%</t>
        </is>
      </c>
      <c r="I148" t="inlineStr">
        <is>
          <t>3.09%</t>
        </is>
      </c>
    </row>
    <row r="149">
      <c r="A149" s="2" t="n">
        <v>45966</v>
      </c>
      <c r="B149" t="inlineStr">
        <is>
          <t>HE3B2</t>
        </is>
      </c>
      <c r="C149" t="inlineStr">
        <is>
          <t>GICS_INDUSTRY_GROUP_NAME</t>
        </is>
      </c>
      <c r="D149" t="inlineStr">
        <is>
          <t>Energy</t>
        </is>
      </c>
      <c r="E149" t="inlineStr">
        <is>
          <t>N/A</t>
        </is>
      </c>
      <c r="F149" t="inlineStr"/>
      <c r="G149" t="inlineStr"/>
      <c r="H149" t="inlineStr">
        <is>
          <t>2.79%</t>
        </is>
      </c>
      <c r="I149" t="inlineStr">
        <is>
          <t>2.79%</t>
        </is>
      </c>
    </row>
    <row r="150">
      <c r="A150" s="2" t="n">
        <v>45966</v>
      </c>
      <c r="B150" t="inlineStr">
        <is>
          <t>HE3B2</t>
        </is>
      </c>
      <c r="C150" t="inlineStr">
        <is>
          <t>GICS_INDUSTRY_NAME</t>
        </is>
      </c>
      <c r="D150" t="inlineStr">
        <is>
          <t>Oil, Gas &amp; Consumable Fuels</t>
        </is>
      </c>
      <c r="E150" t="inlineStr">
        <is>
          <t>N/A</t>
        </is>
      </c>
      <c r="F150" t="inlineStr"/>
      <c r="G150" t="inlineStr"/>
      <c r="H150" t="inlineStr">
        <is>
          <t>2.79%</t>
        </is>
      </c>
      <c r="I150" t="inlineStr">
        <is>
          <t>2.79%</t>
        </is>
      </c>
    </row>
    <row r="151">
      <c r="A151" s="2" t="n">
        <v>45966</v>
      </c>
      <c r="B151" t="inlineStr">
        <is>
          <t>HE3B2</t>
        </is>
      </c>
      <c r="C151" t="inlineStr">
        <is>
          <t>GICS_INDUSTRY_NAME</t>
        </is>
      </c>
      <c r="D151" t="inlineStr">
        <is>
          <t>Capital Markets</t>
        </is>
      </c>
      <c r="E151" t="inlineStr">
        <is>
          <t>N/A</t>
        </is>
      </c>
      <c r="F151" t="inlineStr"/>
      <c r="G151" t="inlineStr"/>
      <c r="H151" t="inlineStr">
        <is>
          <t>2.68%</t>
        </is>
      </c>
      <c r="I151" t="inlineStr">
        <is>
          <t>2.28%</t>
        </is>
      </c>
    </row>
    <row r="152">
      <c r="A152" s="2" t="n">
        <v>45966</v>
      </c>
      <c r="B152" t="inlineStr">
        <is>
          <t>HE3B2</t>
        </is>
      </c>
      <c r="C152" t="inlineStr">
        <is>
          <t>GICS_INDUSTRY_GROUP_NAME</t>
        </is>
      </c>
      <c r="D152" t="inlineStr">
        <is>
          <t>Automobiles &amp; Components</t>
        </is>
      </c>
      <c r="E152" t="inlineStr">
        <is>
          <t>N/A</t>
        </is>
      </c>
      <c r="F152" t="inlineStr"/>
      <c r="G152" t="inlineStr"/>
      <c r="H152" t="inlineStr">
        <is>
          <t>2.45%</t>
        </is>
      </c>
      <c r="I152" t="inlineStr">
        <is>
          <t>2.45%</t>
        </is>
      </c>
    </row>
    <row r="153">
      <c r="A153" s="2" t="n">
        <v>45966</v>
      </c>
      <c r="B153" t="inlineStr">
        <is>
          <t>HE3B2</t>
        </is>
      </c>
      <c r="C153" t="inlineStr">
        <is>
          <t>GICS_INDUSTRY_NAME</t>
        </is>
      </c>
      <c r="D153" t="inlineStr">
        <is>
          <t>Automobiles</t>
        </is>
      </c>
      <c r="E153" t="inlineStr">
        <is>
          <t>N/A</t>
        </is>
      </c>
      <c r="F153" t="inlineStr"/>
      <c r="G153" t="inlineStr"/>
      <c r="H153" t="inlineStr">
        <is>
          <t>2.45%</t>
        </is>
      </c>
      <c r="I153" t="inlineStr">
        <is>
          <t>2.45%</t>
        </is>
      </c>
    </row>
    <row r="154">
      <c r="A154" s="2" t="n">
        <v>45966</v>
      </c>
      <c r="B154" t="inlineStr">
        <is>
          <t>HE3B2</t>
        </is>
      </c>
      <c r="C154" t="inlineStr">
        <is>
          <t>GICS_INDUSTRY_NAME</t>
        </is>
      </c>
      <c r="D154" t="inlineStr">
        <is>
          <t>Pharmaceuticals</t>
        </is>
      </c>
      <c r="E154" t="inlineStr">
        <is>
          <t>N/A</t>
        </is>
      </c>
      <c r="F154" t="inlineStr"/>
      <c r="G154" t="inlineStr"/>
      <c r="H154" t="inlineStr">
        <is>
          <t>2.27%</t>
        </is>
      </c>
      <c r="I154" t="inlineStr">
        <is>
          <t>3.42%</t>
        </is>
      </c>
    </row>
    <row r="155">
      <c r="A155" s="2" t="n">
        <v>45966</v>
      </c>
      <c r="B155" t="inlineStr">
        <is>
          <t>HE3B2</t>
        </is>
      </c>
      <c r="C155" t="inlineStr">
        <is>
          <t>GICS_INDUSTRY_GROUP_NAME</t>
        </is>
      </c>
      <c r="D155" t="inlineStr">
        <is>
          <t>Utilities</t>
        </is>
      </c>
      <c r="E155" t="inlineStr">
        <is>
          <t>N/A</t>
        </is>
      </c>
      <c r="F155" t="inlineStr"/>
      <c r="G155" t="inlineStr"/>
      <c r="H155" t="inlineStr">
        <is>
          <t>2.26%</t>
        </is>
      </c>
      <c r="I155" t="inlineStr">
        <is>
          <t>2.26%</t>
        </is>
      </c>
    </row>
    <row r="156">
      <c r="A156" s="2" t="n">
        <v>45966</v>
      </c>
      <c r="B156" t="inlineStr">
        <is>
          <t>HE3B2</t>
        </is>
      </c>
      <c r="C156" t="inlineStr">
        <is>
          <t>GICS_INDUSTRY_NAME</t>
        </is>
      </c>
      <c r="D156" t="inlineStr">
        <is>
          <t>Electric Utilities</t>
        </is>
      </c>
      <c r="E156" t="inlineStr">
        <is>
          <t>N/A</t>
        </is>
      </c>
      <c r="F156" t="inlineStr"/>
      <c r="G156" t="inlineStr"/>
      <c r="H156" t="inlineStr">
        <is>
          <t>2.26%</t>
        </is>
      </c>
      <c r="I156" t="inlineStr">
        <is>
          <t>2.26%</t>
        </is>
      </c>
    </row>
    <row r="157">
      <c r="A157" s="2" t="n">
        <v>45966</v>
      </c>
      <c r="B157" t="inlineStr">
        <is>
          <t>HE3B2</t>
        </is>
      </c>
      <c r="C157" t="inlineStr">
        <is>
          <t>GICS_INDUSTRY_GROUP_NAME</t>
        </is>
      </c>
      <c r="D157" t="inlineStr">
        <is>
          <t>Insurance</t>
        </is>
      </c>
      <c r="E157" t="inlineStr">
        <is>
          <t>N/A</t>
        </is>
      </c>
      <c r="F157" t="inlineStr"/>
      <c r="G157" t="inlineStr"/>
      <c r="H157" t="inlineStr">
        <is>
          <t>2.17%</t>
        </is>
      </c>
      <c r="I157" t="inlineStr">
        <is>
          <t>1.79%</t>
        </is>
      </c>
    </row>
    <row r="158">
      <c r="A158" s="2" t="n">
        <v>45966</v>
      </c>
      <c r="B158" t="inlineStr">
        <is>
          <t>HE3B2</t>
        </is>
      </c>
      <c r="C158" t="inlineStr">
        <is>
          <t>GICS_INDUSTRY_NAME</t>
        </is>
      </c>
      <c r="D158" t="inlineStr">
        <is>
          <t>Insurance</t>
        </is>
      </c>
      <c r="E158" t="inlineStr">
        <is>
          <t>N/A</t>
        </is>
      </c>
      <c r="F158" t="inlineStr"/>
      <c r="G158" t="inlineStr"/>
      <c r="H158" t="inlineStr">
        <is>
          <t>2.17%</t>
        </is>
      </c>
      <c r="I158" t="inlineStr">
        <is>
          <t>1.79%</t>
        </is>
      </c>
    </row>
    <row r="159">
      <c r="A159" s="2" t="n">
        <v>45966</v>
      </c>
      <c r="B159" t="inlineStr">
        <is>
          <t>HE3B2</t>
        </is>
      </c>
      <c r="C159" t="inlineStr">
        <is>
          <t>GICS_INDUSTRY_GROUP_NAME</t>
        </is>
      </c>
      <c r="D159" t="inlineStr">
        <is>
          <t>Food, Beverage &amp; Tobacco</t>
        </is>
      </c>
      <c r="E159" t="inlineStr">
        <is>
          <t>N/A</t>
        </is>
      </c>
      <c r="F159" t="inlineStr"/>
      <c r="G159" t="inlineStr"/>
      <c r="H159" t="inlineStr">
        <is>
          <t>2.15%</t>
        </is>
      </c>
      <c r="I159" t="inlineStr">
        <is>
          <t>2.15%</t>
        </is>
      </c>
    </row>
    <row r="160">
      <c r="A160" s="2" t="n">
        <v>45966</v>
      </c>
      <c r="B160" t="inlineStr">
        <is>
          <t>HE3B2</t>
        </is>
      </c>
      <c r="C160" t="inlineStr">
        <is>
          <t>GICS_INDUSTRY_NAME</t>
        </is>
      </c>
      <c r="D160" t="inlineStr">
        <is>
          <t>Health Care Equipment &amp; Supplies</t>
        </is>
      </c>
      <c r="E160" t="inlineStr">
        <is>
          <t>N/A</t>
        </is>
      </c>
      <c r="F160" t="inlineStr"/>
      <c r="G160" t="inlineStr"/>
      <c r="H160" t="inlineStr">
        <is>
          <t>2.13%</t>
        </is>
      </c>
      <c r="I160" t="inlineStr">
        <is>
          <t>1.77%</t>
        </is>
      </c>
    </row>
    <row r="161">
      <c r="A161" s="2" t="n">
        <v>45966</v>
      </c>
      <c r="B161" t="inlineStr">
        <is>
          <t>HE3B2</t>
        </is>
      </c>
      <c r="C161" t="inlineStr">
        <is>
          <t>GICS_INDUSTRY_NAME</t>
        </is>
      </c>
      <c r="D161" t="inlineStr">
        <is>
          <t>Communications Equipment</t>
        </is>
      </c>
      <c r="E161" t="inlineStr">
        <is>
          <t>N/A</t>
        </is>
      </c>
      <c r="F161" t="inlineStr"/>
      <c r="G161" t="inlineStr"/>
      <c r="H161" t="inlineStr">
        <is>
          <t>2.02%</t>
        </is>
      </c>
      <c r="I161" t="inlineStr">
        <is>
          <t>2.01%</t>
        </is>
      </c>
    </row>
    <row r="162">
      <c r="A162" s="2" t="n">
        <v>45966</v>
      </c>
      <c r="B162" t="inlineStr">
        <is>
          <t>HE3B2</t>
        </is>
      </c>
      <c r="C162" t="inlineStr">
        <is>
          <t>GICS_INDUSTRY_NAME</t>
        </is>
      </c>
      <c r="D162" t="inlineStr">
        <is>
          <t>Health Care Providers &amp; Services</t>
        </is>
      </c>
      <c r="E162" t="inlineStr">
        <is>
          <t>N/A</t>
        </is>
      </c>
      <c r="F162" t="inlineStr"/>
      <c r="G162" t="inlineStr"/>
      <c r="H162" t="inlineStr">
        <is>
          <t>1.91%</t>
        </is>
      </c>
      <c r="I162" t="inlineStr">
        <is>
          <t>1.59%</t>
        </is>
      </c>
    </row>
    <row r="163">
      <c r="A163" s="2" t="n">
        <v>45966</v>
      </c>
      <c r="B163" t="inlineStr">
        <is>
          <t>HE3B2</t>
        </is>
      </c>
      <c r="C163" t="inlineStr">
        <is>
          <t>GICS_INDUSTRY_NAME</t>
        </is>
      </c>
      <c r="D163" t="inlineStr">
        <is>
          <t>Biotechnology</t>
        </is>
      </c>
      <c r="E163" t="inlineStr">
        <is>
          <t>N/A</t>
        </is>
      </c>
      <c r="F163" t="inlineStr"/>
      <c r="G163" t="inlineStr"/>
      <c r="H163" t="inlineStr">
        <is>
          <t>1.79%</t>
        </is>
      </c>
      <c r="I163" t="inlineStr">
        <is>
          <t>1.49%</t>
        </is>
      </c>
    </row>
    <row r="164">
      <c r="A164" s="2" t="n">
        <v>45966</v>
      </c>
      <c r="B164" t="inlineStr">
        <is>
          <t>HE3B2</t>
        </is>
      </c>
      <c r="C164" t="inlineStr">
        <is>
          <t>GICS_INDUSTRY_GROUP_NAME</t>
        </is>
      </c>
      <c r="D164" t="inlineStr">
        <is>
          <t>Consumer Staples Distribution &amp; Retail</t>
        </is>
      </c>
      <c r="E164" t="inlineStr">
        <is>
          <t>N/A</t>
        </is>
      </c>
      <c r="F164" t="inlineStr"/>
      <c r="G164" t="inlineStr"/>
      <c r="H164" t="inlineStr">
        <is>
          <t>1.74%</t>
        </is>
      </c>
      <c r="I164" t="inlineStr">
        <is>
          <t>1.75%</t>
        </is>
      </c>
    </row>
    <row r="165">
      <c r="A165" s="2" t="n">
        <v>45966</v>
      </c>
      <c r="B165" t="inlineStr">
        <is>
          <t>HE3B2</t>
        </is>
      </c>
      <c r="C165" t="inlineStr">
        <is>
          <t>GICS_INDUSTRY_NAME</t>
        </is>
      </c>
      <c r="D165" t="inlineStr">
        <is>
          <t>Consumer Staples Distribution &amp; Retail</t>
        </is>
      </c>
      <c r="E165" t="inlineStr">
        <is>
          <t>N/A</t>
        </is>
      </c>
      <c r="F165" t="inlineStr"/>
      <c r="G165" t="inlineStr"/>
      <c r="H165" t="inlineStr">
        <is>
          <t>1.74%</t>
        </is>
      </c>
      <c r="I165" t="inlineStr">
        <is>
          <t>1.75%</t>
        </is>
      </c>
    </row>
    <row r="166">
      <c r="A166" s="2" t="n">
        <v>45966</v>
      </c>
      <c r="B166" t="inlineStr">
        <is>
          <t>HE3B2</t>
        </is>
      </c>
      <c r="C166" t="inlineStr">
        <is>
          <t>GICS_INDUSTRY_GROUP_NAME</t>
        </is>
      </c>
      <c r="D166" t="inlineStr">
        <is>
          <t>Materials</t>
        </is>
      </c>
      <c r="E166" t="inlineStr">
        <is>
          <t>N/A</t>
        </is>
      </c>
      <c r="F166" t="inlineStr"/>
      <c r="G166" t="inlineStr"/>
      <c r="H166" t="inlineStr">
        <is>
          <t>1.68%</t>
        </is>
      </c>
      <c r="I166" t="inlineStr">
        <is>
          <t>1.68%</t>
        </is>
      </c>
    </row>
    <row r="167">
      <c r="A167" s="2" t="n">
        <v>45966</v>
      </c>
      <c r="B167" t="inlineStr">
        <is>
          <t>HE3B2</t>
        </is>
      </c>
      <c r="C167" t="inlineStr">
        <is>
          <t>GICS_INDUSTRY_NAME</t>
        </is>
      </c>
      <c r="D167" t="inlineStr">
        <is>
          <t>Chemicals</t>
        </is>
      </c>
      <c r="E167" t="inlineStr">
        <is>
          <t>N/A</t>
        </is>
      </c>
      <c r="F167" t="inlineStr"/>
      <c r="G167" t="inlineStr"/>
      <c r="H167" t="inlineStr">
        <is>
          <t>1.68%</t>
        </is>
      </c>
      <c r="I167" t="inlineStr">
        <is>
          <t>1.68%</t>
        </is>
      </c>
    </row>
    <row r="168">
      <c r="A168" s="2" t="n">
        <v>45966</v>
      </c>
      <c r="B168" t="inlineStr">
        <is>
          <t>HE3B2</t>
        </is>
      </c>
      <c r="C168" t="inlineStr">
        <is>
          <t>GICS_INDUSTRY_GROUP_NAME</t>
        </is>
      </c>
      <c r="D168" t="inlineStr">
        <is>
          <t>Consumer Services</t>
        </is>
      </c>
      <c r="E168" t="inlineStr">
        <is>
          <t>N/A</t>
        </is>
      </c>
      <c r="F168" t="inlineStr"/>
      <c r="G168" t="inlineStr"/>
      <c r="H168" t="inlineStr">
        <is>
          <t>1.67%</t>
        </is>
      </c>
      <c r="I168" t="inlineStr">
        <is>
          <t>1.67%</t>
        </is>
      </c>
    </row>
    <row r="169">
      <c r="A169" s="2" t="n">
        <v>45966</v>
      </c>
      <c r="B169" t="inlineStr">
        <is>
          <t>HE3B2</t>
        </is>
      </c>
      <c r="C169" t="inlineStr">
        <is>
          <t>GICS_INDUSTRY_NAME</t>
        </is>
      </c>
      <c r="D169" t="inlineStr">
        <is>
          <t>Hotels, Restaurants &amp; Leisure</t>
        </is>
      </c>
      <c r="E169" t="inlineStr">
        <is>
          <t>N/A</t>
        </is>
      </c>
      <c r="F169" t="inlineStr"/>
      <c r="G169" t="inlineStr"/>
      <c r="H169" t="inlineStr">
        <is>
          <t>1.67%</t>
        </is>
      </c>
      <c r="I169" t="inlineStr">
        <is>
          <t>1.67%</t>
        </is>
      </c>
    </row>
    <row r="170">
      <c r="A170" s="2" t="n">
        <v>45966</v>
      </c>
      <c r="B170" t="inlineStr">
        <is>
          <t>HE3B2</t>
        </is>
      </c>
      <c r="C170" t="inlineStr">
        <is>
          <t>GICS_INDUSTRY_NAME</t>
        </is>
      </c>
      <c r="D170" t="inlineStr">
        <is>
          <t>Machinery</t>
        </is>
      </c>
      <c r="E170" t="inlineStr">
        <is>
          <t>N/A</t>
        </is>
      </c>
      <c r="F170" t="inlineStr"/>
      <c r="G170" t="inlineStr"/>
      <c r="H170" t="inlineStr">
        <is>
          <t>1.51%</t>
        </is>
      </c>
      <c r="I170" t="inlineStr">
        <is>
          <t>1.51%</t>
        </is>
      </c>
    </row>
    <row r="171">
      <c r="A171" s="2" t="n">
        <v>45966</v>
      </c>
      <c r="B171" t="inlineStr">
        <is>
          <t>HE3B2</t>
        </is>
      </c>
      <c r="C171" t="inlineStr">
        <is>
          <t>GICS_INDUSTRY_GROUP_NAME</t>
        </is>
      </c>
      <c r="D171" t="inlineStr">
        <is>
          <t>Equity Real Estate Investment Trusts</t>
        </is>
      </c>
      <c r="E171" t="inlineStr">
        <is>
          <t>N/A</t>
        </is>
      </c>
      <c r="F171" t="inlineStr"/>
      <c r="G171" t="inlineStr"/>
      <c r="H171" t="inlineStr">
        <is>
          <t>1.44%</t>
        </is>
      </c>
      <c r="I171" t="inlineStr">
        <is>
          <t>1.44%</t>
        </is>
      </c>
    </row>
    <row r="172">
      <c r="A172" s="2" t="n">
        <v>45966</v>
      </c>
      <c r="B172" t="inlineStr">
        <is>
          <t>HE3B2</t>
        </is>
      </c>
      <c r="C172" t="inlineStr">
        <is>
          <t>GICS_INDUSTRY_NAME</t>
        </is>
      </c>
      <c r="D172" t="inlineStr">
        <is>
          <t>Specialized REITs</t>
        </is>
      </c>
      <c r="E172" t="inlineStr">
        <is>
          <t>N/A</t>
        </is>
      </c>
      <c r="F172" t="inlineStr"/>
      <c r="G172" t="inlineStr"/>
      <c r="H172" t="inlineStr">
        <is>
          <t>1.44%</t>
        </is>
      </c>
      <c r="I172" t="inlineStr">
        <is>
          <t>1.44%</t>
        </is>
      </c>
    </row>
    <row r="173">
      <c r="A173" s="2" t="n">
        <v>45966</v>
      </c>
      <c r="B173" t="inlineStr">
        <is>
          <t>HE3B2</t>
        </is>
      </c>
      <c r="C173" t="inlineStr">
        <is>
          <t>GICS_INDUSTRY_GROUP_NAME</t>
        </is>
      </c>
      <c r="D173" t="inlineStr">
        <is>
          <t>Transportation</t>
        </is>
      </c>
      <c r="E173" t="inlineStr">
        <is>
          <t>N/A</t>
        </is>
      </c>
      <c r="F173" t="inlineStr"/>
      <c r="G173" t="inlineStr"/>
      <c r="H173" t="inlineStr">
        <is>
          <t>1.32%</t>
        </is>
      </c>
      <c r="I173" t="inlineStr">
        <is>
          <t>1.32%</t>
        </is>
      </c>
    </row>
    <row r="174">
      <c r="A174" s="2" t="n">
        <v>45966</v>
      </c>
      <c r="B174" t="inlineStr">
        <is>
          <t>HE3B2</t>
        </is>
      </c>
      <c r="C174" t="inlineStr">
        <is>
          <t>GICS_INDUSTRY_NAME</t>
        </is>
      </c>
      <c r="D174" t="inlineStr">
        <is>
          <t>Specialty Retail</t>
        </is>
      </c>
      <c r="E174" t="inlineStr">
        <is>
          <t>N/A</t>
        </is>
      </c>
      <c r="F174" t="inlineStr"/>
      <c r="G174" t="inlineStr"/>
      <c r="H174" t="inlineStr">
        <is>
          <t>1.28%</t>
        </is>
      </c>
      <c r="I174" t="inlineStr">
        <is>
          <t>1.28%</t>
        </is>
      </c>
    </row>
    <row r="175">
      <c r="A175" s="2" t="n">
        <v>45966</v>
      </c>
      <c r="B175" t="inlineStr">
        <is>
          <t>HE3B2</t>
        </is>
      </c>
      <c r="C175" t="inlineStr">
        <is>
          <t>GICS_INDUSTRY_NAME</t>
        </is>
      </c>
      <c r="D175" t="inlineStr">
        <is>
          <t>Entertainment</t>
        </is>
      </c>
      <c r="E175" t="inlineStr">
        <is>
          <t>N/A</t>
        </is>
      </c>
      <c r="F175" t="inlineStr"/>
      <c r="G175" t="inlineStr"/>
      <c r="H175" t="inlineStr">
        <is>
          <t>1.22%</t>
        </is>
      </c>
      <c r="I175" t="inlineStr">
        <is>
          <t>1.22%</t>
        </is>
      </c>
    </row>
    <row r="176">
      <c r="A176" s="2" t="n">
        <v>45966</v>
      </c>
      <c r="B176" t="inlineStr">
        <is>
          <t>HE3B2</t>
        </is>
      </c>
      <c r="C176" t="inlineStr">
        <is>
          <t>GICS_INDUSTRY_NAME</t>
        </is>
      </c>
      <c r="D176" t="inlineStr">
        <is>
          <t>IT Services</t>
        </is>
      </c>
      <c r="E176" t="inlineStr">
        <is>
          <t>N/A</t>
        </is>
      </c>
      <c r="F176" t="inlineStr"/>
      <c r="G176" t="inlineStr"/>
      <c r="H176" t="inlineStr">
        <is>
          <t>1.21%</t>
        </is>
      </c>
      <c r="I176" t="inlineStr">
        <is>
          <t>1.13%</t>
        </is>
      </c>
    </row>
    <row r="177">
      <c r="A177" s="2" t="n">
        <v>45966</v>
      </c>
      <c r="B177" t="inlineStr">
        <is>
          <t>HE3B2</t>
        </is>
      </c>
      <c r="C177" t="inlineStr">
        <is>
          <t>GICS_INDUSTRY_NAME</t>
        </is>
      </c>
      <c r="D177" t="inlineStr">
        <is>
          <t>Beverages</t>
        </is>
      </c>
      <c r="E177" t="inlineStr">
        <is>
          <t>N/A</t>
        </is>
      </c>
      <c r="F177" t="inlineStr"/>
      <c r="G177" t="inlineStr"/>
      <c r="H177" t="inlineStr">
        <is>
          <t>1.15%</t>
        </is>
      </c>
      <c r="I177" t="inlineStr">
        <is>
          <t>1.15%</t>
        </is>
      </c>
    </row>
    <row r="178">
      <c r="A178" s="2" t="n">
        <v>45966</v>
      </c>
      <c r="B178" t="inlineStr">
        <is>
          <t>HE3B2</t>
        </is>
      </c>
      <c r="C178" t="inlineStr">
        <is>
          <t>GICS_INDUSTRY_GROUP_NAME</t>
        </is>
      </c>
      <c r="D178" t="inlineStr">
        <is>
          <t>Commercial &amp; Professional Services</t>
        </is>
      </c>
      <c r="E178" t="inlineStr">
        <is>
          <t>N/A</t>
        </is>
      </c>
      <c r="F178" t="inlineStr"/>
      <c r="G178" t="inlineStr"/>
      <c r="H178" t="inlineStr">
        <is>
          <t>0.99%</t>
        </is>
      </c>
      <c r="I178" t="inlineStr">
        <is>
          <t>0.99%</t>
        </is>
      </c>
    </row>
    <row r="179">
      <c r="A179" s="2" t="n">
        <v>45966</v>
      </c>
      <c r="B179" t="inlineStr">
        <is>
          <t>HE3B2</t>
        </is>
      </c>
      <c r="C179" t="inlineStr">
        <is>
          <t>GICS_INDUSTRY_NAME</t>
        </is>
      </c>
      <c r="D179" t="inlineStr">
        <is>
          <t>Commercial Services &amp; Supplies</t>
        </is>
      </c>
      <c r="E179" t="inlineStr">
        <is>
          <t>N/A</t>
        </is>
      </c>
      <c r="F179" t="inlineStr"/>
      <c r="G179" t="inlineStr"/>
      <c r="H179" t="inlineStr">
        <is>
          <t>0.99%</t>
        </is>
      </c>
      <c r="I179" t="inlineStr">
        <is>
          <t>0.99%</t>
        </is>
      </c>
    </row>
    <row r="180">
      <c r="A180" s="2" t="n">
        <v>45966</v>
      </c>
      <c r="B180" t="inlineStr">
        <is>
          <t>HE3B2</t>
        </is>
      </c>
      <c r="C180" t="inlineStr">
        <is>
          <t>GICS_INDUSTRY_NAME</t>
        </is>
      </c>
      <c r="D180" t="inlineStr">
        <is>
          <t>Ground Transportation</t>
        </is>
      </c>
      <c r="E180" t="inlineStr">
        <is>
          <t>N/A</t>
        </is>
      </c>
      <c r="F180" t="inlineStr"/>
      <c r="G180" t="inlineStr"/>
      <c r="H180" t="inlineStr">
        <is>
          <t>0.95%</t>
        </is>
      </c>
      <c r="I180" t="inlineStr">
        <is>
          <t>0.95%</t>
        </is>
      </c>
    </row>
    <row r="181">
      <c r="A181" s="2" t="n">
        <v>45966</v>
      </c>
      <c r="B181" t="inlineStr">
        <is>
          <t>HE3B2</t>
        </is>
      </c>
      <c r="C181" t="inlineStr">
        <is>
          <t>GICS_INDUSTRY_GROUP_NAME</t>
        </is>
      </c>
      <c r="D181" t="inlineStr">
        <is>
          <t>Household &amp; Personal Products</t>
        </is>
      </c>
      <c r="E181" t="inlineStr">
        <is>
          <t>N/A</t>
        </is>
      </c>
      <c r="F181" t="inlineStr"/>
      <c r="G181" t="inlineStr"/>
      <c r="H181" t="inlineStr">
        <is>
          <t>0.92%</t>
        </is>
      </c>
      <c r="I181" t="inlineStr">
        <is>
          <t>0.92%</t>
        </is>
      </c>
    </row>
    <row r="182">
      <c r="A182" s="2" t="n">
        <v>45966</v>
      </c>
      <c r="B182" t="inlineStr">
        <is>
          <t>HE3B2</t>
        </is>
      </c>
      <c r="C182" t="inlineStr">
        <is>
          <t>GICS_INDUSTRY_NAME</t>
        </is>
      </c>
      <c r="D182" t="inlineStr">
        <is>
          <t>Household Products</t>
        </is>
      </c>
      <c r="E182" t="inlineStr">
        <is>
          <t>N/A</t>
        </is>
      </c>
      <c r="F182" t="inlineStr"/>
      <c r="G182" t="inlineStr"/>
      <c r="H182" t="inlineStr">
        <is>
          <t>0.92%</t>
        </is>
      </c>
      <c r="I182" t="inlineStr">
        <is>
          <t>0.92%</t>
        </is>
      </c>
    </row>
    <row r="183">
      <c r="A183" s="2" t="n">
        <v>45966</v>
      </c>
      <c r="B183" t="inlineStr">
        <is>
          <t>HE3B2</t>
        </is>
      </c>
      <c r="C183" t="inlineStr">
        <is>
          <t>GICS_INDUSTRY_NAME</t>
        </is>
      </c>
      <c r="D183" t="inlineStr">
        <is>
          <t>Life Sciences Tools &amp; Services</t>
        </is>
      </c>
      <c r="E183" t="inlineStr">
        <is>
          <t>N/A</t>
        </is>
      </c>
      <c r="F183" t="inlineStr"/>
      <c r="G183" t="inlineStr"/>
      <c r="H183" t="inlineStr">
        <is>
          <t>0.90%</t>
        </is>
      </c>
      <c r="I183" t="inlineStr">
        <is>
          <t>0.74%</t>
        </is>
      </c>
    </row>
    <row r="184">
      <c r="A184" s="2" t="n">
        <v>45966</v>
      </c>
      <c r="B184" t="inlineStr">
        <is>
          <t>HE3B2</t>
        </is>
      </c>
      <c r="C184" t="inlineStr">
        <is>
          <t>GICS_INDUSTRY_NAME</t>
        </is>
      </c>
      <c r="D184" t="inlineStr">
        <is>
          <t>Electrical Equipment</t>
        </is>
      </c>
      <c r="E184" t="inlineStr">
        <is>
          <t>N/A</t>
        </is>
      </c>
      <c r="F184" t="inlineStr"/>
      <c r="G184" t="inlineStr"/>
      <c r="H184" t="inlineStr">
        <is>
          <t>0.87%</t>
        </is>
      </c>
      <c r="I184" t="inlineStr">
        <is>
          <t>0.87%</t>
        </is>
      </c>
    </row>
    <row r="185">
      <c r="A185" s="2" t="n">
        <v>45966</v>
      </c>
      <c r="B185" t="inlineStr">
        <is>
          <t>HE3B2</t>
        </is>
      </c>
      <c r="C185" t="inlineStr">
        <is>
          <t>GICS_INDUSTRY_NAME</t>
        </is>
      </c>
      <c r="D185" t="inlineStr">
        <is>
          <t>Industrial Conglomerates</t>
        </is>
      </c>
      <c r="E185" t="inlineStr">
        <is>
          <t>N/A</t>
        </is>
      </c>
      <c r="F185" t="inlineStr"/>
      <c r="G185" t="inlineStr"/>
      <c r="H185" t="inlineStr">
        <is>
          <t>0.83%</t>
        </is>
      </c>
      <c r="I185" t="inlineStr">
        <is>
          <t>0.83%</t>
        </is>
      </c>
    </row>
    <row r="186">
      <c r="A186" s="2" t="n">
        <v>45966</v>
      </c>
      <c r="B186" t="inlineStr">
        <is>
          <t>HE3B2</t>
        </is>
      </c>
      <c r="C186" t="inlineStr">
        <is>
          <t>GICS_INDUSTRY_NAME</t>
        </is>
      </c>
      <c r="D186" t="inlineStr">
        <is>
          <t>Tobacco</t>
        </is>
      </c>
      <c r="E186" t="inlineStr">
        <is>
          <t>N/A</t>
        </is>
      </c>
      <c r="F186" t="inlineStr"/>
      <c r="G186" t="inlineStr"/>
      <c r="H186" t="inlineStr">
        <is>
          <t>0.82%</t>
        </is>
      </c>
      <c r="I186" t="inlineStr">
        <is>
          <t>0.81%</t>
        </is>
      </c>
    </row>
    <row r="187">
      <c r="A187" s="2" t="n">
        <v>45966</v>
      </c>
      <c r="B187" t="inlineStr">
        <is>
          <t>HE3B2</t>
        </is>
      </c>
      <c r="C187" t="inlineStr">
        <is>
          <t>GICS_INDUSTRY_GROUP_NAME</t>
        </is>
      </c>
      <c r="D187" t="inlineStr">
        <is>
          <t>Telecommunication Services</t>
        </is>
      </c>
      <c r="E187" t="inlineStr">
        <is>
          <t>N/A</t>
        </is>
      </c>
      <c r="F187" t="inlineStr"/>
      <c r="G187" t="inlineStr"/>
      <c r="H187" t="inlineStr">
        <is>
          <t>0.79%</t>
        </is>
      </c>
      <c r="I187" t="inlineStr">
        <is>
          <t>0.79%</t>
        </is>
      </c>
    </row>
    <row r="188">
      <c r="A188" s="2" t="n">
        <v>45966</v>
      </c>
      <c r="B188" t="inlineStr">
        <is>
          <t>HE3B2</t>
        </is>
      </c>
      <c r="C188" t="inlineStr">
        <is>
          <t>GICS_INDUSTRY_NAME</t>
        </is>
      </c>
      <c r="D188" t="inlineStr">
        <is>
          <t>Diversified Telecommunication Services</t>
        </is>
      </c>
      <c r="E188" t="inlineStr">
        <is>
          <t>N/A</t>
        </is>
      </c>
      <c r="F188" t="inlineStr"/>
      <c r="G188" t="inlineStr"/>
      <c r="H188" t="inlineStr">
        <is>
          <t>0.79%</t>
        </is>
      </c>
      <c r="I188" t="inlineStr">
        <is>
          <t>0.79%</t>
        </is>
      </c>
    </row>
    <row r="189">
      <c r="A189" s="2" t="n">
        <v>45966</v>
      </c>
      <c r="B189" t="inlineStr">
        <is>
          <t>HE3B2</t>
        </is>
      </c>
      <c r="C189" t="inlineStr">
        <is>
          <t>GICS_INDUSTRY_NAME</t>
        </is>
      </c>
      <c r="D189" t="inlineStr">
        <is>
          <t>Consumer Finance</t>
        </is>
      </c>
      <c r="E189" t="inlineStr">
        <is>
          <t>N/A</t>
        </is>
      </c>
      <c r="F189" t="inlineStr"/>
      <c r="G189" t="inlineStr"/>
      <c r="H189" t="inlineStr">
        <is>
          <t>0.62%</t>
        </is>
      </c>
      <c r="I189" t="inlineStr">
        <is>
          <t>0.51%</t>
        </is>
      </c>
    </row>
    <row r="190">
      <c r="A190" s="2" t="n">
        <v>45966</v>
      </c>
      <c r="B190" t="inlineStr">
        <is>
          <t>HE3B2</t>
        </is>
      </c>
      <c r="C190" t="inlineStr">
        <is>
          <t>GICS_INDUSTRY_GROUP_NAME</t>
        </is>
      </c>
      <c r="D190" t="inlineStr">
        <is>
          <t>Consumer Durables &amp; Apparel</t>
        </is>
      </c>
      <c r="E190" t="inlineStr">
        <is>
          <t>N/A</t>
        </is>
      </c>
      <c r="F190" t="inlineStr"/>
      <c r="G190" t="inlineStr"/>
      <c r="H190" t="inlineStr">
        <is>
          <t>0.51%</t>
        </is>
      </c>
      <c r="I190" t="inlineStr">
        <is>
          <t>0.51%</t>
        </is>
      </c>
    </row>
    <row r="191">
      <c r="A191" s="2" t="n">
        <v>45966</v>
      </c>
      <c r="B191" t="inlineStr">
        <is>
          <t>HE3B2</t>
        </is>
      </c>
      <c r="C191" t="inlineStr">
        <is>
          <t>GICS_INDUSTRY_NAME</t>
        </is>
      </c>
      <c r="D191" t="inlineStr">
        <is>
          <t>Textiles, Apparel &amp; Luxury Goods</t>
        </is>
      </c>
      <c r="E191" t="inlineStr">
        <is>
          <t>N/A</t>
        </is>
      </c>
      <c r="F191" t="inlineStr"/>
      <c r="G191" t="inlineStr"/>
      <c r="H191" t="inlineStr">
        <is>
          <t>0.51%</t>
        </is>
      </c>
      <c r="I191" t="inlineStr">
        <is>
          <t>0.51%</t>
        </is>
      </c>
    </row>
    <row r="192">
      <c r="A192" s="2" t="n">
        <v>45966</v>
      </c>
      <c r="B192" t="inlineStr">
        <is>
          <t>HE3B2</t>
        </is>
      </c>
      <c r="C192" t="inlineStr">
        <is>
          <t>GICS_INDUSTRY_NAME</t>
        </is>
      </c>
      <c r="D192" t="inlineStr">
        <is>
          <t>Air Freight &amp; Logistics</t>
        </is>
      </c>
      <c r="E192" t="inlineStr">
        <is>
          <t>N/A</t>
        </is>
      </c>
      <c r="F192" t="inlineStr"/>
      <c r="G192" t="inlineStr"/>
      <c r="H192" t="inlineStr">
        <is>
          <t>0.37%</t>
        </is>
      </c>
      <c r="I192" t="inlineStr">
        <is>
          <t>0.37%</t>
        </is>
      </c>
    </row>
    <row r="193">
      <c r="A193" s="2" t="n">
        <v>45966</v>
      </c>
      <c r="B193" t="inlineStr">
        <is>
          <t>HE3B2</t>
        </is>
      </c>
      <c r="C193" t="inlineStr">
        <is>
          <t>GICS_INDUSTRY_NAME</t>
        </is>
      </c>
      <c r="D193" t="inlineStr">
        <is>
          <t>Media</t>
        </is>
      </c>
      <c r="E193" t="inlineStr">
        <is>
          <t>N/A</t>
        </is>
      </c>
      <c r="F193" t="inlineStr"/>
      <c r="G193" t="inlineStr"/>
      <c r="H193" t="inlineStr">
        <is>
          <t>0.19%</t>
        </is>
      </c>
      <c r="I193" t="inlineStr">
        <is>
          <t>0.19%</t>
        </is>
      </c>
    </row>
    <row r="194">
      <c r="A194" s="2" t="n">
        <v>45966</v>
      </c>
      <c r="B194" t="inlineStr">
        <is>
          <t>HE3B2</t>
        </is>
      </c>
      <c r="C194" t="inlineStr">
        <is>
          <t>GICS_INDUSTRY_NAME</t>
        </is>
      </c>
      <c r="D194" t="inlineStr">
        <is>
          <t>Food Products</t>
        </is>
      </c>
      <c r="E194" t="inlineStr">
        <is>
          <t>N/A</t>
        </is>
      </c>
      <c r="F194" t="inlineStr"/>
      <c r="G194" t="inlineStr"/>
      <c r="H194" t="inlineStr">
        <is>
          <t>0.19%</t>
        </is>
      </c>
      <c r="I194" t="inlineStr">
        <is>
          <t>0.19%</t>
        </is>
      </c>
    </row>
    <row r="195">
      <c r="A195" s="2" t="n">
        <v>45966</v>
      </c>
      <c r="B195" t="inlineStr">
        <is>
          <t>KNG</t>
        </is>
      </c>
      <c r="C195" t="inlineStr">
        <is>
          <t>GICS_INDUSTRY_GROUP_NAME</t>
        </is>
      </c>
      <c r="D195" t="inlineStr">
        <is>
          <t>Capital Goods</t>
        </is>
      </c>
      <c r="E195" t="inlineStr">
        <is>
          <t>N/A</t>
        </is>
      </c>
      <c r="F195" t="inlineStr"/>
      <c r="G195" t="inlineStr"/>
      <c r="H195" t="inlineStr">
        <is>
          <t>16.40%</t>
        </is>
      </c>
      <c r="I195" t="inlineStr">
        <is>
          <t>0.00%</t>
        </is>
      </c>
    </row>
    <row r="196">
      <c r="A196" s="2" t="n">
        <v>45966</v>
      </c>
      <c r="B196" t="inlineStr">
        <is>
          <t>KNG</t>
        </is>
      </c>
      <c r="C196" t="inlineStr">
        <is>
          <t>GICS_INDUSTRY_GROUP_NAME</t>
        </is>
      </c>
      <c r="D196" t="inlineStr">
        <is>
          <t>Materials</t>
        </is>
      </c>
      <c r="E196" t="inlineStr">
        <is>
          <t>N/A</t>
        </is>
      </c>
      <c r="F196" t="inlineStr"/>
      <c r="G196" t="inlineStr"/>
      <c r="H196" t="inlineStr">
        <is>
          <t>11.54%</t>
        </is>
      </c>
      <c r="I196" t="inlineStr">
        <is>
          <t>0.00%</t>
        </is>
      </c>
    </row>
    <row r="197">
      <c r="A197" s="2" t="n">
        <v>45966</v>
      </c>
      <c r="B197" t="inlineStr">
        <is>
          <t>KNG</t>
        </is>
      </c>
      <c r="C197" t="inlineStr">
        <is>
          <t>GICS_INDUSTRY_GROUP_NAME</t>
        </is>
      </c>
      <c r="D197" t="inlineStr">
        <is>
          <t>Food, Beverage &amp; Tobacco</t>
        </is>
      </c>
      <c r="E197" t="inlineStr">
        <is>
          <t>N/A</t>
        </is>
      </c>
      <c r="F197" t="inlineStr"/>
      <c r="G197" t="inlineStr"/>
      <c r="H197" t="inlineStr">
        <is>
          <t>9.76%</t>
        </is>
      </c>
      <c r="I197" t="inlineStr">
        <is>
          <t>0.00%</t>
        </is>
      </c>
    </row>
    <row r="198">
      <c r="A198" s="2" t="n">
        <v>45966</v>
      </c>
      <c r="B198" t="inlineStr">
        <is>
          <t>KNG</t>
        </is>
      </c>
      <c r="C198" t="inlineStr">
        <is>
          <t>GICS_INDUSTRY_NAME</t>
        </is>
      </c>
      <c r="D198" t="inlineStr">
        <is>
          <t>Machinery</t>
        </is>
      </c>
      <c r="E198" t="inlineStr">
        <is>
          <t>N/A</t>
        </is>
      </c>
      <c r="F198" t="inlineStr"/>
      <c r="G198" t="inlineStr"/>
      <c r="H198" t="inlineStr">
        <is>
          <t>9.06%</t>
        </is>
      </c>
      <c r="I198" t="inlineStr">
        <is>
          <t>0.00%</t>
        </is>
      </c>
    </row>
    <row r="199">
      <c r="A199" s="2" t="n">
        <v>45966</v>
      </c>
      <c r="B199" t="inlineStr">
        <is>
          <t>KNG</t>
        </is>
      </c>
      <c r="C199" t="inlineStr">
        <is>
          <t>GICS_INDUSTRY_NAME</t>
        </is>
      </c>
      <c r="D199" t="inlineStr">
        <is>
          <t>Chemicals</t>
        </is>
      </c>
      <c r="E199" t="inlineStr">
        <is>
          <t>N/A</t>
        </is>
      </c>
      <c r="F199" t="inlineStr"/>
      <c r="G199" t="inlineStr"/>
      <c r="H199" t="inlineStr">
        <is>
          <t>8.50%</t>
        </is>
      </c>
      <c r="I199" t="inlineStr">
        <is>
          <t>0.00%</t>
        </is>
      </c>
    </row>
    <row r="200">
      <c r="A200" s="2" t="n">
        <v>45966</v>
      </c>
      <c r="B200" t="inlineStr">
        <is>
          <t>KNG</t>
        </is>
      </c>
      <c r="C200" t="inlineStr">
        <is>
          <t>GICS_INDUSTRY_GROUP_NAME</t>
        </is>
      </c>
      <c r="D200" t="inlineStr">
        <is>
          <t>Household &amp; Personal Products</t>
        </is>
      </c>
      <c r="E200" t="inlineStr">
        <is>
          <t>N/A</t>
        </is>
      </c>
      <c r="F200" t="inlineStr"/>
      <c r="G200" t="inlineStr"/>
      <c r="H200" t="inlineStr">
        <is>
          <t>8.45%</t>
        </is>
      </c>
      <c r="I200" t="inlineStr">
        <is>
          <t>0.00%</t>
        </is>
      </c>
    </row>
    <row r="201">
      <c r="A201" s="2" t="n">
        <v>45966</v>
      </c>
      <c r="B201" t="inlineStr">
        <is>
          <t>KNG</t>
        </is>
      </c>
      <c r="C201" t="inlineStr">
        <is>
          <t>GICS_INDUSTRY_GROUP_NAME</t>
        </is>
      </c>
      <c r="D201" t="inlineStr">
        <is>
          <t>Insurance</t>
        </is>
      </c>
      <c r="E201" t="inlineStr">
        <is>
          <t>N/A</t>
        </is>
      </c>
      <c r="F201" t="inlineStr"/>
      <c r="G201" t="inlineStr"/>
      <c r="H201" t="inlineStr">
        <is>
          <t>7.16%</t>
        </is>
      </c>
      <c r="I201" t="inlineStr">
        <is>
          <t>0.00%</t>
        </is>
      </c>
    </row>
    <row r="202">
      <c r="A202" s="2" t="n">
        <v>45966</v>
      </c>
      <c r="B202" t="inlineStr">
        <is>
          <t>KNG</t>
        </is>
      </c>
      <c r="C202" t="inlineStr">
        <is>
          <t>GICS_INDUSTRY_NAME</t>
        </is>
      </c>
      <c r="D202" t="inlineStr">
        <is>
          <t>Insurance</t>
        </is>
      </c>
      <c r="E202" t="inlineStr">
        <is>
          <t>N/A</t>
        </is>
      </c>
      <c r="F202" t="inlineStr"/>
      <c r="G202" t="inlineStr"/>
      <c r="H202" t="inlineStr">
        <is>
          <t>7.16%</t>
        </is>
      </c>
      <c r="I202" t="inlineStr">
        <is>
          <t>0.00%</t>
        </is>
      </c>
    </row>
    <row r="203">
      <c r="A203" s="2" t="n">
        <v>45966</v>
      </c>
      <c r="B203" t="inlineStr">
        <is>
          <t>KNG</t>
        </is>
      </c>
      <c r="C203" t="inlineStr">
        <is>
          <t>GICS_INDUSTRY_NAME</t>
        </is>
      </c>
      <c r="D203" t="inlineStr">
        <is>
          <t>Household Products</t>
        </is>
      </c>
      <c r="E203" t="inlineStr">
        <is>
          <t>N/A</t>
        </is>
      </c>
      <c r="F203" t="inlineStr"/>
      <c r="G203" t="inlineStr"/>
      <c r="H203" t="inlineStr">
        <is>
          <t>6.88%</t>
        </is>
      </c>
      <c r="I203" t="inlineStr">
        <is>
          <t>0.00%</t>
        </is>
      </c>
    </row>
    <row r="204">
      <c r="A204" s="2" t="n">
        <v>45966</v>
      </c>
      <c r="B204" t="inlineStr">
        <is>
          <t>KNG</t>
        </is>
      </c>
      <c r="C204" t="inlineStr">
        <is>
          <t>GICS_INDUSTRY_GROUP_NAME</t>
        </is>
      </c>
      <c r="D204" t="inlineStr">
        <is>
          <t>Health Care Equipment &amp; Services</t>
        </is>
      </c>
      <c r="E204" t="inlineStr">
        <is>
          <t>N/A</t>
        </is>
      </c>
      <c r="F204" t="inlineStr"/>
      <c r="G204" t="inlineStr"/>
      <c r="H204" t="inlineStr">
        <is>
          <t>6.03%</t>
        </is>
      </c>
      <c r="I204" t="inlineStr">
        <is>
          <t>0.00%</t>
        </is>
      </c>
    </row>
    <row r="205">
      <c r="A205" s="2" t="n">
        <v>45966</v>
      </c>
      <c r="B205" t="inlineStr">
        <is>
          <t>KNG</t>
        </is>
      </c>
      <c r="C205" t="inlineStr">
        <is>
          <t>GICS_INDUSTRY_GROUP_NAME</t>
        </is>
      </c>
      <c r="D205" t="inlineStr">
        <is>
          <t>Financial Services</t>
        </is>
      </c>
      <c r="E205" t="inlineStr">
        <is>
          <t>N/A</t>
        </is>
      </c>
      <c r="F205" t="inlineStr"/>
      <c r="G205" t="inlineStr"/>
      <c r="H205" t="inlineStr">
        <is>
          <t>5.82%</t>
        </is>
      </c>
      <c r="I205" t="inlineStr">
        <is>
          <t>0.00%</t>
        </is>
      </c>
    </row>
    <row r="206">
      <c r="A206" s="2" t="n">
        <v>45966</v>
      </c>
      <c r="B206" t="inlineStr">
        <is>
          <t>KNG</t>
        </is>
      </c>
      <c r="C206" t="inlineStr">
        <is>
          <t>GICS_INDUSTRY_NAME</t>
        </is>
      </c>
      <c r="D206" t="inlineStr">
        <is>
          <t>Capital Markets</t>
        </is>
      </c>
      <c r="E206" t="inlineStr">
        <is>
          <t>N/A</t>
        </is>
      </c>
      <c r="F206" t="inlineStr"/>
      <c r="G206" t="inlineStr"/>
      <c r="H206" t="inlineStr">
        <is>
          <t>5.82%</t>
        </is>
      </c>
      <c r="I206" t="inlineStr">
        <is>
          <t>0.00%</t>
        </is>
      </c>
    </row>
    <row r="207">
      <c r="A207" s="2" t="n">
        <v>45966</v>
      </c>
      <c r="B207" t="inlineStr">
        <is>
          <t>KNG</t>
        </is>
      </c>
      <c r="C207" t="inlineStr">
        <is>
          <t>GICS_INDUSTRY_GROUP_NAME</t>
        </is>
      </c>
      <c r="D207" t="inlineStr">
        <is>
          <t>Utilities</t>
        </is>
      </c>
      <c r="E207" t="inlineStr">
        <is>
          <t>N/A</t>
        </is>
      </c>
      <c r="F207" t="inlineStr"/>
      <c r="G207" t="inlineStr"/>
      <c r="H207" t="inlineStr">
        <is>
          <t>5.77%</t>
        </is>
      </c>
      <c r="I207" t="inlineStr">
        <is>
          <t>0.00%</t>
        </is>
      </c>
    </row>
    <row r="208">
      <c r="A208" s="2" t="n">
        <v>45966</v>
      </c>
      <c r="B208" t="inlineStr">
        <is>
          <t>KNG</t>
        </is>
      </c>
      <c r="C208" t="inlineStr">
        <is>
          <t>GICS_INDUSTRY_NAME</t>
        </is>
      </c>
      <c r="D208" t="inlineStr">
        <is>
          <t>Food Products</t>
        </is>
      </c>
      <c r="E208" t="inlineStr">
        <is>
          <t>N/A</t>
        </is>
      </c>
      <c r="F208" t="inlineStr"/>
      <c r="G208" t="inlineStr"/>
      <c r="H208" t="inlineStr">
        <is>
          <t>5.53%</t>
        </is>
      </c>
      <c r="I208" t="inlineStr">
        <is>
          <t>0.00%</t>
        </is>
      </c>
    </row>
    <row r="209">
      <c r="A209" s="2" t="n">
        <v>45966</v>
      </c>
      <c r="B209" t="inlineStr">
        <is>
          <t>KNG</t>
        </is>
      </c>
      <c r="C209" t="inlineStr">
        <is>
          <t>GICS_INDUSTRY_GROUP_NAME</t>
        </is>
      </c>
      <c r="D209" t="inlineStr">
        <is>
          <t>Pharmaceuticals, Biotechnology &amp; Life Sciences</t>
        </is>
      </c>
      <c r="E209" t="inlineStr">
        <is>
          <t>N/A</t>
        </is>
      </c>
      <c r="F209" t="inlineStr"/>
      <c r="G209" t="inlineStr"/>
      <c r="H209" t="inlineStr">
        <is>
          <t>4.33%</t>
        </is>
      </c>
      <c r="I209" t="inlineStr">
        <is>
          <t>0.00%</t>
        </is>
      </c>
    </row>
    <row r="210">
      <c r="A210" s="2" t="n">
        <v>45966</v>
      </c>
      <c r="B210" t="inlineStr">
        <is>
          <t>KNG</t>
        </is>
      </c>
      <c r="C210" t="inlineStr">
        <is>
          <t>GICS_INDUSTRY_GROUP_NAME</t>
        </is>
      </c>
      <c r="D210" t="inlineStr">
        <is>
          <t>Equity Real Estate Investment Trusts</t>
        </is>
      </c>
      <c r="E210" t="inlineStr">
        <is>
          <t>N/A</t>
        </is>
      </c>
      <c r="F210" t="inlineStr"/>
      <c r="G210" t="inlineStr"/>
      <c r="H210" t="inlineStr">
        <is>
          <t>4.23%</t>
        </is>
      </c>
      <c r="I210" t="inlineStr">
        <is>
          <t>0.00%</t>
        </is>
      </c>
    </row>
    <row r="211">
      <c r="A211" s="2" t="n">
        <v>45966</v>
      </c>
      <c r="B211" t="inlineStr">
        <is>
          <t>KNG</t>
        </is>
      </c>
      <c r="C211" t="inlineStr">
        <is>
          <t>GICS_INDUSTRY_NAME</t>
        </is>
      </c>
      <c r="D211" t="inlineStr">
        <is>
          <t>Beverages</t>
        </is>
      </c>
      <c r="E211" t="inlineStr">
        <is>
          <t>N/A</t>
        </is>
      </c>
      <c r="F211" t="inlineStr"/>
      <c r="G211" t="inlineStr"/>
      <c r="H211" t="inlineStr">
        <is>
          <t>4.23%</t>
        </is>
      </c>
      <c r="I211" t="inlineStr">
        <is>
          <t>0.00%</t>
        </is>
      </c>
    </row>
    <row r="212">
      <c r="A212" s="2" t="n">
        <v>45966</v>
      </c>
      <c r="B212" t="inlineStr">
        <is>
          <t>KNG</t>
        </is>
      </c>
      <c r="C212" t="inlineStr">
        <is>
          <t>GICS_INDUSTRY_GROUP_NAME</t>
        </is>
      </c>
      <c r="D212" t="inlineStr">
        <is>
          <t>Consumer Staples Distribution &amp; Retail</t>
        </is>
      </c>
      <c r="E212" t="inlineStr">
        <is>
          <t>N/A</t>
        </is>
      </c>
      <c r="F212" t="inlineStr"/>
      <c r="G212" t="inlineStr"/>
      <c r="H212" t="inlineStr">
        <is>
          <t>4.22%</t>
        </is>
      </c>
      <c r="I212" t="inlineStr">
        <is>
          <t>0.00%</t>
        </is>
      </c>
    </row>
    <row r="213">
      <c r="A213" s="2" t="n">
        <v>45966</v>
      </c>
      <c r="B213" t="inlineStr">
        <is>
          <t>KNG</t>
        </is>
      </c>
      <c r="C213" t="inlineStr">
        <is>
          <t>GICS_INDUSTRY_NAME</t>
        </is>
      </c>
      <c r="D213" t="inlineStr">
        <is>
          <t>Consumer Staples Distribution &amp; Retail</t>
        </is>
      </c>
      <c r="E213" t="inlineStr">
        <is>
          <t>N/A</t>
        </is>
      </c>
      <c r="F213" t="inlineStr"/>
      <c r="G213" t="inlineStr"/>
      <c r="H213" t="inlineStr">
        <is>
          <t>4.22%</t>
        </is>
      </c>
      <c r="I213" t="inlineStr">
        <is>
          <t>0.00%</t>
        </is>
      </c>
    </row>
    <row r="214">
      <c r="A214" s="2" t="n">
        <v>45966</v>
      </c>
      <c r="B214" t="inlineStr">
        <is>
          <t>KNG</t>
        </is>
      </c>
      <c r="C214" t="inlineStr">
        <is>
          <t>GICS_INDUSTRY_NAME</t>
        </is>
      </c>
      <c r="D214" t="inlineStr">
        <is>
          <t>Health Care Equipment &amp; Supplies</t>
        </is>
      </c>
      <c r="E214" t="inlineStr">
        <is>
          <t>N/A</t>
        </is>
      </c>
      <c r="F214" t="inlineStr"/>
      <c r="G214" t="inlineStr"/>
      <c r="H214" t="inlineStr">
        <is>
          <t>4.21%</t>
        </is>
      </c>
      <c r="I214" t="inlineStr">
        <is>
          <t>0.00%</t>
        </is>
      </c>
    </row>
    <row r="215">
      <c r="A215" s="2" t="n">
        <v>45966</v>
      </c>
      <c r="B215" t="inlineStr">
        <is>
          <t>KNG</t>
        </is>
      </c>
      <c r="C215" t="inlineStr">
        <is>
          <t>GICS_INDUSTRY_GROUP_NAME</t>
        </is>
      </c>
      <c r="D215" t="inlineStr">
        <is>
          <t>Transportation</t>
        </is>
      </c>
      <c r="E215" t="inlineStr">
        <is>
          <t>N/A</t>
        </is>
      </c>
      <c r="F215" t="inlineStr"/>
      <c r="G215" t="inlineStr"/>
      <c r="H215" t="inlineStr">
        <is>
          <t>3.49%</t>
        </is>
      </c>
      <c r="I215" t="inlineStr">
        <is>
          <t>0.00%</t>
        </is>
      </c>
    </row>
    <row r="216">
      <c r="A216" s="2" t="n">
        <v>45966</v>
      </c>
      <c r="B216" t="inlineStr">
        <is>
          <t>KNG</t>
        </is>
      </c>
      <c r="C216" t="inlineStr">
        <is>
          <t>GICS_INDUSTRY_NAME</t>
        </is>
      </c>
      <c r="D216" t="inlineStr">
        <is>
          <t>Air Freight &amp; Logistics</t>
        </is>
      </c>
      <c r="E216" t="inlineStr">
        <is>
          <t>N/A</t>
        </is>
      </c>
      <c r="F216" t="inlineStr"/>
      <c r="G216" t="inlineStr"/>
      <c r="H216" t="inlineStr">
        <is>
          <t>3.49%</t>
        </is>
      </c>
      <c r="I216" t="inlineStr">
        <is>
          <t>0.00%</t>
        </is>
      </c>
    </row>
    <row r="217">
      <c r="A217" s="2" t="n">
        <v>45966</v>
      </c>
      <c r="B217" t="inlineStr">
        <is>
          <t>KNG</t>
        </is>
      </c>
      <c r="C217" t="inlineStr">
        <is>
          <t>GICS_INDUSTRY_NAME</t>
        </is>
      </c>
      <c r="D217" t="inlineStr">
        <is>
          <t>Electric Utilities</t>
        </is>
      </c>
      <c r="E217" t="inlineStr">
        <is>
          <t>N/A</t>
        </is>
      </c>
      <c r="F217" t="inlineStr"/>
      <c r="G217" t="inlineStr"/>
      <c r="H217" t="inlineStr">
        <is>
          <t>2.94%</t>
        </is>
      </c>
      <c r="I217" t="inlineStr">
        <is>
          <t>0.00%</t>
        </is>
      </c>
    </row>
    <row r="218">
      <c r="A218" s="2" t="n">
        <v>45966</v>
      </c>
      <c r="B218" t="inlineStr">
        <is>
          <t>KNG</t>
        </is>
      </c>
      <c r="C218" t="inlineStr">
        <is>
          <t>GICS_INDUSTRY_NAME</t>
        </is>
      </c>
      <c r="D218" t="inlineStr">
        <is>
          <t>Trading Companies &amp; Distributors</t>
        </is>
      </c>
      <c r="E218" t="inlineStr">
        <is>
          <t>N/A</t>
        </is>
      </c>
      <c r="F218" t="inlineStr"/>
      <c r="G218" t="inlineStr"/>
      <c r="H218" t="inlineStr">
        <is>
          <t>2.91%</t>
        </is>
      </c>
      <c r="I218" t="inlineStr">
        <is>
          <t>0.00%</t>
        </is>
      </c>
    </row>
    <row r="219">
      <c r="A219" s="2" t="n">
        <v>45966</v>
      </c>
      <c r="B219" t="inlineStr">
        <is>
          <t>KNG</t>
        </is>
      </c>
      <c r="C219" t="inlineStr">
        <is>
          <t>GICS_INDUSTRY_GROUP_NAME</t>
        </is>
      </c>
      <c r="D219" t="inlineStr">
        <is>
          <t>Energy</t>
        </is>
      </c>
      <c r="E219" t="inlineStr">
        <is>
          <t>N/A</t>
        </is>
      </c>
      <c r="F219" t="inlineStr"/>
      <c r="G219" t="inlineStr"/>
      <c r="H219" t="inlineStr">
        <is>
          <t>2.91%</t>
        </is>
      </c>
      <c r="I219" t="inlineStr">
        <is>
          <t>0.00%</t>
        </is>
      </c>
    </row>
    <row r="220">
      <c r="A220" s="2" t="n">
        <v>45966</v>
      </c>
      <c r="B220" t="inlineStr">
        <is>
          <t>KNG</t>
        </is>
      </c>
      <c r="C220" t="inlineStr">
        <is>
          <t>GICS_INDUSTRY_NAME</t>
        </is>
      </c>
      <c r="D220" t="inlineStr">
        <is>
          <t>Oil, Gas &amp; Consumable Fuels</t>
        </is>
      </c>
      <c r="E220" t="inlineStr">
        <is>
          <t>N/A</t>
        </is>
      </c>
      <c r="F220" t="inlineStr"/>
      <c r="G220" t="inlineStr"/>
      <c r="H220" t="inlineStr">
        <is>
          <t>2.91%</t>
        </is>
      </c>
      <c r="I220" t="inlineStr">
        <is>
          <t>0.00%</t>
        </is>
      </c>
    </row>
    <row r="221">
      <c r="A221" s="2" t="n">
        <v>45966</v>
      </c>
      <c r="B221" t="inlineStr">
        <is>
          <t>KNG</t>
        </is>
      </c>
      <c r="C221" t="inlineStr">
        <is>
          <t>GICS_INDUSTRY_GROUP_NAME</t>
        </is>
      </c>
      <c r="D221" t="inlineStr">
        <is>
          <t>Software &amp; Services</t>
        </is>
      </c>
      <c r="E221" t="inlineStr">
        <is>
          <t>N/A</t>
        </is>
      </c>
      <c r="F221" t="inlineStr"/>
      <c r="G221" t="inlineStr"/>
      <c r="H221" t="inlineStr">
        <is>
          <t>2.87%</t>
        </is>
      </c>
      <c r="I221" t="inlineStr">
        <is>
          <t>0.00%</t>
        </is>
      </c>
    </row>
    <row r="222">
      <c r="A222" s="2" t="n">
        <v>45966</v>
      </c>
      <c r="B222" t="inlineStr">
        <is>
          <t>KNG</t>
        </is>
      </c>
      <c r="C222" t="inlineStr">
        <is>
          <t>GICS_INDUSTRY_GROUP_NAME</t>
        </is>
      </c>
      <c r="D222" t="inlineStr">
        <is>
          <t>Consumer Discretionary Distribution &amp; Retail</t>
        </is>
      </c>
      <c r="E222" t="inlineStr">
        <is>
          <t>N/A</t>
        </is>
      </c>
      <c r="F222" t="inlineStr"/>
      <c r="G222" t="inlineStr"/>
      <c r="H222" t="inlineStr">
        <is>
          <t>2.80%</t>
        </is>
      </c>
      <c r="I222" t="inlineStr">
        <is>
          <t>0.00%</t>
        </is>
      </c>
    </row>
    <row r="223">
      <c r="A223" s="2" t="n">
        <v>45966</v>
      </c>
      <c r="B223" t="inlineStr">
        <is>
          <t>KNG</t>
        </is>
      </c>
      <c r="C223" t="inlineStr">
        <is>
          <t>GICS_INDUSTRY_NAME</t>
        </is>
      </c>
      <c r="D223" t="inlineStr">
        <is>
          <t>Retail REITs</t>
        </is>
      </c>
      <c r="E223" t="inlineStr">
        <is>
          <t>N/A</t>
        </is>
      </c>
      <c r="F223" t="inlineStr"/>
      <c r="G223" t="inlineStr"/>
      <c r="H223" t="inlineStr">
        <is>
          <t>2.78%</t>
        </is>
      </c>
      <c r="I223" t="inlineStr">
        <is>
          <t>0.00%</t>
        </is>
      </c>
    </row>
    <row r="224">
      <c r="A224" s="2" t="n">
        <v>45966</v>
      </c>
      <c r="B224" t="inlineStr">
        <is>
          <t>KNG</t>
        </is>
      </c>
      <c r="C224" t="inlineStr">
        <is>
          <t>GICS_INDUSTRY_GROUP_NAME</t>
        </is>
      </c>
      <c r="D224" t="inlineStr">
        <is>
          <t>Commercial &amp; Professional Services</t>
        </is>
      </c>
      <c r="E224" t="inlineStr">
        <is>
          <t>N/A</t>
        </is>
      </c>
      <c r="F224" t="inlineStr"/>
      <c r="G224" t="inlineStr"/>
      <c r="H224" t="inlineStr">
        <is>
          <t>2.77%</t>
        </is>
      </c>
      <c r="I224" t="inlineStr">
        <is>
          <t>0.00%</t>
        </is>
      </c>
    </row>
    <row r="225">
      <c r="A225" s="2" t="n">
        <v>45966</v>
      </c>
      <c r="B225" t="inlineStr">
        <is>
          <t>KNG</t>
        </is>
      </c>
      <c r="C225" t="inlineStr">
        <is>
          <t>GICS_INDUSTRY_NAME</t>
        </is>
      </c>
      <c r="D225" t="inlineStr">
        <is>
          <t>Health Care Providers &amp; Services</t>
        </is>
      </c>
      <c r="E225" t="inlineStr">
        <is>
          <t>N/A</t>
        </is>
      </c>
      <c r="F225" t="inlineStr"/>
      <c r="G225" t="inlineStr"/>
      <c r="H225" t="inlineStr">
        <is>
          <t>1.82%</t>
        </is>
      </c>
      <c r="I225" t="inlineStr">
        <is>
          <t>0.00%</t>
        </is>
      </c>
    </row>
    <row r="226">
      <c r="A226" s="2" t="n">
        <v>45966</v>
      </c>
      <c r="B226" t="inlineStr">
        <is>
          <t>KNG</t>
        </is>
      </c>
      <c r="C226" t="inlineStr">
        <is>
          <t>GICS_INDUSTRY_NAME</t>
        </is>
      </c>
      <c r="D226" t="inlineStr">
        <is>
          <t>Personal Care Products</t>
        </is>
      </c>
      <c r="E226" t="inlineStr">
        <is>
          <t>N/A</t>
        </is>
      </c>
      <c r="F226" t="inlineStr"/>
      <c r="G226" t="inlineStr"/>
      <c r="H226" t="inlineStr">
        <is>
          <t>1.58%</t>
        </is>
      </c>
      <c r="I226" t="inlineStr">
        <is>
          <t>0.00%</t>
        </is>
      </c>
    </row>
    <row r="227">
      <c r="A227" s="2" t="n">
        <v>45966</v>
      </c>
      <c r="B227" t="inlineStr">
        <is>
          <t>KNG</t>
        </is>
      </c>
      <c r="C227" t="inlineStr">
        <is>
          <t>GICS_INDUSTRY_NAME</t>
        </is>
      </c>
      <c r="D227" t="inlineStr">
        <is>
          <t>IT Services</t>
        </is>
      </c>
      <c r="E227" t="inlineStr">
        <is>
          <t>N/A</t>
        </is>
      </c>
      <c r="F227" t="inlineStr"/>
      <c r="G227" t="inlineStr"/>
      <c r="H227" t="inlineStr">
        <is>
          <t>1.57%</t>
        </is>
      </c>
      <c r="I227" t="inlineStr">
        <is>
          <t>0.00%</t>
        </is>
      </c>
    </row>
    <row r="228">
      <c r="A228" s="2" t="n">
        <v>45966</v>
      </c>
      <c r="B228" t="inlineStr">
        <is>
          <t>KNG</t>
        </is>
      </c>
      <c r="C228" t="inlineStr">
        <is>
          <t>GICS_INDUSTRY_NAME</t>
        </is>
      </c>
      <c r="D228" t="inlineStr">
        <is>
          <t>Metals &amp; Mining</t>
        </is>
      </c>
      <c r="E228" t="inlineStr">
        <is>
          <t>N/A</t>
        </is>
      </c>
      <c r="F228" t="inlineStr"/>
      <c r="G228" t="inlineStr"/>
      <c r="H228" t="inlineStr">
        <is>
          <t>1.57%</t>
        </is>
      </c>
      <c r="I228" t="inlineStr">
        <is>
          <t>0.00%</t>
        </is>
      </c>
    </row>
    <row r="229">
      <c r="A229" s="2" t="n">
        <v>45966</v>
      </c>
      <c r="B229" t="inlineStr">
        <is>
          <t>KNG</t>
        </is>
      </c>
      <c r="C229" t="inlineStr">
        <is>
          <t>GICS_INDUSTRY_NAME</t>
        </is>
      </c>
      <c r="D229" t="inlineStr">
        <is>
          <t>Life Sciences Tools &amp; Services</t>
        </is>
      </c>
      <c r="E229" t="inlineStr">
        <is>
          <t>N/A</t>
        </is>
      </c>
      <c r="F229" t="inlineStr"/>
      <c r="G229" t="inlineStr"/>
      <c r="H229" t="inlineStr">
        <is>
          <t>1.51%</t>
        </is>
      </c>
      <c r="I229" t="inlineStr">
        <is>
          <t>0.00%</t>
        </is>
      </c>
    </row>
    <row r="230">
      <c r="A230" s="2" t="n">
        <v>45966</v>
      </c>
      <c r="B230" t="inlineStr">
        <is>
          <t>KNG</t>
        </is>
      </c>
      <c r="C230" t="inlineStr">
        <is>
          <t>GICS_INDUSTRY_NAME</t>
        </is>
      </c>
      <c r="D230" t="inlineStr">
        <is>
          <t>Electrical Equipment</t>
        </is>
      </c>
      <c r="E230" t="inlineStr">
        <is>
          <t>N/A</t>
        </is>
      </c>
      <c r="F230" t="inlineStr"/>
      <c r="G230" t="inlineStr"/>
      <c r="H230" t="inlineStr">
        <is>
          <t>1.50%</t>
        </is>
      </c>
      <c r="I230" t="inlineStr">
        <is>
          <t>0.00%</t>
        </is>
      </c>
    </row>
    <row r="231">
      <c r="A231" s="2" t="n">
        <v>45966</v>
      </c>
      <c r="B231" t="inlineStr">
        <is>
          <t>KNG</t>
        </is>
      </c>
      <c r="C231" t="inlineStr">
        <is>
          <t>GICS_INDUSTRY_NAME</t>
        </is>
      </c>
      <c r="D231" t="inlineStr">
        <is>
          <t>Aerospace &amp; Defense</t>
        </is>
      </c>
      <c r="E231" t="inlineStr">
        <is>
          <t>N/A</t>
        </is>
      </c>
      <c r="F231" t="inlineStr"/>
      <c r="G231" t="inlineStr"/>
      <c r="H231" t="inlineStr">
        <is>
          <t>1.50%</t>
        </is>
      </c>
      <c r="I231" t="inlineStr">
        <is>
          <t>0.00%</t>
        </is>
      </c>
    </row>
    <row r="232">
      <c r="A232" s="2" t="n">
        <v>45966</v>
      </c>
      <c r="B232" t="inlineStr">
        <is>
          <t>KNG</t>
        </is>
      </c>
      <c r="C232" t="inlineStr">
        <is>
          <t>GICS_INDUSTRY_NAME</t>
        </is>
      </c>
      <c r="D232" t="inlineStr">
        <is>
          <t>Containers &amp; Packaging</t>
        </is>
      </c>
      <c r="E232" t="inlineStr">
        <is>
          <t>N/A</t>
        </is>
      </c>
      <c r="F232" t="inlineStr"/>
      <c r="G232" t="inlineStr"/>
      <c r="H232" t="inlineStr">
        <is>
          <t>1.46%</t>
        </is>
      </c>
      <c r="I232" t="inlineStr">
        <is>
          <t>0.00%</t>
        </is>
      </c>
    </row>
    <row r="233">
      <c r="A233" s="2" t="n">
        <v>45966</v>
      </c>
      <c r="B233" t="inlineStr">
        <is>
          <t>KNG</t>
        </is>
      </c>
      <c r="C233" t="inlineStr">
        <is>
          <t>GICS_INDUSTRY_GROUP_NAME</t>
        </is>
      </c>
      <c r="D233" t="inlineStr">
        <is>
          <t>Consumer Services</t>
        </is>
      </c>
      <c r="E233" t="inlineStr">
        <is>
          <t>N/A</t>
        </is>
      </c>
      <c r="F233" t="inlineStr"/>
      <c r="G233" t="inlineStr"/>
      <c r="H233" t="inlineStr">
        <is>
          <t>1.45%</t>
        </is>
      </c>
      <c r="I233" t="inlineStr">
        <is>
          <t>0.00%</t>
        </is>
      </c>
    </row>
    <row r="234">
      <c r="A234" s="2" t="n">
        <v>45966</v>
      </c>
      <c r="B234" t="inlineStr">
        <is>
          <t>KNG</t>
        </is>
      </c>
      <c r="C234" t="inlineStr">
        <is>
          <t>GICS_INDUSTRY_NAME</t>
        </is>
      </c>
      <c r="D234" t="inlineStr">
        <is>
          <t>Hotels, Restaurants &amp; Leisure</t>
        </is>
      </c>
      <c r="E234" t="inlineStr">
        <is>
          <t>N/A</t>
        </is>
      </c>
      <c r="F234" t="inlineStr"/>
      <c r="G234" t="inlineStr"/>
      <c r="H234" t="inlineStr">
        <is>
          <t>1.45%</t>
        </is>
      </c>
      <c r="I234" t="inlineStr">
        <is>
          <t>0.00%</t>
        </is>
      </c>
    </row>
    <row r="235">
      <c r="A235" s="2" t="n">
        <v>45966</v>
      </c>
      <c r="B235" t="inlineStr">
        <is>
          <t>KNG</t>
        </is>
      </c>
      <c r="C235" t="inlineStr">
        <is>
          <t>GICS_INDUSTRY_NAME</t>
        </is>
      </c>
      <c r="D235" t="inlineStr">
        <is>
          <t>Residential REITs</t>
        </is>
      </c>
      <c r="E235" t="inlineStr">
        <is>
          <t>N/A</t>
        </is>
      </c>
      <c r="F235" t="inlineStr"/>
      <c r="G235" t="inlineStr"/>
      <c r="H235" t="inlineStr">
        <is>
          <t>1.45%</t>
        </is>
      </c>
      <c r="I235" t="inlineStr">
        <is>
          <t>0.00%</t>
        </is>
      </c>
    </row>
    <row r="236">
      <c r="A236" s="2" t="n">
        <v>45966</v>
      </c>
      <c r="B236" t="inlineStr">
        <is>
          <t>KNG</t>
        </is>
      </c>
      <c r="C236" t="inlineStr">
        <is>
          <t>GICS_INDUSTRY_NAME</t>
        </is>
      </c>
      <c r="D236" t="inlineStr">
        <is>
          <t>Gas Utilities</t>
        </is>
      </c>
      <c r="E236" t="inlineStr">
        <is>
          <t>N/A</t>
        </is>
      </c>
      <c r="F236" t="inlineStr"/>
      <c r="G236" t="inlineStr"/>
      <c r="H236" t="inlineStr">
        <is>
          <t>1.44%</t>
        </is>
      </c>
      <c r="I236" t="inlineStr">
        <is>
          <t>0.00%</t>
        </is>
      </c>
    </row>
    <row r="237">
      <c r="A237" s="2" t="n">
        <v>45966</v>
      </c>
      <c r="B237" t="inlineStr">
        <is>
          <t>KNG</t>
        </is>
      </c>
      <c r="C237" t="inlineStr">
        <is>
          <t>GICS_INDUSTRY_NAME</t>
        </is>
      </c>
      <c r="D237" t="inlineStr">
        <is>
          <t>Building Products</t>
        </is>
      </c>
      <c r="E237" t="inlineStr">
        <is>
          <t>N/A</t>
        </is>
      </c>
      <c r="F237" t="inlineStr"/>
      <c r="G237" t="inlineStr"/>
      <c r="H237" t="inlineStr">
        <is>
          <t>1.43%</t>
        </is>
      </c>
      <c r="I237" t="inlineStr">
        <is>
          <t>0.00%</t>
        </is>
      </c>
    </row>
    <row r="238">
      <c r="A238" s="2" t="n">
        <v>45966</v>
      </c>
      <c r="B238" t="inlineStr">
        <is>
          <t>KNG</t>
        </is>
      </c>
      <c r="C238" t="inlineStr">
        <is>
          <t>GICS_INDUSTRY_NAME</t>
        </is>
      </c>
      <c r="D238" t="inlineStr">
        <is>
          <t>Pharmaceuticals</t>
        </is>
      </c>
      <c r="E238" t="inlineStr">
        <is>
          <t>N/A</t>
        </is>
      </c>
      <c r="F238" t="inlineStr"/>
      <c r="G238" t="inlineStr"/>
      <c r="H238" t="inlineStr">
        <is>
          <t>1.42%</t>
        </is>
      </c>
      <c r="I238" t="inlineStr">
        <is>
          <t>0.00%</t>
        </is>
      </c>
    </row>
    <row r="239">
      <c r="A239" s="2" t="n">
        <v>45966</v>
      </c>
      <c r="B239" t="inlineStr">
        <is>
          <t>KNG</t>
        </is>
      </c>
      <c r="C239" t="inlineStr">
        <is>
          <t>GICS_INDUSTRY_NAME</t>
        </is>
      </c>
      <c r="D239" t="inlineStr">
        <is>
          <t>Specialty Retail</t>
        </is>
      </c>
      <c r="E239" t="inlineStr">
        <is>
          <t>N/A</t>
        </is>
      </c>
      <c r="F239" t="inlineStr"/>
      <c r="G239" t="inlineStr"/>
      <c r="H239" t="inlineStr">
        <is>
          <t>1.42%</t>
        </is>
      </c>
      <c r="I239" t="inlineStr">
        <is>
          <t>0.00%</t>
        </is>
      </c>
    </row>
    <row r="240">
      <c r="A240" s="2" t="n">
        <v>45966</v>
      </c>
      <c r="B240" t="inlineStr">
        <is>
          <t>KNG</t>
        </is>
      </c>
      <c r="C240" t="inlineStr">
        <is>
          <t>GICS_INDUSTRY_NAME</t>
        </is>
      </c>
      <c r="D240" t="inlineStr">
        <is>
          <t>Commercial Services &amp; Supplies</t>
        </is>
      </c>
      <c r="E240" t="inlineStr">
        <is>
          <t>N/A</t>
        </is>
      </c>
      <c r="F240" t="inlineStr"/>
      <c r="G240" t="inlineStr"/>
      <c r="H240" t="inlineStr">
        <is>
          <t>1.42%</t>
        </is>
      </c>
      <c r="I240" t="inlineStr">
        <is>
          <t>0.00%</t>
        </is>
      </c>
    </row>
    <row r="241">
      <c r="A241" s="2" t="n">
        <v>45966</v>
      </c>
      <c r="B241" t="inlineStr">
        <is>
          <t>KNG</t>
        </is>
      </c>
      <c r="C241" t="inlineStr">
        <is>
          <t>GICS_INDUSTRY_NAME</t>
        </is>
      </c>
      <c r="D241" t="inlineStr">
        <is>
          <t>Biotechnology</t>
        </is>
      </c>
      <c r="E241" t="inlineStr">
        <is>
          <t>N/A</t>
        </is>
      </c>
      <c r="F241" t="inlineStr"/>
      <c r="G241" t="inlineStr"/>
      <c r="H241" t="inlineStr">
        <is>
          <t>1.40%</t>
        </is>
      </c>
      <c r="I241" t="inlineStr">
        <is>
          <t>0.00%</t>
        </is>
      </c>
    </row>
    <row r="242">
      <c r="A242" s="2" t="n">
        <v>45966</v>
      </c>
      <c r="B242" t="inlineStr">
        <is>
          <t>KNG</t>
        </is>
      </c>
      <c r="C242" t="inlineStr">
        <is>
          <t>GICS_INDUSTRY_NAME</t>
        </is>
      </c>
      <c r="D242" t="inlineStr">
        <is>
          <t>Multi-Utilities</t>
        </is>
      </c>
      <c r="E242" t="inlineStr">
        <is>
          <t>N/A</t>
        </is>
      </c>
      <c r="F242" t="inlineStr"/>
      <c r="G242" t="inlineStr"/>
      <c r="H242" t="inlineStr">
        <is>
          <t>1.39%</t>
        </is>
      </c>
      <c r="I242" t="inlineStr">
        <is>
          <t>0.00%</t>
        </is>
      </c>
    </row>
    <row r="243">
      <c r="A243" s="2" t="n">
        <v>45966</v>
      </c>
      <c r="B243" t="inlineStr">
        <is>
          <t>KNG</t>
        </is>
      </c>
      <c r="C243" t="inlineStr">
        <is>
          <t>GICS_INDUSTRY_NAME</t>
        </is>
      </c>
      <c r="D243" t="inlineStr">
        <is>
          <t>Distributors</t>
        </is>
      </c>
      <c r="E243" t="inlineStr">
        <is>
          <t>N/A</t>
        </is>
      </c>
      <c r="F243" t="inlineStr"/>
      <c r="G243" t="inlineStr"/>
      <c r="H243" t="inlineStr">
        <is>
          <t>1.38%</t>
        </is>
      </c>
      <c r="I243" t="inlineStr">
        <is>
          <t>0.00%</t>
        </is>
      </c>
    </row>
    <row r="244">
      <c r="A244" s="2" t="n">
        <v>45966</v>
      </c>
      <c r="B244" t="inlineStr">
        <is>
          <t>KNG</t>
        </is>
      </c>
      <c r="C244" t="inlineStr">
        <is>
          <t>GICS_INDUSTRY_NAME</t>
        </is>
      </c>
      <c r="D244" t="inlineStr">
        <is>
          <t>Professional Services</t>
        </is>
      </c>
      <c r="E244" t="inlineStr">
        <is>
          <t>N/A</t>
        </is>
      </c>
      <c r="F244" t="inlineStr"/>
      <c r="G244" t="inlineStr"/>
      <c r="H244" t="inlineStr">
        <is>
          <t>1.35%</t>
        </is>
      </c>
      <c r="I244" t="inlineStr">
        <is>
          <t>0.00%</t>
        </is>
      </c>
    </row>
    <row r="245">
      <c r="A245" s="2" t="n">
        <v>45966</v>
      </c>
      <c r="B245" t="inlineStr">
        <is>
          <t>KNG</t>
        </is>
      </c>
      <c r="C245" t="inlineStr">
        <is>
          <t>GICS_INDUSTRY_NAME</t>
        </is>
      </c>
      <c r="D245" t="inlineStr">
        <is>
          <t>Software</t>
        </is>
      </c>
      <c r="E245" t="inlineStr">
        <is>
          <t>N/A</t>
        </is>
      </c>
      <c r="F245" t="inlineStr"/>
      <c r="G245" t="inlineStr"/>
      <c r="H245" t="inlineStr">
        <is>
          <t>1.29%</t>
        </is>
      </c>
      <c r="I245" t="inlineStr">
        <is>
          <t>0.00%</t>
        </is>
      </c>
    </row>
    <row r="246">
      <c r="A246" s="2" t="n">
        <v>45966</v>
      </c>
      <c r="B246" t="inlineStr">
        <is>
          <t>P21026</t>
        </is>
      </c>
      <c r="C246" t="inlineStr">
        <is>
          <t>GICS_INDUSTRY_GROUP_NAME</t>
        </is>
      </c>
      <c r="D246" t="inlineStr">
        <is>
          <t>Semiconductors &amp; Semiconductor Equipment</t>
        </is>
      </c>
      <c r="E246" t="inlineStr">
        <is>
          <t>N/A</t>
        </is>
      </c>
      <c r="F246" t="inlineStr"/>
      <c r="G246" t="inlineStr"/>
      <c r="H246" t="inlineStr">
        <is>
          <t>15.87%</t>
        </is>
      </c>
      <c r="I246" t="inlineStr">
        <is>
          <t>14.90%</t>
        </is>
      </c>
    </row>
    <row r="247">
      <c r="A247" s="2" t="n">
        <v>45966</v>
      </c>
      <c r="B247" t="inlineStr">
        <is>
          <t>P21026</t>
        </is>
      </c>
      <c r="C247" t="inlineStr">
        <is>
          <t>GICS_INDUSTRY_NAME</t>
        </is>
      </c>
      <c r="D247" t="inlineStr">
        <is>
          <t>Semiconductors &amp; Semiconductor Equipment</t>
        </is>
      </c>
      <c r="E247" t="inlineStr">
        <is>
          <t>N/A</t>
        </is>
      </c>
      <c r="F247" t="inlineStr"/>
      <c r="G247" t="inlineStr"/>
      <c r="H247" t="inlineStr">
        <is>
          <t>15.87%</t>
        </is>
      </c>
      <c r="I247" t="inlineStr">
        <is>
          <t>14.90%</t>
        </is>
      </c>
    </row>
    <row r="248">
      <c r="A248" s="2" t="n">
        <v>45966</v>
      </c>
      <c r="B248" t="inlineStr">
        <is>
          <t>P21026</t>
        </is>
      </c>
      <c r="C248" t="inlineStr">
        <is>
          <t>GICS_INDUSTRY_GROUP_NAME</t>
        </is>
      </c>
      <c r="D248" t="inlineStr">
        <is>
          <t>Software &amp; Services</t>
        </is>
      </c>
      <c r="E248" t="inlineStr">
        <is>
          <t>N/A</t>
        </is>
      </c>
      <c r="F248" t="inlineStr"/>
      <c r="G248" t="inlineStr"/>
      <c r="H248" t="inlineStr">
        <is>
          <t>10.17%</t>
        </is>
      </c>
      <c r="I248" t="inlineStr">
        <is>
          <t>11.58%</t>
        </is>
      </c>
    </row>
    <row r="249">
      <c r="A249" s="2" t="n">
        <v>45966</v>
      </c>
      <c r="B249" t="inlineStr">
        <is>
          <t>P21026</t>
        </is>
      </c>
      <c r="C249" t="inlineStr">
        <is>
          <t>GICS_INDUSTRY_GROUP_NAME</t>
        </is>
      </c>
      <c r="D249" t="inlineStr">
        <is>
          <t>Technology Hardware &amp; Equipment</t>
        </is>
      </c>
      <c r="E249" t="inlineStr">
        <is>
          <t>N/A</t>
        </is>
      </c>
      <c r="F249" t="inlineStr"/>
      <c r="G249" t="inlineStr"/>
      <c r="H249" t="inlineStr">
        <is>
          <t>9.48%</t>
        </is>
      </c>
      <c r="I249" t="inlineStr">
        <is>
          <t>9.02%</t>
        </is>
      </c>
    </row>
    <row r="250">
      <c r="A250" s="2" t="n">
        <v>45966</v>
      </c>
      <c r="B250" t="inlineStr">
        <is>
          <t>P21026</t>
        </is>
      </c>
      <c r="C250" t="inlineStr">
        <is>
          <t>GICS_INDUSTRY_GROUP_NAME</t>
        </is>
      </c>
      <c r="D250" t="inlineStr">
        <is>
          <t>Media &amp; Entertainment</t>
        </is>
      </c>
      <c r="E250" t="inlineStr">
        <is>
          <t>N/A</t>
        </is>
      </c>
      <c r="F250" t="inlineStr"/>
      <c r="G250" t="inlineStr"/>
      <c r="H250" t="inlineStr">
        <is>
          <t>9.40%</t>
        </is>
      </c>
      <c r="I250" t="inlineStr">
        <is>
          <t>9.40%</t>
        </is>
      </c>
    </row>
    <row r="251">
      <c r="A251" s="2" t="n">
        <v>45966</v>
      </c>
      <c r="B251" t="inlineStr">
        <is>
          <t>P21026</t>
        </is>
      </c>
      <c r="C251" t="inlineStr">
        <is>
          <t>GICS_INDUSTRY_NAME</t>
        </is>
      </c>
      <c r="D251" t="inlineStr">
        <is>
          <t>Software</t>
        </is>
      </c>
      <c r="E251" t="inlineStr">
        <is>
          <t>N/A</t>
        </is>
      </c>
      <c r="F251" t="inlineStr"/>
      <c r="G251" t="inlineStr"/>
      <c r="H251" t="inlineStr">
        <is>
          <t>8.96%</t>
        </is>
      </c>
      <c r="I251" t="inlineStr">
        <is>
          <t>10.45%</t>
        </is>
      </c>
    </row>
    <row r="252">
      <c r="A252" s="2" t="n">
        <v>45966</v>
      </c>
      <c r="B252" t="inlineStr">
        <is>
          <t>P21026</t>
        </is>
      </c>
      <c r="C252" t="inlineStr">
        <is>
          <t>GICS_INDUSTRY_NAME</t>
        </is>
      </c>
      <c r="D252" t="inlineStr">
        <is>
          <t>Interactive Media &amp; Services</t>
        </is>
      </c>
      <c r="E252" t="inlineStr">
        <is>
          <t>N/A</t>
        </is>
      </c>
      <c r="F252" t="inlineStr"/>
      <c r="G252" t="inlineStr"/>
      <c r="H252" t="inlineStr">
        <is>
          <t>7.99%</t>
        </is>
      </c>
      <c r="I252" t="inlineStr">
        <is>
          <t>7.99%</t>
        </is>
      </c>
    </row>
    <row r="253">
      <c r="A253" s="2" t="n">
        <v>45966</v>
      </c>
      <c r="B253" t="inlineStr">
        <is>
          <t>P21026</t>
        </is>
      </c>
      <c r="C253" t="inlineStr">
        <is>
          <t>GICS_INDUSTRY_NAME</t>
        </is>
      </c>
      <c r="D253" t="inlineStr">
        <is>
          <t>Technology Hardware, Storage &amp; Peripherals</t>
        </is>
      </c>
      <c r="E253" t="inlineStr">
        <is>
          <t>N/A</t>
        </is>
      </c>
      <c r="F253" t="inlineStr"/>
      <c r="G253" t="inlineStr"/>
      <c r="H253" t="inlineStr">
        <is>
          <t>7.46%</t>
        </is>
      </c>
      <c r="I253" t="inlineStr">
        <is>
          <t>7.01%</t>
        </is>
      </c>
    </row>
    <row r="254">
      <c r="A254" s="2" t="n">
        <v>45966</v>
      </c>
      <c r="B254" t="inlineStr">
        <is>
          <t>P21026</t>
        </is>
      </c>
      <c r="C254" t="inlineStr">
        <is>
          <t>GICS_INDUSTRY_GROUP_NAME</t>
        </is>
      </c>
      <c r="D254" t="inlineStr">
        <is>
          <t>Financial Services</t>
        </is>
      </c>
      <c r="E254" t="inlineStr">
        <is>
          <t>N/A</t>
        </is>
      </c>
      <c r="F254" t="inlineStr"/>
      <c r="G254" t="inlineStr"/>
      <c r="H254" t="inlineStr">
        <is>
          <t>6.64%</t>
        </is>
      </c>
      <c r="I254" t="inlineStr">
        <is>
          <t>7.82%</t>
        </is>
      </c>
    </row>
    <row r="255">
      <c r="A255" s="2" t="n">
        <v>45966</v>
      </c>
      <c r="B255" t="inlineStr">
        <is>
          <t>P21026</t>
        </is>
      </c>
      <c r="C255" t="inlineStr">
        <is>
          <t>GICS_INDUSTRY_GROUP_NAME</t>
        </is>
      </c>
      <c r="D255" t="inlineStr">
        <is>
          <t>Capital Goods</t>
        </is>
      </c>
      <c r="E255" t="inlineStr">
        <is>
          <t>N/A</t>
        </is>
      </c>
      <c r="F255" t="inlineStr"/>
      <c r="G255" t="inlineStr"/>
      <c r="H255" t="inlineStr">
        <is>
          <t>6.29%</t>
        </is>
      </c>
      <c r="I255" t="inlineStr">
        <is>
          <t>6.29%</t>
        </is>
      </c>
    </row>
    <row r="256">
      <c r="A256" s="2" t="n">
        <v>45966</v>
      </c>
      <c r="B256" t="inlineStr">
        <is>
          <t>P21026</t>
        </is>
      </c>
      <c r="C256" t="inlineStr">
        <is>
          <t>GICS_INDUSTRY_GROUP_NAME</t>
        </is>
      </c>
      <c r="D256" t="inlineStr">
        <is>
          <t>Consumer Discretionary Distribution &amp; Retail</t>
        </is>
      </c>
      <c r="E256" t="inlineStr">
        <is>
          <t>N/A</t>
        </is>
      </c>
      <c r="F256" t="inlineStr"/>
      <c r="G256" t="inlineStr"/>
      <c r="H256" t="inlineStr">
        <is>
          <t>5.78%</t>
        </is>
      </c>
      <c r="I256" t="inlineStr">
        <is>
          <t>5.78%</t>
        </is>
      </c>
    </row>
    <row r="257">
      <c r="A257" s="2" t="n">
        <v>45966</v>
      </c>
      <c r="B257" t="inlineStr">
        <is>
          <t>P21026</t>
        </is>
      </c>
      <c r="C257" t="inlineStr">
        <is>
          <t>GICS_INDUSTRY_GROUP_NAME</t>
        </is>
      </c>
      <c r="D257" t="inlineStr">
        <is>
          <t>Pharmaceuticals, Biotechnology &amp; Life Sciences</t>
        </is>
      </c>
      <c r="E257" t="inlineStr">
        <is>
          <t>N/A</t>
        </is>
      </c>
      <c r="F257" t="inlineStr"/>
      <c r="G257" t="inlineStr"/>
      <c r="H257" t="inlineStr">
        <is>
          <t>4.96%</t>
        </is>
      </c>
      <c r="I257" t="inlineStr">
        <is>
          <t>5.66%</t>
        </is>
      </c>
    </row>
    <row r="258">
      <c r="A258" s="2" t="n">
        <v>45966</v>
      </c>
      <c r="B258" t="inlineStr">
        <is>
          <t>P21026</t>
        </is>
      </c>
      <c r="C258" t="inlineStr">
        <is>
          <t>GICS_INDUSTRY_NAME</t>
        </is>
      </c>
      <c r="D258" t="inlineStr">
        <is>
          <t>Broadline Retail</t>
        </is>
      </c>
      <c r="E258" t="inlineStr">
        <is>
          <t>N/A</t>
        </is>
      </c>
      <c r="F258" t="inlineStr"/>
      <c r="G258" t="inlineStr"/>
      <c r="H258" t="inlineStr">
        <is>
          <t>4.50%</t>
        </is>
      </c>
      <c r="I258" t="inlineStr">
        <is>
          <t>4.50%</t>
        </is>
      </c>
    </row>
    <row r="259">
      <c r="A259" s="2" t="n">
        <v>45966</v>
      </c>
      <c r="B259" t="inlineStr">
        <is>
          <t>P21026</t>
        </is>
      </c>
      <c r="C259" t="inlineStr">
        <is>
          <t>GICS_INDUSTRY_GROUP_NAME</t>
        </is>
      </c>
      <c r="D259" t="inlineStr">
        <is>
          <t>Banks</t>
        </is>
      </c>
      <c r="E259" t="inlineStr">
        <is>
          <t>N/A</t>
        </is>
      </c>
      <c r="F259" t="inlineStr"/>
      <c r="G259" t="inlineStr"/>
      <c r="H259" t="inlineStr">
        <is>
          <t>4.47%</t>
        </is>
      </c>
      <c r="I259" t="inlineStr">
        <is>
          <t>3.69%</t>
        </is>
      </c>
    </row>
    <row r="260">
      <c r="A260" s="2" t="n">
        <v>45966</v>
      </c>
      <c r="B260" t="inlineStr">
        <is>
          <t>P21026</t>
        </is>
      </c>
      <c r="C260" t="inlineStr">
        <is>
          <t>GICS_INDUSTRY_NAME</t>
        </is>
      </c>
      <c r="D260" t="inlineStr">
        <is>
          <t>Banks</t>
        </is>
      </c>
      <c r="E260" t="inlineStr">
        <is>
          <t>N/A</t>
        </is>
      </c>
      <c r="F260" t="inlineStr"/>
      <c r="G260" t="inlineStr"/>
      <c r="H260" t="inlineStr">
        <is>
          <t>4.47%</t>
        </is>
      </c>
      <c r="I260" t="inlineStr">
        <is>
          <t>3.69%</t>
        </is>
      </c>
    </row>
    <row r="261">
      <c r="A261" s="2" t="n">
        <v>45966</v>
      </c>
      <c r="B261" t="inlineStr">
        <is>
          <t>P21026</t>
        </is>
      </c>
      <c r="C261" t="inlineStr">
        <is>
          <t>GICS_INDUSTRY_GROUP_NAME</t>
        </is>
      </c>
      <c r="D261" t="inlineStr">
        <is>
          <t>Health Care Equipment &amp; Services</t>
        </is>
      </c>
      <c r="E261" t="inlineStr">
        <is>
          <t>N/A</t>
        </is>
      </c>
      <c r="F261" t="inlineStr"/>
      <c r="G261" t="inlineStr"/>
      <c r="H261" t="inlineStr">
        <is>
          <t>4.04%</t>
        </is>
      </c>
      <c r="I261" t="inlineStr">
        <is>
          <t>3.36%</t>
        </is>
      </c>
    </row>
    <row r="262">
      <c r="A262" s="2" t="n">
        <v>45966</v>
      </c>
      <c r="B262" t="inlineStr">
        <is>
          <t>P21026</t>
        </is>
      </c>
      <c r="C262" t="inlineStr">
        <is>
          <t>GICS_INDUSTRY_NAME</t>
        </is>
      </c>
      <c r="D262" t="inlineStr">
        <is>
          <t>Financial Services</t>
        </is>
      </c>
      <c r="E262" t="inlineStr">
        <is>
          <t>N/A</t>
        </is>
      </c>
      <c r="F262" t="inlineStr"/>
      <c r="G262" t="inlineStr"/>
      <c r="H262" t="inlineStr">
        <is>
          <t>3.34%</t>
        </is>
      </c>
      <c r="I262" t="inlineStr">
        <is>
          <t>5.03%</t>
        </is>
      </c>
    </row>
    <row r="263">
      <c r="A263" s="2" t="n">
        <v>45966</v>
      </c>
      <c r="B263" t="inlineStr">
        <is>
          <t>P21026</t>
        </is>
      </c>
      <c r="C263" t="inlineStr">
        <is>
          <t>GICS_INDUSTRY_NAME</t>
        </is>
      </c>
      <c r="D263" t="inlineStr">
        <is>
          <t>Aerospace &amp; Defense</t>
        </is>
      </c>
      <c r="E263" t="inlineStr">
        <is>
          <t>N/A</t>
        </is>
      </c>
      <c r="F263" t="inlineStr"/>
      <c r="G263" t="inlineStr"/>
      <c r="H263" t="inlineStr">
        <is>
          <t>3.09%</t>
        </is>
      </c>
      <c r="I263" t="inlineStr">
        <is>
          <t>3.09%</t>
        </is>
      </c>
    </row>
    <row r="264">
      <c r="A264" s="2" t="n">
        <v>45966</v>
      </c>
      <c r="B264" t="inlineStr">
        <is>
          <t>P21026</t>
        </is>
      </c>
      <c r="C264" t="inlineStr">
        <is>
          <t>GICS_INDUSTRY_GROUP_NAME</t>
        </is>
      </c>
      <c r="D264" t="inlineStr">
        <is>
          <t>Energy</t>
        </is>
      </c>
      <c r="E264" t="inlineStr">
        <is>
          <t>N/A</t>
        </is>
      </c>
      <c r="F264" t="inlineStr"/>
      <c r="G264" t="inlineStr"/>
      <c r="H264" t="inlineStr">
        <is>
          <t>2.79%</t>
        </is>
      </c>
      <c r="I264" t="inlineStr">
        <is>
          <t>2.79%</t>
        </is>
      </c>
    </row>
    <row r="265">
      <c r="A265" s="2" t="n">
        <v>45966</v>
      </c>
      <c r="B265" t="inlineStr">
        <is>
          <t>P21026</t>
        </is>
      </c>
      <c r="C265" t="inlineStr">
        <is>
          <t>GICS_INDUSTRY_NAME</t>
        </is>
      </c>
      <c r="D265" t="inlineStr">
        <is>
          <t>Oil, Gas &amp; Consumable Fuels</t>
        </is>
      </c>
      <c r="E265" t="inlineStr">
        <is>
          <t>N/A</t>
        </is>
      </c>
      <c r="F265" t="inlineStr"/>
      <c r="G265" t="inlineStr"/>
      <c r="H265" t="inlineStr">
        <is>
          <t>2.79%</t>
        </is>
      </c>
      <c r="I265" t="inlineStr">
        <is>
          <t>2.79%</t>
        </is>
      </c>
    </row>
    <row r="266">
      <c r="A266" s="2" t="n">
        <v>45966</v>
      </c>
      <c r="B266" t="inlineStr">
        <is>
          <t>P21026</t>
        </is>
      </c>
      <c r="C266" t="inlineStr">
        <is>
          <t>GICS_INDUSTRY_NAME</t>
        </is>
      </c>
      <c r="D266" t="inlineStr">
        <is>
          <t>Capital Markets</t>
        </is>
      </c>
      <c r="E266" t="inlineStr">
        <is>
          <t>N/A</t>
        </is>
      </c>
      <c r="F266" t="inlineStr"/>
      <c r="G266" t="inlineStr"/>
      <c r="H266" t="inlineStr">
        <is>
          <t>2.68%</t>
        </is>
      </c>
      <c r="I266" t="inlineStr">
        <is>
          <t>2.28%</t>
        </is>
      </c>
    </row>
    <row r="267">
      <c r="A267" s="2" t="n">
        <v>45966</v>
      </c>
      <c r="B267" t="inlineStr">
        <is>
          <t>P21026</t>
        </is>
      </c>
      <c r="C267" t="inlineStr">
        <is>
          <t>GICS_INDUSTRY_GROUP_NAME</t>
        </is>
      </c>
      <c r="D267" t="inlineStr">
        <is>
          <t>Automobiles &amp; Components</t>
        </is>
      </c>
      <c r="E267" t="inlineStr">
        <is>
          <t>N/A</t>
        </is>
      </c>
      <c r="F267" t="inlineStr"/>
      <c r="G267" t="inlineStr"/>
      <c r="H267" t="inlineStr">
        <is>
          <t>2.45%</t>
        </is>
      </c>
      <c r="I267" t="inlineStr">
        <is>
          <t>2.45%</t>
        </is>
      </c>
    </row>
    <row r="268">
      <c r="A268" s="2" t="n">
        <v>45966</v>
      </c>
      <c r="B268" t="inlineStr">
        <is>
          <t>P21026</t>
        </is>
      </c>
      <c r="C268" t="inlineStr">
        <is>
          <t>GICS_INDUSTRY_NAME</t>
        </is>
      </c>
      <c r="D268" t="inlineStr">
        <is>
          <t>Automobiles</t>
        </is>
      </c>
      <c r="E268" t="inlineStr">
        <is>
          <t>N/A</t>
        </is>
      </c>
      <c r="F268" t="inlineStr"/>
      <c r="G268" t="inlineStr"/>
      <c r="H268" t="inlineStr">
        <is>
          <t>2.45%</t>
        </is>
      </c>
      <c r="I268" t="inlineStr">
        <is>
          <t>2.45%</t>
        </is>
      </c>
    </row>
    <row r="269">
      <c r="A269" s="2" t="n">
        <v>45966</v>
      </c>
      <c r="B269" t="inlineStr">
        <is>
          <t>P21026</t>
        </is>
      </c>
      <c r="C269" t="inlineStr">
        <is>
          <t>GICS_INDUSTRY_NAME</t>
        </is>
      </c>
      <c r="D269" t="inlineStr">
        <is>
          <t>Pharmaceuticals</t>
        </is>
      </c>
      <c r="E269" t="inlineStr">
        <is>
          <t>N/A</t>
        </is>
      </c>
      <c r="F269" t="inlineStr"/>
      <c r="G269" t="inlineStr"/>
      <c r="H269" t="inlineStr">
        <is>
          <t>2.27%</t>
        </is>
      </c>
      <c r="I269" t="inlineStr">
        <is>
          <t>3.42%</t>
        </is>
      </c>
    </row>
    <row r="270">
      <c r="A270" s="2" t="n">
        <v>45966</v>
      </c>
      <c r="B270" t="inlineStr">
        <is>
          <t>P21026</t>
        </is>
      </c>
      <c r="C270" t="inlineStr">
        <is>
          <t>GICS_INDUSTRY_GROUP_NAME</t>
        </is>
      </c>
      <c r="D270" t="inlineStr">
        <is>
          <t>Utilities</t>
        </is>
      </c>
      <c r="E270" t="inlineStr">
        <is>
          <t>N/A</t>
        </is>
      </c>
      <c r="F270" t="inlineStr"/>
      <c r="G270" t="inlineStr"/>
      <c r="H270" t="inlineStr">
        <is>
          <t>2.26%</t>
        </is>
      </c>
      <c r="I270" t="inlineStr">
        <is>
          <t>2.26%</t>
        </is>
      </c>
    </row>
    <row r="271">
      <c r="A271" s="2" t="n">
        <v>45966</v>
      </c>
      <c r="B271" t="inlineStr">
        <is>
          <t>P21026</t>
        </is>
      </c>
      <c r="C271" t="inlineStr">
        <is>
          <t>GICS_INDUSTRY_NAME</t>
        </is>
      </c>
      <c r="D271" t="inlineStr">
        <is>
          <t>Electric Utilities</t>
        </is>
      </c>
      <c r="E271" t="inlineStr">
        <is>
          <t>N/A</t>
        </is>
      </c>
      <c r="F271" t="inlineStr"/>
      <c r="G271" t="inlineStr"/>
      <c r="H271" t="inlineStr">
        <is>
          <t>2.26%</t>
        </is>
      </c>
      <c r="I271" t="inlineStr">
        <is>
          <t>2.26%</t>
        </is>
      </c>
    </row>
    <row r="272">
      <c r="A272" s="2" t="n">
        <v>45966</v>
      </c>
      <c r="B272" t="inlineStr">
        <is>
          <t>P21026</t>
        </is>
      </c>
      <c r="C272" t="inlineStr">
        <is>
          <t>GICS_INDUSTRY_GROUP_NAME</t>
        </is>
      </c>
      <c r="D272" t="inlineStr">
        <is>
          <t>Insurance</t>
        </is>
      </c>
      <c r="E272" t="inlineStr">
        <is>
          <t>N/A</t>
        </is>
      </c>
      <c r="F272" t="inlineStr"/>
      <c r="G272" t="inlineStr"/>
      <c r="H272" t="inlineStr">
        <is>
          <t>2.17%</t>
        </is>
      </c>
      <c r="I272" t="inlineStr">
        <is>
          <t>1.79%</t>
        </is>
      </c>
    </row>
    <row r="273">
      <c r="A273" s="2" t="n">
        <v>45966</v>
      </c>
      <c r="B273" t="inlineStr">
        <is>
          <t>P21026</t>
        </is>
      </c>
      <c r="C273" t="inlineStr">
        <is>
          <t>GICS_INDUSTRY_NAME</t>
        </is>
      </c>
      <c r="D273" t="inlineStr">
        <is>
          <t>Insurance</t>
        </is>
      </c>
      <c r="E273" t="inlineStr">
        <is>
          <t>N/A</t>
        </is>
      </c>
      <c r="F273" t="inlineStr"/>
      <c r="G273" t="inlineStr"/>
      <c r="H273" t="inlineStr">
        <is>
          <t>2.17%</t>
        </is>
      </c>
      <c r="I273" t="inlineStr">
        <is>
          <t>1.79%</t>
        </is>
      </c>
    </row>
    <row r="274">
      <c r="A274" s="2" t="n">
        <v>45966</v>
      </c>
      <c r="B274" t="inlineStr">
        <is>
          <t>P21026</t>
        </is>
      </c>
      <c r="C274" t="inlineStr">
        <is>
          <t>GICS_INDUSTRY_GROUP_NAME</t>
        </is>
      </c>
      <c r="D274" t="inlineStr">
        <is>
          <t>Food, Beverage &amp; Tobacco</t>
        </is>
      </c>
      <c r="E274" t="inlineStr">
        <is>
          <t>N/A</t>
        </is>
      </c>
      <c r="F274" t="inlineStr"/>
      <c r="G274" t="inlineStr"/>
      <c r="H274" t="inlineStr">
        <is>
          <t>2.15%</t>
        </is>
      </c>
      <c r="I274" t="inlineStr">
        <is>
          <t>2.15%</t>
        </is>
      </c>
    </row>
    <row r="275">
      <c r="A275" s="2" t="n">
        <v>45966</v>
      </c>
      <c r="B275" t="inlineStr">
        <is>
          <t>P21026</t>
        </is>
      </c>
      <c r="C275" t="inlineStr">
        <is>
          <t>GICS_INDUSTRY_NAME</t>
        </is>
      </c>
      <c r="D275" t="inlineStr">
        <is>
          <t>Health Care Equipment &amp; Supplies</t>
        </is>
      </c>
      <c r="E275" t="inlineStr">
        <is>
          <t>N/A</t>
        </is>
      </c>
      <c r="F275" t="inlineStr"/>
      <c r="G275" t="inlineStr"/>
      <c r="H275" t="inlineStr">
        <is>
          <t>2.13%</t>
        </is>
      </c>
      <c r="I275" t="inlineStr">
        <is>
          <t>1.77%</t>
        </is>
      </c>
    </row>
    <row r="276">
      <c r="A276" s="2" t="n">
        <v>45966</v>
      </c>
      <c r="B276" t="inlineStr">
        <is>
          <t>P21026</t>
        </is>
      </c>
      <c r="C276" t="inlineStr">
        <is>
          <t>GICS_INDUSTRY_NAME</t>
        </is>
      </c>
      <c r="D276" t="inlineStr">
        <is>
          <t>Communications Equipment</t>
        </is>
      </c>
      <c r="E276" t="inlineStr">
        <is>
          <t>N/A</t>
        </is>
      </c>
      <c r="F276" t="inlineStr"/>
      <c r="G276" t="inlineStr"/>
      <c r="H276" t="inlineStr">
        <is>
          <t>2.02%</t>
        </is>
      </c>
      <c r="I276" t="inlineStr">
        <is>
          <t>2.01%</t>
        </is>
      </c>
    </row>
    <row r="277">
      <c r="A277" s="2" t="n">
        <v>45966</v>
      </c>
      <c r="B277" t="inlineStr">
        <is>
          <t>P21026</t>
        </is>
      </c>
      <c r="C277" t="inlineStr">
        <is>
          <t>GICS_INDUSTRY_NAME</t>
        </is>
      </c>
      <c r="D277" t="inlineStr">
        <is>
          <t>Health Care Providers &amp; Services</t>
        </is>
      </c>
      <c r="E277" t="inlineStr">
        <is>
          <t>N/A</t>
        </is>
      </c>
      <c r="F277" t="inlineStr"/>
      <c r="G277" t="inlineStr"/>
      <c r="H277" t="inlineStr">
        <is>
          <t>1.91%</t>
        </is>
      </c>
      <c r="I277" t="inlineStr">
        <is>
          <t>1.59%</t>
        </is>
      </c>
    </row>
    <row r="278">
      <c r="A278" s="2" t="n">
        <v>45966</v>
      </c>
      <c r="B278" t="inlineStr">
        <is>
          <t>P21026</t>
        </is>
      </c>
      <c r="C278" t="inlineStr">
        <is>
          <t>GICS_INDUSTRY_NAME</t>
        </is>
      </c>
      <c r="D278" t="inlineStr">
        <is>
          <t>Biotechnology</t>
        </is>
      </c>
      <c r="E278" t="inlineStr">
        <is>
          <t>N/A</t>
        </is>
      </c>
      <c r="F278" t="inlineStr"/>
      <c r="G278" t="inlineStr"/>
      <c r="H278" t="inlineStr">
        <is>
          <t>1.79%</t>
        </is>
      </c>
      <c r="I278" t="inlineStr">
        <is>
          <t>1.49%</t>
        </is>
      </c>
    </row>
    <row r="279">
      <c r="A279" s="2" t="n">
        <v>45966</v>
      </c>
      <c r="B279" t="inlineStr">
        <is>
          <t>P21026</t>
        </is>
      </c>
      <c r="C279" t="inlineStr">
        <is>
          <t>GICS_INDUSTRY_GROUP_NAME</t>
        </is>
      </c>
      <c r="D279" t="inlineStr">
        <is>
          <t>Consumer Staples Distribution &amp; Retail</t>
        </is>
      </c>
      <c r="E279" t="inlineStr">
        <is>
          <t>N/A</t>
        </is>
      </c>
      <c r="F279" t="inlineStr"/>
      <c r="G279" t="inlineStr"/>
      <c r="H279" t="inlineStr">
        <is>
          <t>1.74%</t>
        </is>
      </c>
      <c r="I279" t="inlineStr">
        <is>
          <t>1.75%</t>
        </is>
      </c>
    </row>
    <row r="280">
      <c r="A280" s="2" t="n">
        <v>45966</v>
      </c>
      <c r="B280" t="inlineStr">
        <is>
          <t>P21026</t>
        </is>
      </c>
      <c r="C280" t="inlineStr">
        <is>
          <t>GICS_INDUSTRY_NAME</t>
        </is>
      </c>
      <c r="D280" t="inlineStr">
        <is>
          <t>Consumer Staples Distribution &amp; Retail</t>
        </is>
      </c>
      <c r="E280" t="inlineStr">
        <is>
          <t>N/A</t>
        </is>
      </c>
      <c r="F280" t="inlineStr"/>
      <c r="G280" t="inlineStr"/>
      <c r="H280" t="inlineStr">
        <is>
          <t>1.74%</t>
        </is>
      </c>
      <c r="I280" t="inlineStr">
        <is>
          <t>1.75%</t>
        </is>
      </c>
    </row>
    <row r="281">
      <c r="A281" s="2" t="n">
        <v>45966</v>
      </c>
      <c r="B281" t="inlineStr">
        <is>
          <t>P21026</t>
        </is>
      </c>
      <c r="C281" t="inlineStr">
        <is>
          <t>GICS_INDUSTRY_GROUP_NAME</t>
        </is>
      </c>
      <c r="D281" t="inlineStr">
        <is>
          <t>Materials</t>
        </is>
      </c>
      <c r="E281" t="inlineStr">
        <is>
          <t>N/A</t>
        </is>
      </c>
      <c r="F281" t="inlineStr"/>
      <c r="G281" t="inlineStr"/>
      <c r="H281" t="inlineStr">
        <is>
          <t>1.68%</t>
        </is>
      </c>
      <c r="I281" t="inlineStr">
        <is>
          <t>1.68%</t>
        </is>
      </c>
    </row>
    <row r="282">
      <c r="A282" s="2" t="n">
        <v>45966</v>
      </c>
      <c r="B282" t="inlineStr">
        <is>
          <t>P21026</t>
        </is>
      </c>
      <c r="C282" t="inlineStr">
        <is>
          <t>GICS_INDUSTRY_NAME</t>
        </is>
      </c>
      <c r="D282" t="inlineStr">
        <is>
          <t>Chemicals</t>
        </is>
      </c>
      <c r="E282" t="inlineStr">
        <is>
          <t>N/A</t>
        </is>
      </c>
      <c r="F282" t="inlineStr"/>
      <c r="G282" t="inlineStr"/>
      <c r="H282" t="inlineStr">
        <is>
          <t>1.68%</t>
        </is>
      </c>
      <c r="I282" t="inlineStr">
        <is>
          <t>1.68%</t>
        </is>
      </c>
    </row>
    <row r="283">
      <c r="A283" s="2" t="n">
        <v>45966</v>
      </c>
      <c r="B283" t="inlineStr">
        <is>
          <t>P21026</t>
        </is>
      </c>
      <c r="C283" t="inlineStr">
        <is>
          <t>GICS_INDUSTRY_GROUP_NAME</t>
        </is>
      </c>
      <c r="D283" t="inlineStr">
        <is>
          <t>Consumer Services</t>
        </is>
      </c>
      <c r="E283" t="inlineStr">
        <is>
          <t>N/A</t>
        </is>
      </c>
      <c r="F283" t="inlineStr"/>
      <c r="G283" t="inlineStr"/>
      <c r="H283" t="inlineStr">
        <is>
          <t>1.67%</t>
        </is>
      </c>
      <c r="I283" t="inlineStr">
        <is>
          <t>1.67%</t>
        </is>
      </c>
    </row>
    <row r="284">
      <c r="A284" s="2" t="n">
        <v>45966</v>
      </c>
      <c r="B284" t="inlineStr">
        <is>
          <t>P21026</t>
        </is>
      </c>
      <c r="C284" t="inlineStr">
        <is>
          <t>GICS_INDUSTRY_NAME</t>
        </is>
      </c>
      <c r="D284" t="inlineStr">
        <is>
          <t>Hotels, Restaurants &amp; Leisure</t>
        </is>
      </c>
      <c r="E284" t="inlineStr">
        <is>
          <t>N/A</t>
        </is>
      </c>
      <c r="F284" t="inlineStr"/>
      <c r="G284" t="inlineStr"/>
      <c r="H284" t="inlineStr">
        <is>
          <t>1.67%</t>
        </is>
      </c>
      <c r="I284" t="inlineStr">
        <is>
          <t>1.67%</t>
        </is>
      </c>
    </row>
    <row r="285">
      <c r="A285" s="2" t="n">
        <v>45966</v>
      </c>
      <c r="B285" t="inlineStr">
        <is>
          <t>P21026</t>
        </is>
      </c>
      <c r="C285" t="inlineStr">
        <is>
          <t>GICS_INDUSTRY_NAME</t>
        </is>
      </c>
      <c r="D285" t="inlineStr">
        <is>
          <t>Machinery</t>
        </is>
      </c>
      <c r="E285" t="inlineStr">
        <is>
          <t>N/A</t>
        </is>
      </c>
      <c r="F285" t="inlineStr"/>
      <c r="G285" t="inlineStr"/>
      <c r="H285" t="inlineStr">
        <is>
          <t>1.51%</t>
        </is>
      </c>
      <c r="I285" t="inlineStr">
        <is>
          <t>1.51%</t>
        </is>
      </c>
    </row>
    <row r="286">
      <c r="A286" s="2" t="n">
        <v>45966</v>
      </c>
      <c r="B286" t="inlineStr">
        <is>
          <t>P21026</t>
        </is>
      </c>
      <c r="C286" t="inlineStr">
        <is>
          <t>GICS_INDUSTRY_GROUP_NAME</t>
        </is>
      </c>
      <c r="D286" t="inlineStr">
        <is>
          <t>Equity Real Estate Investment Trusts</t>
        </is>
      </c>
      <c r="E286" t="inlineStr">
        <is>
          <t>N/A</t>
        </is>
      </c>
      <c r="F286" t="inlineStr"/>
      <c r="G286" t="inlineStr"/>
      <c r="H286" t="inlineStr">
        <is>
          <t>1.44%</t>
        </is>
      </c>
      <c r="I286" t="inlineStr">
        <is>
          <t>1.44%</t>
        </is>
      </c>
    </row>
    <row r="287">
      <c r="A287" s="2" t="n">
        <v>45966</v>
      </c>
      <c r="B287" t="inlineStr">
        <is>
          <t>P21026</t>
        </is>
      </c>
      <c r="C287" t="inlineStr">
        <is>
          <t>GICS_INDUSTRY_NAME</t>
        </is>
      </c>
      <c r="D287" t="inlineStr">
        <is>
          <t>Specialized REITs</t>
        </is>
      </c>
      <c r="E287" t="inlineStr">
        <is>
          <t>N/A</t>
        </is>
      </c>
      <c r="F287" t="inlineStr"/>
      <c r="G287" t="inlineStr"/>
      <c r="H287" t="inlineStr">
        <is>
          <t>1.44%</t>
        </is>
      </c>
      <c r="I287" t="inlineStr">
        <is>
          <t>1.44%</t>
        </is>
      </c>
    </row>
    <row r="288">
      <c r="A288" s="2" t="n">
        <v>45966</v>
      </c>
      <c r="B288" t="inlineStr">
        <is>
          <t>P21026</t>
        </is>
      </c>
      <c r="C288" t="inlineStr">
        <is>
          <t>GICS_INDUSTRY_GROUP_NAME</t>
        </is>
      </c>
      <c r="D288" t="inlineStr">
        <is>
          <t>Transportation</t>
        </is>
      </c>
      <c r="E288" t="inlineStr">
        <is>
          <t>N/A</t>
        </is>
      </c>
      <c r="F288" t="inlineStr"/>
      <c r="G288" t="inlineStr"/>
      <c r="H288" t="inlineStr">
        <is>
          <t>1.32%</t>
        </is>
      </c>
      <c r="I288" t="inlineStr">
        <is>
          <t>1.32%</t>
        </is>
      </c>
    </row>
    <row r="289">
      <c r="A289" s="2" t="n">
        <v>45966</v>
      </c>
      <c r="B289" t="inlineStr">
        <is>
          <t>P21026</t>
        </is>
      </c>
      <c r="C289" t="inlineStr">
        <is>
          <t>GICS_INDUSTRY_NAME</t>
        </is>
      </c>
      <c r="D289" t="inlineStr">
        <is>
          <t>Specialty Retail</t>
        </is>
      </c>
      <c r="E289" t="inlineStr">
        <is>
          <t>N/A</t>
        </is>
      </c>
      <c r="F289" t="inlineStr"/>
      <c r="G289" t="inlineStr"/>
      <c r="H289" t="inlineStr">
        <is>
          <t>1.28%</t>
        </is>
      </c>
      <c r="I289" t="inlineStr">
        <is>
          <t>1.28%</t>
        </is>
      </c>
    </row>
    <row r="290">
      <c r="A290" s="2" t="n">
        <v>45966</v>
      </c>
      <c r="B290" t="inlineStr">
        <is>
          <t>P21026</t>
        </is>
      </c>
      <c r="C290" t="inlineStr">
        <is>
          <t>GICS_INDUSTRY_NAME</t>
        </is>
      </c>
      <c r="D290" t="inlineStr">
        <is>
          <t>Entertainment</t>
        </is>
      </c>
      <c r="E290" t="inlineStr">
        <is>
          <t>N/A</t>
        </is>
      </c>
      <c r="F290" t="inlineStr"/>
      <c r="G290" t="inlineStr"/>
      <c r="H290" t="inlineStr">
        <is>
          <t>1.22%</t>
        </is>
      </c>
      <c r="I290" t="inlineStr">
        <is>
          <t>1.22%</t>
        </is>
      </c>
    </row>
    <row r="291">
      <c r="A291" s="2" t="n">
        <v>45966</v>
      </c>
      <c r="B291" t="inlineStr">
        <is>
          <t>P21026</t>
        </is>
      </c>
      <c r="C291" t="inlineStr">
        <is>
          <t>GICS_INDUSTRY_NAME</t>
        </is>
      </c>
      <c r="D291" t="inlineStr">
        <is>
          <t>IT Services</t>
        </is>
      </c>
      <c r="E291" t="inlineStr">
        <is>
          <t>N/A</t>
        </is>
      </c>
      <c r="F291" t="inlineStr"/>
      <c r="G291" t="inlineStr"/>
      <c r="H291" t="inlineStr">
        <is>
          <t>1.21%</t>
        </is>
      </c>
      <c r="I291" t="inlineStr">
        <is>
          <t>1.13%</t>
        </is>
      </c>
    </row>
    <row r="292">
      <c r="A292" s="2" t="n">
        <v>45966</v>
      </c>
      <c r="B292" t="inlineStr">
        <is>
          <t>P21026</t>
        </is>
      </c>
      <c r="C292" t="inlineStr">
        <is>
          <t>GICS_INDUSTRY_NAME</t>
        </is>
      </c>
      <c r="D292" t="inlineStr">
        <is>
          <t>Beverages</t>
        </is>
      </c>
      <c r="E292" t="inlineStr">
        <is>
          <t>N/A</t>
        </is>
      </c>
      <c r="F292" t="inlineStr"/>
      <c r="G292" t="inlineStr"/>
      <c r="H292" t="inlineStr">
        <is>
          <t>1.15%</t>
        </is>
      </c>
      <c r="I292" t="inlineStr">
        <is>
          <t>1.15%</t>
        </is>
      </c>
    </row>
    <row r="293">
      <c r="A293" s="2" t="n">
        <v>45966</v>
      </c>
      <c r="B293" t="inlineStr">
        <is>
          <t>P21026</t>
        </is>
      </c>
      <c r="C293" t="inlineStr">
        <is>
          <t>GICS_INDUSTRY_GROUP_NAME</t>
        </is>
      </c>
      <c r="D293" t="inlineStr">
        <is>
          <t>Commercial &amp; Professional Services</t>
        </is>
      </c>
      <c r="E293" t="inlineStr">
        <is>
          <t>N/A</t>
        </is>
      </c>
      <c r="F293" t="inlineStr"/>
      <c r="G293" t="inlineStr"/>
      <c r="H293" t="inlineStr">
        <is>
          <t>0.99%</t>
        </is>
      </c>
      <c r="I293" t="inlineStr">
        <is>
          <t>0.99%</t>
        </is>
      </c>
    </row>
    <row r="294">
      <c r="A294" s="2" t="n">
        <v>45966</v>
      </c>
      <c r="B294" t="inlineStr">
        <is>
          <t>P21026</t>
        </is>
      </c>
      <c r="C294" t="inlineStr">
        <is>
          <t>GICS_INDUSTRY_NAME</t>
        </is>
      </c>
      <c r="D294" t="inlineStr">
        <is>
          <t>Commercial Services &amp; Supplies</t>
        </is>
      </c>
      <c r="E294" t="inlineStr">
        <is>
          <t>N/A</t>
        </is>
      </c>
      <c r="F294" t="inlineStr"/>
      <c r="G294" t="inlineStr"/>
      <c r="H294" t="inlineStr">
        <is>
          <t>0.99%</t>
        </is>
      </c>
      <c r="I294" t="inlineStr">
        <is>
          <t>0.99%</t>
        </is>
      </c>
    </row>
    <row r="295">
      <c r="A295" s="2" t="n">
        <v>45966</v>
      </c>
      <c r="B295" t="inlineStr">
        <is>
          <t>P21026</t>
        </is>
      </c>
      <c r="C295" t="inlineStr">
        <is>
          <t>GICS_INDUSTRY_NAME</t>
        </is>
      </c>
      <c r="D295" t="inlineStr">
        <is>
          <t>Ground Transportation</t>
        </is>
      </c>
      <c r="E295" t="inlineStr">
        <is>
          <t>N/A</t>
        </is>
      </c>
      <c r="F295" t="inlineStr"/>
      <c r="G295" t="inlineStr"/>
      <c r="H295" t="inlineStr">
        <is>
          <t>0.95%</t>
        </is>
      </c>
      <c r="I295" t="inlineStr">
        <is>
          <t>0.95%</t>
        </is>
      </c>
    </row>
    <row r="296">
      <c r="A296" s="2" t="n">
        <v>45966</v>
      </c>
      <c r="B296" t="inlineStr">
        <is>
          <t>P21026</t>
        </is>
      </c>
      <c r="C296" t="inlineStr">
        <is>
          <t>GICS_INDUSTRY_GROUP_NAME</t>
        </is>
      </c>
      <c r="D296" t="inlineStr">
        <is>
          <t>Household &amp; Personal Products</t>
        </is>
      </c>
      <c r="E296" t="inlineStr">
        <is>
          <t>N/A</t>
        </is>
      </c>
      <c r="F296" t="inlineStr"/>
      <c r="G296" t="inlineStr"/>
      <c r="H296" t="inlineStr">
        <is>
          <t>0.92%</t>
        </is>
      </c>
      <c r="I296" t="inlineStr">
        <is>
          <t>0.92%</t>
        </is>
      </c>
    </row>
    <row r="297">
      <c r="A297" s="2" t="n">
        <v>45966</v>
      </c>
      <c r="B297" t="inlineStr">
        <is>
          <t>P21026</t>
        </is>
      </c>
      <c r="C297" t="inlineStr">
        <is>
          <t>GICS_INDUSTRY_NAME</t>
        </is>
      </c>
      <c r="D297" t="inlineStr">
        <is>
          <t>Household Products</t>
        </is>
      </c>
      <c r="E297" t="inlineStr">
        <is>
          <t>N/A</t>
        </is>
      </c>
      <c r="F297" t="inlineStr"/>
      <c r="G297" t="inlineStr"/>
      <c r="H297" t="inlineStr">
        <is>
          <t>0.92%</t>
        </is>
      </c>
      <c r="I297" t="inlineStr">
        <is>
          <t>0.92%</t>
        </is>
      </c>
    </row>
    <row r="298">
      <c r="A298" s="2" t="n">
        <v>45966</v>
      </c>
      <c r="B298" t="inlineStr">
        <is>
          <t>P21026</t>
        </is>
      </c>
      <c r="C298" t="inlineStr">
        <is>
          <t>GICS_INDUSTRY_NAME</t>
        </is>
      </c>
      <c r="D298" t="inlineStr">
        <is>
          <t>Life Sciences Tools &amp; Services</t>
        </is>
      </c>
      <c r="E298" t="inlineStr">
        <is>
          <t>N/A</t>
        </is>
      </c>
      <c r="F298" t="inlineStr"/>
      <c r="G298" t="inlineStr"/>
      <c r="H298" t="inlineStr">
        <is>
          <t>0.90%</t>
        </is>
      </c>
      <c r="I298" t="inlineStr">
        <is>
          <t>0.74%</t>
        </is>
      </c>
    </row>
    <row r="299">
      <c r="A299" s="2" t="n">
        <v>45966</v>
      </c>
      <c r="B299" t="inlineStr">
        <is>
          <t>P21026</t>
        </is>
      </c>
      <c r="C299" t="inlineStr">
        <is>
          <t>GICS_INDUSTRY_NAME</t>
        </is>
      </c>
      <c r="D299" t="inlineStr">
        <is>
          <t>Electrical Equipment</t>
        </is>
      </c>
      <c r="E299" t="inlineStr">
        <is>
          <t>N/A</t>
        </is>
      </c>
      <c r="F299" t="inlineStr"/>
      <c r="G299" t="inlineStr"/>
      <c r="H299" t="inlineStr">
        <is>
          <t>0.87%</t>
        </is>
      </c>
      <c r="I299" t="inlineStr">
        <is>
          <t>0.87%</t>
        </is>
      </c>
    </row>
    <row r="300">
      <c r="A300" s="2" t="n">
        <v>45966</v>
      </c>
      <c r="B300" t="inlineStr">
        <is>
          <t>P21026</t>
        </is>
      </c>
      <c r="C300" t="inlineStr">
        <is>
          <t>GICS_INDUSTRY_NAME</t>
        </is>
      </c>
      <c r="D300" t="inlineStr">
        <is>
          <t>Industrial Conglomerates</t>
        </is>
      </c>
      <c r="E300" t="inlineStr">
        <is>
          <t>N/A</t>
        </is>
      </c>
      <c r="F300" t="inlineStr"/>
      <c r="G300" t="inlineStr"/>
      <c r="H300" t="inlineStr">
        <is>
          <t>0.83%</t>
        </is>
      </c>
      <c r="I300" t="inlineStr">
        <is>
          <t>0.83%</t>
        </is>
      </c>
    </row>
    <row r="301">
      <c r="A301" s="2" t="n">
        <v>45966</v>
      </c>
      <c r="B301" t="inlineStr">
        <is>
          <t>P21026</t>
        </is>
      </c>
      <c r="C301" t="inlineStr">
        <is>
          <t>GICS_INDUSTRY_NAME</t>
        </is>
      </c>
      <c r="D301" t="inlineStr">
        <is>
          <t>Tobacco</t>
        </is>
      </c>
      <c r="E301" t="inlineStr">
        <is>
          <t>N/A</t>
        </is>
      </c>
      <c r="F301" t="inlineStr"/>
      <c r="G301" t="inlineStr"/>
      <c r="H301" t="inlineStr">
        <is>
          <t>0.82%</t>
        </is>
      </c>
      <c r="I301" t="inlineStr">
        <is>
          <t>0.81%</t>
        </is>
      </c>
    </row>
    <row r="302">
      <c r="A302" s="2" t="n">
        <v>45966</v>
      </c>
      <c r="B302" t="inlineStr">
        <is>
          <t>P21026</t>
        </is>
      </c>
      <c r="C302" t="inlineStr">
        <is>
          <t>GICS_INDUSTRY_GROUP_NAME</t>
        </is>
      </c>
      <c r="D302" t="inlineStr">
        <is>
          <t>Telecommunication Services</t>
        </is>
      </c>
      <c r="E302" t="inlineStr">
        <is>
          <t>N/A</t>
        </is>
      </c>
      <c r="F302" t="inlineStr"/>
      <c r="G302" t="inlineStr"/>
      <c r="H302" t="inlineStr">
        <is>
          <t>0.79%</t>
        </is>
      </c>
      <c r="I302" t="inlineStr">
        <is>
          <t>0.79%</t>
        </is>
      </c>
    </row>
    <row r="303">
      <c r="A303" s="2" t="n">
        <v>45966</v>
      </c>
      <c r="B303" t="inlineStr">
        <is>
          <t>P21026</t>
        </is>
      </c>
      <c r="C303" t="inlineStr">
        <is>
          <t>GICS_INDUSTRY_NAME</t>
        </is>
      </c>
      <c r="D303" t="inlineStr">
        <is>
          <t>Diversified Telecommunication Services</t>
        </is>
      </c>
      <c r="E303" t="inlineStr">
        <is>
          <t>N/A</t>
        </is>
      </c>
      <c r="F303" t="inlineStr"/>
      <c r="G303" t="inlineStr"/>
      <c r="H303" t="inlineStr">
        <is>
          <t>0.79%</t>
        </is>
      </c>
      <c r="I303" t="inlineStr">
        <is>
          <t>0.79%</t>
        </is>
      </c>
    </row>
    <row r="304">
      <c r="A304" s="2" t="n">
        <v>45966</v>
      </c>
      <c r="B304" t="inlineStr">
        <is>
          <t>P21026</t>
        </is>
      </c>
      <c r="C304" t="inlineStr">
        <is>
          <t>GICS_INDUSTRY_NAME</t>
        </is>
      </c>
      <c r="D304" t="inlineStr">
        <is>
          <t>Consumer Finance</t>
        </is>
      </c>
      <c r="E304" t="inlineStr">
        <is>
          <t>N/A</t>
        </is>
      </c>
      <c r="F304" t="inlineStr"/>
      <c r="G304" t="inlineStr"/>
      <c r="H304" t="inlineStr">
        <is>
          <t>0.62%</t>
        </is>
      </c>
      <c r="I304" t="inlineStr">
        <is>
          <t>0.51%</t>
        </is>
      </c>
    </row>
    <row r="305">
      <c r="A305" s="2" t="n">
        <v>45966</v>
      </c>
      <c r="B305" t="inlineStr">
        <is>
          <t>P21026</t>
        </is>
      </c>
      <c r="C305" t="inlineStr">
        <is>
          <t>GICS_INDUSTRY_GROUP_NAME</t>
        </is>
      </c>
      <c r="D305" t="inlineStr">
        <is>
          <t>Consumer Durables &amp; Apparel</t>
        </is>
      </c>
      <c r="E305" t="inlineStr">
        <is>
          <t>N/A</t>
        </is>
      </c>
      <c r="F305" t="inlineStr"/>
      <c r="G305" t="inlineStr"/>
      <c r="H305" t="inlineStr">
        <is>
          <t>0.51%</t>
        </is>
      </c>
      <c r="I305" t="inlineStr">
        <is>
          <t>0.51%</t>
        </is>
      </c>
    </row>
    <row r="306">
      <c r="A306" s="2" t="n">
        <v>45966</v>
      </c>
      <c r="B306" t="inlineStr">
        <is>
          <t>P21026</t>
        </is>
      </c>
      <c r="C306" t="inlineStr">
        <is>
          <t>GICS_INDUSTRY_NAME</t>
        </is>
      </c>
      <c r="D306" t="inlineStr">
        <is>
          <t>Textiles, Apparel &amp; Luxury Goods</t>
        </is>
      </c>
      <c r="E306" t="inlineStr">
        <is>
          <t>N/A</t>
        </is>
      </c>
      <c r="F306" t="inlineStr"/>
      <c r="G306" t="inlineStr"/>
      <c r="H306" t="inlineStr">
        <is>
          <t>0.51%</t>
        </is>
      </c>
      <c r="I306" t="inlineStr">
        <is>
          <t>0.51%</t>
        </is>
      </c>
    </row>
    <row r="307">
      <c r="A307" s="2" t="n">
        <v>45966</v>
      </c>
      <c r="B307" t="inlineStr">
        <is>
          <t>P21026</t>
        </is>
      </c>
      <c r="C307" t="inlineStr">
        <is>
          <t>GICS_INDUSTRY_NAME</t>
        </is>
      </c>
      <c r="D307" t="inlineStr">
        <is>
          <t>Air Freight &amp; Logistics</t>
        </is>
      </c>
      <c r="E307" t="inlineStr">
        <is>
          <t>N/A</t>
        </is>
      </c>
      <c r="F307" t="inlineStr"/>
      <c r="G307" t="inlineStr"/>
      <c r="H307" t="inlineStr">
        <is>
          <t>0.37%</t>
        </is>
      </c>
      <c r="I307" t="inlineStr">
        <is>
          <t>0.37%</t>
        </is>
      </c>
    </row>
    <row r="308">
      <c r="A308" s="2" t="n">
        <v>45966</v>
      </c>
      <c r="B308" t="inlineStr">
        <is>
          <t>P21026</t>
        </is>
      </c>
      <c r="C308" t="inlineStr">
        <is>
          <t>GICS_INDUSTRY_NAME</t>
        </is>
      </c>
      <c r="D308" t="inlineStr">
        <is>
          <t>Media</t>
        </is>
      </c>
      <c r="E308" t="inlineStr">
        <is>
          <t>N/A</t>
        </is>
      </c>
      <c r="F308" t="inlineStr"/>
      <c r="G308" t="inlineStr"/>
      <c r="H308" t="inlineStr">
        <is>
          <t>0.19%</t>
        </is>
      </c>
      <c r="I308" t="inlineStr">
        <is>
          <t>0.19%</t>
        </is>
      </c>
    </row>
    <row r="309">
      <c r="A309" s="2" t="n">
        <v>45966</v>
      </c>
      <c r="B309" t="inlineStr">
        <is>
          <t>P21026</t>
        </is>
      </c>
      <c r="C309" t="inlineStr">
        <is>
          <t>GICS_INDUSTRY_NAME</t>
        </is>
      </c>
      <c r="D309" t="inlineStr">
        <is>
          <t>Food Products</t>
        </is>
      </c>
      <c r="E309" t="inlineStr">
        <is>
          <t>N/A</t>
        </is>
      </c>
      <c r="F309" t="inlineStr"/>
      <c r="G309" t="inlineStr"/>
      <c r="H309" t="inlineStr">
        <is>
          <t>0.19%</t>
        </is>
      </c>
      <c r="I309" t="inlineStr">
        <is>
          <t>0.19%</t>
        </is>
      </c>
    </row>
    <row r="310">
      <c r="A310" s="2" t="n">
        <v>45966</v>
      </c>
      <c r="B310" t="inlineStr">
        <is>
          <t>P2726</t>
        </is>
      </c>
      <c r="C310" t="inlineStr">
        <is>
          <t>GICS_INDUSTRY_GROUP_NAME</t>
        </is>
      </c>
      <c r="D310" t="inlineStr">
        <is>
          <t>Semiconductors &amp; Semiconductor Equipment</t>
        </is>
      </c>
      <c r="E310" t="inlineStr">
        <is>
          <t>N/A</t>
        </is>
      </c>
      <c r="F310" t="inlineStr"/>
      <c r="G310" t="inlineStr"/>
      <c r="H310" t="inlineStr">
        <is>
          <t>15.87%</t>
        </is>
      </c>
      <c r="I310" t="inlineStr">
        <is>
          <t>14.90%</t>
        </is>
      </c>
    </row>
    <row r="311">
      <c r="A311" s="2" t="n">
        <v>45966</v>
      </c>
      <c r="B311" t="inlineStr">
        <is>
          <t>P2726</t>
        </is>
      </c>
      <c r="C311" t="inlineStr">
        <is>
          <t>GICS_INDUSTRY_NAME</t>
        </is>
      </c>
      <c r="D311" t="inlineStr">
        <is>
          <t>Semiconductors &amp; Semiconductor Equipment</t>
        </is>
      </c>
      <c r="E311" t="inlineStr">
        <is>
          <t>N/A</t>
        </is>
      </c>
      <c r="F311" t="inlineStr"/>
      <c r="G311" t="inlineStr"/>
      <c r="H311" t="inlineStr">
        <is>
          <t>15.87%</t>
        </is>
      </c>
      <c r="I311" t="inlineStr">
        <is>
          <t>14.90%</t>
        </is>
      </c>
    </row>
    <row r="312">
      <c r="A312" s="2" t="n">
        <v>45966</v>
      </c>
      <c r="B312" t="inlineStr">
        <is>
          <t>P2726</t>
        </is>
      </c>
      <c r="C312" t="inlineStr">
        <is>
          <t>GICS_INDUSTRY_GROUP_NAME</t>
        </is>
      </c>
      <c r="D312" t="inlineStr">
        <is>
          <t>Software &amp; Services</t>
        </is>
      </c>
      <c r="E312" t="inlineStr">
        <is>
          <t>N/A</t>
        </is>
      </c>
      <c r="F312" t="inlineStr"/>
      <c r="G312" t="inlineStr"/>
      <c r="H312" t="inlineStr">
        <is>
          <t>10.17%</t>
        </is>
      </c>
      <c r="I312" t="inlineStr">
        <is>
          <t>11.58%</t>
        </is>
      </c>
    </row>
    <row r="313">
      <c r="A313" s="2" t="n">
        <v>45966</v>
      </c>
      <c r="B313" t="inlineStr">
        <is>
          <t>P2726</t>
        </is>
      </c>
      <c r="C313" t="inlineStr">
        <is>
          <t>GICS_INDUSTRY_GROUP_NAME</t>
        </is>
      </c>
      <c r="D313" t="inlineStr">
        <is>
          <t>Technology Hardware &amp; Equipment</t>
        </is>
      </c>
      <c r="E313" t="inlineStr">
        <is>
          <t>N/A</t>
        </is>
      </c>
      <c r="F313" t="inlineStr"/>
      <c r="G313" t="inlineStr"/>
      <c r="H313" t="inlineStr">
        <is>
          <t>9.48%</t>
        </is>
      </c>
      <c r="I313" t="inlineStr">
        <is>
          <t>9.02%</t>
        </is>
      </c>
    </row>
    <row r="314">
      <c r="A314" s="2" t="n">
        <v>45966</v>
      </c>
      <c r="B314" t="inlineStr">
        <is>
          <t>P2726</t>
        </is>
      </c>
      <c r="C314" t="inlineStr">
        <is>
          <t>GICS_INDUSTRY_GROUP_NAME</t>
        </is>
      </c>
      <c r="D314" t="inlineStr">
        <is>
          <t>Media &amp; Entertainment</t>
        </is>
      </c>
      <c r="E314" t="inlineStr">
        <is>
          <t>N/A</t>
        </is>
      </c>
      <c r="F314" t="inlineStr"/>
      <c r="G314" t="inlineStr"/>
      <c r="H314" t="inlineStr">
        <is>
          <t>9.40%</t>
        </is>
      </c>
      <c r="I314" t="inlineStr">
        <is>
          <t>9.40%</t>
        </is>
      </c>
    </row>
    <row r="315">
      <c r="A315" s="2" t="n">
        <v>45966</v>
      </c>
      <c r="B315" t="inlineStr">
        <is>
          <t>P2726</t>
        </is>
      </c>
      <c r="C315" t="inlineStr">
        <is>
          <t>GICS_INDUSTRY_NAME</t>
        </is>
      </c>
      <c r="D315" t="inlineStr">
        <is>
          <t>Software</t>
        </is>
      </c>
      <c r="E315" t="inlineStr">
        <is>
          <t>N/A</t>
        </is>
      </c>
      <c r="F315" t="inlineStr"/>
      <c r="G315" t="inlineStr"/>
      <c r="H315" t="inlineStr">
        <is>
          <t>8.96%</t>
        </is>
      </c>
      <c r="I315" t="inlineStr">
        <is>
          <t>10.45%</t>
        </is>
      </c>
    </row>
    <row r="316">
      <c r="A316" s="2" t="n">
        <v>45966</v>
      </c>
      <c r="B316" t="inlineStr">
        <is>
          <t>P2726</t>
        </is>
      </c>
      <c r="C316" t="inlineStr">
        <is>
          <t>GICS_INDUSTRY_NAME</t>
        </is>
      </c>
      <c r="D316" t="inlineStr">
        <is>
          <t>Interactive Media &amp; Services</t>
        </is>
      </c>
      <c r="E316" t="inlineStr">
        <is>
          <t>N/A</t>
        </is>
      </c>
      <c r="F316" t="inlineStr"/>
      <c r="G316" t="inlineStr"/>
      <c r="H316" t="inlineStr">
        <is>
          <t>7.99%</t>
        </is>
      </c>
      <c r="I316" t="inlineStr">
        <is>
          <t>7.99%</t>
        </is>
      </c>
    </row>
    <row r="317">
      <c r="A317" s="2" t="n">
        <v>45966</v>
      </c>
      <c r="B317" t="inlineStr">
        <is>
          <t>P2726</t>
        </is>
      </c>
      <c r="C317" t="inlineStr">
        <is>
          <t>GICS_INDUSTRY_NAME</t>
        </is>
      </c>
      <c r="D317" t="inlineStr">
        <is>
          <t>Technology Hardware, Storage &amp; Peripherals</t>
        </is>
      </c>
      <c r="E317" t="inlineStr">
        <is>
          <t>N/A</t>
        </is>
      </c>
      <c r="F317" t="inlineStr"/>
      <c r="G317" t="inlineStr"/>
      <c r="H317" t="inlineStr">
        <is>
          <t>7.46%</t>
        </is>
      </c>
      <c r="I317" t="inlineStr">
        <is>
          <t>7.01%</t>
        </is>
      </c>
    </row>
    <row r="318">
      <c r="A318" s="2" t="n">
        <v>45966</v>
      </c>
      <c r="B318" t="inlineStr">
        <is>
          <t>P2726</t>
        </is>
      </c>
      <c r="C318" t="inlineStr">
        <is>
          <t>GICS_INDUSTRY_GROUP_NAME</t>
        </is>
      </c>
      <c r="D318" t="inlineStr">
        <is>
          <t>Financial Services</t>
        </is>
      </c>
      <c r="E318" t="inlineStr">
        <is>
          <t>N/A</t>
        </is>
      </c>
      <c r="F318" t="inlineStr"/>
      <c r="G318" t="inlineStr"/>
      <c r="H318" t="inlineStr">
        <is>
          <t>6.64%</t>
        </is>
      </c>
      <c r="I318" t="inlineStr">
        <is>
          <t>7.82%</t>
        </is>
      </c>
    </row>
    <row r="319">
      <c r="A319" s="2" t="n">
        <v>45966</v>
      </c>
      <c r="B319" t="inlineStr">
        <is>
          <t>P2726</t>
        </is>
      </c>
      <c r="C319" t="inlineStr">
        <is>
          <t>GICS_INDUSTRY_GROUP_NAME</t>
        </is>
      </c>
      <c r="D319" t="inlineStr">
        <is>
          <t>Capital Goods</t>
        </is>
      </c>
      <c r="E319" t="inlineStr">
        <is>
          <t>N/A</t>
        </is>
      </c>
      <c r="F319" t="inlineStr"/>
      <c r="G319" t="inlineStr"/>
      <c r="H319" t="inlineStr">
        <is>
          <t>6.29%</t>
        </is>
      </c>
      <c r="I319" t="inlineStr">
        <is>
          <t>6.29%</t>
        </is>
      </c>
    </row>
    <row r="320">
      <c r="A320" s="2" t="n">
        <v>45966</v>
      </c>
      <c r="B320" t="inlineStr">
        <is>
          <t>P2726</t>
        </is>
      </c>
      <c r="C320" t="inlineStr">
        <is>
          <t>GICS_INDUSTRY_GROUP_NAME</t>
        </is>
      </c>
      <c r="D320" t="inlineStr">
        <is>
          <t>Consumer Discretionary Distribution &amp; Retail</t>
        </is>
      </c>
      <c r="E320" t="inlineStr">
        <is>
          <t>N/A</t>
        </is>
      </c>
      <c r="F320" t="inlineStr"/>
      <c r="G320" t="inlineStr"/>
      <c r="H320" t="inlineStr">
        <is>
          <t>5.78%</t>
        </is>
      </c>
      <c r="I320" t="inlineStr">
        <is>
          <t>5.78%</t>
        </is>
      </c>
    </row>
    <row r="321">
      <c r="A321" s="2" t="n">
        <v>45966</v>
      </c>
      <c r="B321" t="inlineStr">
        <is>
          <t>P2726</t>
        </is>
      </c>
      <c r="C321" t="inlineStr">
        <is>
          <t>GICS_INDUSTRY_GROUP_NAME</t>
        </is>
      </c>
      <c r="D321" t="inlineStr">
        <is>
          <t>Pharmaceuticals, Biotechnology &amp; Life Sciences</t>
        </is>
      </c>
      <c r="E321" t="inlineStr">
        <is>
          <t>N/A</t>
        </is>
      </c>
      <c r="F321" t="inlineStr"/>
      <c r="G321" t="inlineStr"/>
      <c r="H321" t="inlineStr">
        <is>
          <t>4.96%</t>
        </is>
      </c>
      <c r="I321" t="inlineStr">
        <is>
          <t>5.66%</t>
        </is>
      </c>
    </row>
    <row r="322">
      <c r="A322" s="2" t="n">
        <v>45966</v>
      </c>
      <c r="B322" t="inlineStr">
        <is>
          <t>P2726</t>
        </is>
      </c>
      <c r="C322" t="inlineStr">
        <is>
          <t>GICS_INDUSTRY_NAME</t>
        </is>
      </c>
      <c r="D322" t="inlineStr">
        <is>
          <t>Broadline Retail</t>
        </is>
      </c>
      <c r="E322" t="inlineStr">
        <is>
          <t>N/A</t>
        </is>
      </c>
      <c r="F322" t="inlineStr"/>
      <c r="G322" t="inlineStr"/>
      <c r="H322" t="inlineStr">
        <is>
          <t>4.50%</t>
        </is>
      </c>
      <c r="I322" t="inlineStr">
        <is>
          <t>4.50%</t>
        </is>
      </c>
    </row>
    <row r="323">
      <c r="A323" s="2" t="n">
        <v>45966</v>
      </c>
      <c r="B323" t="inlineStr">
        <is>
          <t>P2726</t>
        </is>
      </c>
      <c r="C323" t="inlineStr">
        <is>
          <t>GICS_INDUSTRY_GROUP_NAME</t>
        </is>
      </c>
      <c r="D323" t="inlineStr">
        <is>
          <t>Banks</t>
        </is>
      </c>
      <c r="E323" t="inlineStr">
        <is>
          <t>N/A</t>
        </is>
      </c>
      <c r="F323" t="inlineStr"/>
      <c r="G323" t="inlineStr"/>
      <c r="H323" t="inlineStr">
        <is>
          <t>4.47%</t>
        </is>
      </c>
      <c r="I323" t="inlineStr">
        <is>
          <t>3.69%</t>
        </is>
      </c>
    </row>
    <row r="324">
      <c r="A324" s="2" t="n">
        <v>45966</v>
      </c>
      <c r="B324" t="inlineStr">
        <is>
          <t>P2726</t>
        </is>
      </c>
      <c r="C324" t="inlineStr">
        <is>
          <t>GICS_INDUSTRY_NAME</t>
        </is>
      </c>
      <c r="D324" t="inlineStr">
        <is>
          <t>Banks</t>
        </is>
      </c>
      <c r="E324" t="inlineStr">
        <is>
          <t>N/A</t>
        </is>
      </c>
      <c r="F324" t="inlineStr"/>
      <c r="G324" t="inlineStr"/>
      <c r="H324" t="inlineStr">
        <is>
          <t>4.47%</t>
        </is>
      </c>
      <c r="I324" t="inlineStr">
        <is>
          <t>3.69%</t>
        </is>
      </c>
    </row>
    <row r="325">
      <c r="A325" s="2" t="n">
        <v>45966</v>
      </c>
      <c r="B325" t="inlineStr">
        <is>
          <t>P2726</t>
        </is>
      </c>
      <c r="C325" t="inlineStr">
        <is>
          <t>GICS_INDUSTRY_GROUP_NAME</t>
        </is>
      </c>
      <c r="D325" t="inlineStr">
        <is>
          <t>Health Care Equipment &amp; Services</t>
        </is>
      </c>
      <c r="E325" t="inlineStr">
        <is>
          <t>N/A</t>
        </is>
      </c>
      <c r="F325" t="inlineStr"/>
      <c r="G325" t="inlineStr"/>
      <c r="H325" t="inlineStr">
        <is>
          <t>4.04%</t>
        </is>
      </c>
      <c r="I325" t="inlineStr">
        <is>
          <t>3.36%</t>
        </is>
      </c>
    </row>
    <row r="326">
      <c r="A326" s="2" t="n">
        <v>45966</v>
      </c>
      <c r="B326" t="inlineStr">
        <is>
          <t>P2726</t>
        </is>
      </c>
      <c r="C326" t="inlineStr">
        <is>
          <t>GICS_INDUSTRY_NAME</t>
        </is>
      </c>
      <c r="D326" t="inlineStr">
        <is>
          <t>Financial Services</t>
        </is>
      </c>
      <c r="E326" t="inlineStr">
        <is>
          <t>N/A</t>
        </is>
      </c>
      <c r="F326" t="inlineStr"/>
      <c r="G326" t="inlineStr"/>
      <c r="H326" t="inlineStr">
        <is>
          <t>3.34%</t>
        </is>
      </c>
      <c r="I326" t="inlineStr">
        <is>
          <t>5.03%</t>
        </is>
      </c>
    </row>
    <row r="327">
      <c r="A327" s="2" t="n">
        <v>45966</v>
      </c>
      <c r="B327" t="inlineStr">
        <is>
          <t>P2726</t>
        </is>
      </c>
      <c r="C327" t="inlineStr">
        <is>
          <t>GICS_INDUSTRY_NAME</t>
        </is>
      </c>
      <c r="D327" t="inlineStr">
        <is>
          <t>Aerospace &amp; Defense</t>
        </is>
      </c>
      <c r="E327" t="inlineStr">
        <is>
          <t>N/A</t>
        </is>
      </c>
      <c r="F327" t="inlineStr"/>
      <c r="G327" t="inlineStr"/>
      <c r="H327" t="inlineStr">
        <is>
          <t>3.09%</t>
        </is>
      </c>
      <c r="I327" t="inlineStr">
        <is>
          <t>3.09%</t>
        </is>
      </c>
    </row>
    <row r="328">
      <c r="A328" s="2" t="n">
        <v>45966</v>
      </c>
      <c r="B328" t="inlineStr">
        <is>
          <t>P2726</t>
        </is>
      </c>
      <c r="C328" t="inlineStr">
        <is>
          <t>GICS_INDUSTRY_GROUP_NAME</t>
        </is>
      </c>
      <c r="D328" t="inlineStr">
        <is>
          <t>Energy</t>
        </is>
      </c>
      <c r="E328" t="inlineStr">
        <is>
          <t>N/A</t>
        </is>
      </c>
      <c r="F328" t="inlineStr"/>
      <c r="G328" t="inlineStr"/>
      <c r="H328" t="inlineStr">
        <is>
          <t>2.79%</t>
        </is>
      </c>
      <c r="I328" t="inlineStr">
        <is>
          <t>2.79%</t>
        </is>
      </c>
    </row>
    <row r="329">
      <c r="A329" s="2" t="n">
        <v>45966</v>
      </c>
      <c r="B329" t="inlineStr">
        <is>
          <t>P2726</t>
        </is>
      </c>
      <c r="C329" t="inlineStr">
        <is>
          <t>GICS_INDUSTRY_NAME</t>
        </is>
      </c>
      <c r="D329" t="inlineStr">
        <is>
          <t>Oil, Gas &amp; Consumable Fuels</t>
        </is>
      </c>
      <c r="E329" t="inlineStr">
        <is>
          <t>N/A</t>
        </is>
      </c>
      <c r="F329" t="inlineStr"/>
      <c r="G329" t="inlineStr"/>
      <c r="H329" t="inlineStr">
        <is>
          <t>2.79%</t>
        </is>
      </c>
      <c r="I329" t="inlineStr">
        <is>
          <t>2.79%</t>
        </is>
      </c>
    </row>
    <row r="330">
      <c r="A330" s="2" t="n">
        <v>45966</v>
      </c>
      <c r="B330" t="inlineStr">
        <is>
          <t>P2726</t>
        </is>
      </c>
      <c r="C330" t="inlineStr">
        <is>
          <t>GICS_INDUSTRY_NAME</t>
        </is>
      </c>
      <c r="D330" t="inlineStr">
        <is>
          <t>Capital Markets</t>
        </is>
      </c>
      <c r="E330" t="inlineStr">
        <is>
          <t>N/A</t>
        </is>
      </c>
      <c r="F330" t="inlineStr"/>
      <c r="G330" t="inlineStr"/>
      <c r="H330" t="inlineStr">
        <is>
          <t>2.68%</t>
        </is>
      </c>
      <c r="I330" t="inlineStr">
        <is>
          <t>2.28%</t>
        </is>
      </c>
    </row>
    <row r="331">
      <c r="A331" s="2" t="n">
        <v>45966</v>
      </c>
      <c r="B331" t="inlineStr">
        <is>
          <t>P2726</t>
        </is>
      </c>
      <c r="C331" t="inlineStr">
        <is>
          <t>GICS_INDUSTRY_GROUP_NAME</t>
        </is>
      </c>
      <c r="D331" t="inlineStr">
        <is>
          <t>Automobiles &amp; Components</t>
        </is>
      </c>
      <c r="E331" t="inlineStr">
        <is>
          <t>N/A</t>
        </is>
      </c>
      <c r="F331" t="inlineStr"/>
      <c r="G331" t="inlineStr"/>
      <c r="H331" t="inlineStr">
        <is>
          <t>2.45%</t>
        </is>
      </c>
      <c r="I331" t="inlineStr">
        <is>
          <t>2.45%</t>
        </is>
      </c>
    </row>
    <row r="332">
      <c r="A332" s="2" t="n">
        <v>45966</v>
      </c>
      <c r="B332" t="inlineStr">
        <is>
          <t>P2726</t>
        </is>
      </c>
      <c r="C332" t="inlineStr">
        <is>
          <t>GICS_INDUSTRY_NAME</t>
        </is>
      </c>
      <c r="D332" t="inlineStr">
        <is>
          <t>Automobiles</t>
        </is>
      </c>
      <c r="E332" t="inlineStr">
        <is>
          <t>N/A</t>
        </is>
      </c>
      <c r="F332" t="inlineStr"/>
      <c r="G332" t="inlineStr"/>
      <c r="H332" t="inlineStr">
        <is>
          <t>2.45%</t>
        </is>
      </c>
      <c r="I332" t="inlineStr">
        <is>
          <t>2.45%</t>
        </is>
      </c>
    </row>
    <row r="333">
      <c r="A333" s="2" t="n">
        <v>45966</v>
      </c>
      <c r="B333" t="inlineStr">
        <is>
          <t>P2726</t>
        </is>
      </c>
      <c r="C333" t="inlineStr">
        <is>
          <t>GICS_INDUSTRY_NAME</t>
        </is>
      </c>
      <c r="D333" t="inlineStr">
        <is>
          <t>Pharmaceuticals</t>
        </is>
      </c>
      <c r="E333" t="inlineStr">
        <is>
          <t>N/A</t>
        </is>
      </c>
      <c r="F333" t="inlineStr"/>
      <c r="G333" t="inlineStr"/>
      <c r="H333" t="inlineStr">
        <is>
          <t>2.27%</t>
        </is>
      </c>
      <c r="I333" t="inlineStr">
        <is>
          <t>3.42%</t>
        </is>
      </c>
    </row>
    <row r="334">
      <c r="A334" s="2" t="n">
        <v>45966</v>
      </c>
      <c r="B334" t="inlineStr">
        <is>
          <t>P2726</t>
        </is>
      </c>
      <c r="C334" t="inlineStr">
        <is>
          <t>GICS_INDUSTRY_GROUP_NAME</t>
        </is>
      </c>
      <c r="D334" t="inlineStr">
        <is>
          <t>Utilities</t>
        </is>
      </c>
      <c r="E334" t="inlineStr">
        <is>
          <t>N/A</t>
        </is>
      </c>
      <c r="F334" t="inlineStr"/>
      <c r="G334" t="inlineStr"/>
      <c r="H334" t="inlineStr">
        <is>
          <t>2.26%</t>
        </is>
      </c>
      <c r="I334" t="inlineStr">
        <is>
          <t>2.26%</t>
        </is>
      </c>
    </row>
    <row r="335">
      <c r="A335" s="2" t="n">
        <v>45966</v>
      </c>
      <c r="B335" t="inlineStr">
        <is>
          <t>P2726</t>
        </is>
      </c>
      <c r="C335" t="inlineStr">
        <is>
          <t>GICS_INDUSTRY_NAME</t>
        </is>
      </c>
      <c r="D335" t="inlineStr">
        <is>
          <t>Electric Utilities</t>
        </is>
      </c>
      <c r="E335" t="inlineStr">
        <is>
          <t>N/A</t>
        </is>
      </c>
      <c r="F335" t="inlineStr"/>
      <c r="G335" t="inlineStr"/>
      <c r="H335" t="inlineStr">
        <is>
          <t>2.26%</t>
        </is>
      </c>
      <c r="I335" t="inlineStr">
        <is>
          <t>2.26%</t>
        </is>
      </c>
    </row>
    <row r="336">
      <c r="A336" s="2" t="n">
        <v>45966</v>
      </c>
      <c r="B336" t="inlineStr">
        <is>
          <t>P2726</t>
        </is>
      </c>
      <c r="C336" t="inlineStr">
        <is>
          <t>GICS_INDUSTRY_GROUP_NAME</t>
        </is>
      </c>
      <c r="D336" t="inlineStr">
        <is>
          <t>Insurance</t>
        </is>
      </c>
      <c r="E336" t="inlineStr">
        <is>
          <t>N/A</t>
        </is>
      </c>
      <c r="F336" t="inlineStr"/>
      <c r="G336" t="inlineStr"/>
      <c r="H336" t="inlineStr">
        <is>
          <t>2.17%</t>
        </is>
      </c>
      <c r="I336" t="inlineStr">
        <is>
          <t>1.79%</t>
        </is>
      </c>
    </row>
    <row r="337">
      <c r="A337" s="2" t="n">
        <v>45966</v>
      </c>
      <c r="B337" t="inlineStr">
        <is>
          <t>P2726</t>
        </is>
      </c>
      <c r="C337" t="inlineStr">
        <is>
          <t>GICS_INDUSTRY_NAME</t>
        </is>
      </c>
      <c r="D337" t="inlineStr">
        <is>
          <t>Insurance</t>
        </is>
      </c>
      <c r="E337" t="inlineStr">
        <is>
          <t>N/A</t>
        </is>
      </c>
      <c r="F337" t="inlineStr"/>
      <c r="G337" t="inlineStr"/>
      <c r="H337" t="inlineStr">
        <is>
          <t>2.17%</t>
        </is>
      </c>
      <c r="I337" t="inlineStr">
        <is>
          <t>1.79%</t>
        </is>
      </c>
    </row>
    <row r="338">
      <c r="A338" s="2" t="n">
        <v>45966</v>
      </c>
      <c r="B338" t="inlineStr">
        <is>
          <t>P2726</t>
        </is>
      </c>
      <c r="C338" t="inlineStr">
        <is>
          <t>GICS_INDUSTRY_GROUP_NAME</t>
        </is>
      </c>
      <c r="D338" t="inlineStr">
        <is>
          <t>Food, Beverage &amp; Tobacco</t>
        </is>
      </c>
      <c r="E338" t="inlineStr">
        <is>
          <t>N/A</t>
        </is>
      </c>
      <c r="F338" t="inlineStr"/>
      <c r="G338" t="inlineStr"/>
      <c r="H338" t="inlineStr">
        <is>
          <t>2.15%</t>
        </is>
      </c>
      <c r="I338" t="inlineStr">
        <is>
          <t>2.15%</t>
        </is>
      </c>
    </row>
    <row r="339">
      <c r="A339" s="2" t="n">
        <v>45966</v>
      </c>
      <c r="B339" t="inlineStr">
        <is>
          <t>P2726</t>
        </is>
      </c>
      <c r="C339" t="inlineStr">
        <is>
          <t>GICS_INDUSTRY_NAME</t>
        </is>
      </c>
      <c r="D339" t="inlineStr">
        <is>
          <t>Health Care Equipment &amp; Supplies</t>
        </is>
      </c>
      <c r="E339" t="inlineStr">
        <is>
          <t>N/A</t>
        </is>
      </c>
      <c r="F339" t="inlineStr"/>
      <c r="G339" t="inlineStr"/>
      <c r="H339" t="inlineStr">
        <is>
          <t>2.13%</t>
        </is>
      </c>
      <c r="I339" t="inlineStr">
        <is>
          <t>1.77%</t>
        </is>
      </c>
    </row>
    <row r="340">
      <c r="A340" s="2" t="n">
        <v>45966</v>
      </c>
      <c r="B340" t="inlineStr">
        <is>
          <t>P2726</t>
        </is>
      </c>
      <c r="C340" t="inlineStr">
        <is>
          <t>GICS_INDUSTRY_NAME</t>
        </is>
      </c>
      <c r="D340" t="inlineStr">
        <is>
          <t>Communications Equipment</t>
        </is>
      </c>
      <c r="E340" t="inlineStr">
        <is>
          <t>N/A</t>
        </is>
      </c>
      <c r="F340" t="inlineStr"/>
      <c r="G340" t="inlineStr"/>
      <c r="H340" t="inlineStr">
        <is>
          <t>2.02%</t>
        </is>
      </c>
      <c r="I340" t="inlineStr">
        <is>
          <t>2.01%</t>
        </is>
      </c>
    </row>
    <row r="341">
      <c r="A341" s="2" t="n">
        <v>45966</v>
      </c>
      <c r="B341" t="inlineStr">
        <is>
          <t>P2726</t>
        </is>
      </c>
      <c r="C341" t="inlineStr">
        <is>
          <t>GICS_INDUSTRY_NAME</t>
        </is>
      </c>
      <c r="D341" t="inlineStr">
        <is>
          <t>Health Care Providers &amp; Services</t>
        </is>
      </c>
      <c r="E341" t="inlineStr">
        <is>
          <t>N/A</t>
        </is>
      </c>
      <c r="F341" t="inlineStr"/>
      <c r="G341" t="inlineStr"/>
      <c r="H341" t="inlineStr">
        <is>
          <t>1.91%</t>
        </is>
      </c>
      <c r="I341" t="inlineStr">
        <is>
          <t>1.59%</t>
        </is>
      </c>
    </row>
    <row r="342">
      <c r="A342" s="2" t="n">
        <v>45966</v>
      </c>
      <c r="B342" t="inlineStr">
        <is>
          <t>P2726</t>
        </is>
      </c>
      <c r="C342" t="inlineStr">
        <is>
          <t>GICS_INDUSTRY_NAME</t>
        </is>
      </c>
      <c r="D342" t="inlineStr">
        <is>
          <t>Biotechnology</t>
        </is>
      </c>
      <c r="E342" t="inlineStr">
        <is>
          <t>N/A</t>
        </is>
      </c>
      <c r="F342" t="inlineStr"/>
      <c r="G342" t="inlineStr"/>
      <c r="H342" t="inlineStr">
        <is>
          <t>1.79%</t>
        </is>
      </c>
      <c r="I342" t="inlineStr">
        <is>
          <t>1.49%</t>
        </is>
      </c>
    </row>
    <row r="343">
      <c r="A343" s="2" t="n">
        <v>45966</v>
      </c>
      <c r="B343" t="inlineStr">
        <is>
          <t>P2726</t>
        </is>
      </c>
      <c r="C343" t="inlineStr">
        <is>
          <t>GICS_INDUSTRY_GROUP_NAME</t>
        </is>
      </c>
      <c r="D343" t="inlineStr">
        <is>
          <t>Consumer Staples Distribution &amp; Retail</t>
        </is>
      </c>
      <c r="E343" t="inlineStr">
        <is>
          <t>N/A</t>
        </is>
      </c>
      <c r="F343" t="inlineStr"/>
      <c r="G343" t="inlineStr"/>
      <c r="H343" t="inlineStr">
        <is>
          <t>1.74%</t>
        </is>
      </c>
      <c r="I343" t="inlineStr">
        <is>
          <t>1.75%</t>
        </is>
      </c>
    </row>
    <row r="344">
      <c r="A344" s="2" t="n">
        <v>45966</v>
      </c>
      <c r="B344" t="inlineStr">
        <is>
          <t>P2726</t>
        </is>
      </c>
      <c r="C344" t="inlineStr">
        <is>
          <t>GICS_INDUSTRY_NAME</t>
        </is>
      </c>
      <c r="D344" t="inlineStr">
        <is>
          <t>Consumer Staples Distribution &amp; Retail</t>
        </is>
      </c>
      <c r="E344" t="inlineStr">
        <is>
          <t>N/A</t>
        </is>
      </c>
      <c r="F344" t="inlineStr"/>
      <c r="G344" t="inlineStr"/>
      <c r="H344" t="inlineStr">
        <is>
          <t>1.74%</t>
        </is>
      </c>
      <c r="I344" t="inlineStr">
        <is>
          <t>1.75%</t>
        </is>
      </c>
    </row>
    <row r="345">
      <c r="A345" s="2" t="n">
        <v>45966</v>
      </c>
      <c r="B345" t="inlineStr">
        <is>
          <t>P2726</t>
        </is>
      </c>
      <c r="C345" t="inlineStr">
        <is>
          <t>GICS_INDUSTRY_GROUP_NAME</t>
        </is>
      </c>
      <c r="D345" t="inlineStr">
        <is>
          <t>Materials</t>
        </is>
      </c>
      <c r="E345" t="inlineStr">
        <is>
          <t>N/A</t>
        </is>
      </c>
      <c r="F345" t="inlineStr"/>
      <c r="G345" t="inlineStr"/>
      <c r="H345" t="inlineStr">
        <is>
          <t>1.68%</t>
        </is>
      </c>
      <c r="I345" t="inlineStr">
        <is>
          <t>1.68%</t>
        </is>
      </c>
    </row>
    <row r="346">
      <c r="A346" s="2" t="n">
        <v>45966</v>
      </c>
      <c r="B346" t="inlineStr">
        <is>
          <t>P2726</t>
        </is>
      </c>
      <c r="C346" t="inlineStr">
        <is>
          <t>GICS_INDUSTRY_NAME</t>
        </is>
      </c>
      <c r="D346" t="inlineStr">
        <is>
          <t>Chemicals</t>
        </is>
      </c>
      <c r="E346" t="inlineStr">
        <is>
          <t>N/A</t>
        </is>
      </c>
      <c r="F346" t="inlineStr"/>
      <c r="G346" t="inlineStr"/>
      <c r="H346" t="inlineStr">
        <is>
          <t>1.68%</t>
        </is>
      </c>
      <c r="I346" t="inlineStr">
        <is>
          <t>1.68%</t>
        </is>
      </c>
    </row>
    <row r="347">
      <c r="A347" s="2" t="n">
        <v>45966</v>
      </c>
      <c r="B347" t="inlineStr">
        <is>
          <t>P2726</t>
        </is>
      </c>
      <c r="C347" t="inlineStr">
        <is>
          <t>GICS_INDUSTRY_GROUP_NAME</t>
        </is>
      </c>
      <c r="D347" t="inlineStr">
        <is>
          <t>Consumer Services</t>
        </is>
      </c>
      <c r="E347" t="inlineStr">
        <is>
          <t>N/A</t>
        </is>
      </c>
      <c r="F347" t="inlineStr"/>
      <c r="G347" t="inlineStr"/>
      <c r="H347" t="inlineStr">
        <is>
          <t>1.67%</t>
        </is>
      </c>
      <c r="I347" t="inlineStr">
        <is>
          <t>1.67%</t>
        </is>
      </c>
    </row>
    <row r="348">
      <c r="A348" s="2" t="n">
        <v>45966</v>
      </c>
      <c r="B348" t="inlineStr">
        <is>
          <t>P2726</t>
        </is>
      </c>
      <c r="C348" t="inlineStr">
        <is>
          <t>GICS_INDUSTRY_NAME</t>
        </is>
      </c>
      <c r="D348" t="inlineStr">
        <is>
          <t>Hotels, Restaurants &amp; Leisure</t>
        </is>
      </c>
      <c r="E348" t="inlineStr">
        <is>
          <t>N/A</t>
        </is>
      </c>
      <c r="F348" t="inlineStr"/>
      <c r="G348" t="inlineStr"/>
      <c r="H348" t="inlineStr">
        <is>
          <t>1.67%</t>
        </is>
      </c>
      <c r="I348" t="inlineStr">
        <is>
          <t>1.67%</t>
        </is>
      </c>
    </row>
    <row r="349">
      <c r="A349" s="2" t="n">
        <v>45966</v>
      </c>
      <c r="B349" t="inlineStr">
        <is>
          <t>P2726</t>
        </is>
      </c>
      <c r="C349" t="inlineStr">
        <is>
          <t>GICS_INDUSTRY_NAME</t>
        </is>
      </c>
      <c r="D349" t="inlineStr">
        <is>
          <t>Machinery</t>
        </is>
      </c>
      <c r="E349" t="inlineStr">
        <is>
          <t>N/A</t>
        </is>
      </c>
      <c r="F349" t="inlineStr"/>
      <c r="G349" t="inlineStr"/>
      <c r="H349" t="inlineStr">
        <is>
          <t>1.51%</t>
        </is>
      </c>
      <c r="I349" t="inlineStr">
        <is>
          <t>1.51%</t>
        </is>
      </c>
    </row>
    <row r="350">
      <c r="A350" s="2" t="n">
        <v>45966</v>
      </c>
      <c r="B350" t="inlineStr">
        <is>
          <t>P2726</t>
        </is>
      </c>
      <c r="C350" t="inlineStr">
        <is>
          <t>GICS_INDUSTRY_GROUP_NAME</t>
        </is>
      </c>
      <c r="D350" t="inlineStr">
        <is>
          <t>Equity Real Estate Investment Trusts</t>
        </is>
      </c>
      <c r="E350" t="inlineStr">
        <is>
          <t>N/A</t>
        </is>
      </c>
      <c r="F350" t="inlineStr"/>
      <c r="G350" t="inlineStr"/>
      <c r="H350" t="inlineStr">
        <is>
          <t>1.44%</t>
        </is>
      </c>
      <c r="I350" t="inlineStr">
        <is>
          <t>1.44%</t>
        </is>
      </c>
    </row>
    <row r="351">
      <c r="A351" s="2" t="n">
        <v>45966</v>
      </c>
      <c r="B351" t="inlineStr">
        <is>
          <t>P2726</t>
        </is>
      </c>
      <c r="C351" t="inlineStr">
        <is>
          <t>GICS_INDUSTRY_NAME</t>
        </is>
      </c>
      <c r="D351" t="inlineStr">
        <is>
          <t>Specialized REITs</t>
        </is>
      </c>
      <c r="E351" t="inlineStr">
        <is>
          <t>N/A</t>
        </is>
      </c>
      <c r="F351" t="inlineStr"/>
      <c r="G351" t="inlineStr"/>
      <c r="H351" t="inlineStr">
        <is>
          <t>1.44%</t>
        </is>
      </c>
      <c r="I351" t="inlineStr">
        <is>
          <t>1.44%</t>
        </is>
      </c>
    </row>
    <row r="352">
      <c r="A352" s="2" t="n">
        <v>45966</v>
      </c>
      <c r="B352" t="inlineStr">
        <is>
          <t>P2726</t>
        </is>
      </c>
      <c r="C352" t="inlineStr">
        <is>
          <t>GICS_INDUSTRY_GROUP_NAME</t>
        </is>
      </c>
      <c r="D352" t="inlineStr">
        <is>
          <t>Transportation</t>
        </is>
      </c>
      <c r="E352" t="inlineStr">
        <is>
          <t>N/A</t>
        </is>
      </c>
      <c r="F352" t="inlineStr"/>
      <c r="G352" t="inlineStr"/>
      <c r="H352" t="inlineStr">
        <is>
          <t>1.32%</t>
        </is>
      </c>
      <c r="I352" t="inlineStr">
        <is>
          <t>1.32%</t>
        </is>
      </c>
    </row>
    <row r="353">
      <c r="A353" s="2" t="n">
        <v>45966</v>
      </c>
      <c r="B353" t="inlineStr">
        <is>
          <t>P2726</t>
        </is>
      </c>
      <c r="C353" t="inlineStr">
        <is>
          <t>GICS_INDUSTRY_NAME</t>
        </is>
      </c>
      <c r="D353" t="inlineStr">
        <is>
          <t>Specialty Retail</t>
        </is>
      </c>
      <c r="E353" t="inlineStr">
        <is>
          <t>N/A</t>
        </is>
      </c>
      <c r="F353" t="inlineStr"/>
      <c r="G353" t="inlineStr"/>
      <c r="H353" t="inlineStr">
        <is>
          <t>1.28%</t>
        </is>
      </c>
      <c r="I353" t="inlineStr">
        <is>
          <t>1.28%</t>
        </is>
      </c>
    </row>
    <row r="354">
      <c r="A354" s="2" t="n">
        <v>45966</v>
      </c>
      <c r="B354" t="inlineStr">
        <is>
          <t>P2726</t>
        </is>
      </c>
      <c r="C354" t="inlineStr">
        <is>
          <t>GICS_INDUSTRY_NAME</t>
        </is>
      </c>
      <c r="D354" t="inlineStr">
        <is>
          <t>Entertainment</t>
        </is>
      </c>
      <c r="E354" t="inlineStr">
        <is>
          <t>N/A</t>
        </is>
      </c>
      <c r="F354" t="inlineStr"/>
      <c r="G354" t="inlineStr"/>
      <c r="H354" t="inlineStr">
        <is>
          <t>1.22%</t>
        </is>
      </c>
      <c r="I354" t="inlineStr">
        <is>
          <t>1.22%</t>
        </is>
      </c>
    </row>
    <row r="355">
      <c r="A355" s="2" t="n">
        <v>45966</v>
      </c>
      <c r="B355" t="inlineStr">
        <is>
          <t>P2726</t>
        </is>
      </c>
      <c r="C355" t="inlineStr">
        <is>
          <t>GICS_INDUSTRY_NAME</t>
        </is>
      </c>
      <c r="D355" t="inlineStr">
        <is>
          <t>IT Services</t>
        </is>
      </c>
      <c r="E355" t="inlineStr">
        <is>
          <t>N/A</t>
        </is>
      </c>
      <c r="F355" t="inlineStr"/>
      <c r="G355" t="inlineStr"/>
      <c r="H355" t="inlineStr">
        <is>
          <t>1.21%</t>
        </is>
      </c>
      <c r="I355" t="inlineStr">
        <is>
          <t>1.13%</t>
        </is>
      </c>
    </row>
    <row r="356">
      <c r="A356" s="2" t="n">
        <v>45966</v>
      </c>
      <c r="B356" t="inlineStr">
        <is>
          <t>P2726</t>
        </is>
      </c>
      <c r="C356" t="inlineStr">
        <is>
          <t>GICS_INDUSTRY_NAME</t>
        </is>
      </c>
      <c r="D356" t="inlineStr">
        <is>
          <t>Beverages</t>
        </is>
      </c>
      <c r="E356" t="inlineStr">
        <is>
          <t>N/A</t>
        </is>
      </c>
      <c r="F356" t="inlineStr"/>
      <c r="G356" t="inlineStr"/>
      <c r="H356" t="inlineStr">
        <is>
          <t>1.15%</t>
        </is>
      </c>
      <c r="I356" t="inlineStr">
        <is>
          <t>1.15%</t>
        </is>
      </c>
    </row>
    <row r="357">
      <c r="A357" s="2" t="n">
        <v>45966</v>
      </c>
      <c r="B357" t="inlineStr">
        <is>
          <t>P2726</t>
        </is>
      </c>
      <c r="C357" t="inlineStr">
        <is>
          <t>GICS_INDUSTRY_GROUP_NAME</t>
        </is>
      </c>
      <c r="D357" t="inlineStr">
        <is>
          <t>Commercial &amp; Professional Services</t>
        </is>
      </c>
      <c r="E357" t="inlineStr">
        <is>
          <t>N/A</t>
        </is>
      </c>
      <c r="F357" t="inlineStr"/>
      <c r="G357" t="inlineStr"/>
      <c r="H357" t="inlineStr">
        <is>
          <t>0.99%</t>
        </is>
      </c>
      <c r="I357" t="inlineStr">
        <is>
          <t>0.99%</t>
        </is>
      </c>
    </row>
    <row r="358">
      <c r="A358" s="2" t="n">
        <v>45966</v>
      </c>
      <c r="B358" t="inlineStr">
        <is>
          <t>P2726</t>
        </is>
      </c>
      <c r="C358" t="inlineStr">
        <is>
          <t>GICS_INDUSTRY_NAME</t>
        </is>
      </c>
      <c r="D358" t="inlineStr">
        <is>
          <t>Commercial Services &amp; Supplies</t>
        </is>
      </c>
      <c r="E358" t="inlineStr">
        <is>
          <t>N/A</t>
        </is>
      </c>
      <c r="F358" t="inlineStr"/>
      <c r="G358" t="inlineStr"/>
      <c r="H358" t="inlineStr">
        <is>
          <t>0.99%</t>
        </is>
      </c>
      <c r="I358" t="inlineStr">
        <is>
          <t>0.99%</t>
        </is>
      </c>
    </row>
    <row r="359">
      <c r="A359" s="2" t="n">
        <v>45966</v>
      </c>
      <c r="B359" t="inlineStr">
        <is>
          <t>P2726</t>
        </is>
      </c>
      <c r="C359" t="inlineStr">
        <is>
          <t>GICS_INDUSTRY_NAME</t>
        </is>
      </c>
      <c r="D359" t="inlineStr">
        <is>
          <t>Ground Transportation</t>
        </is>
      </c>
      <c r="E359" t="inlineStr">
        <is>
          <t>N/A</t>
        </is>
      </c>
      <c r="F359" t="inlineStr"/>
      <c r="G359" t="inlineStr"/>
      <c r="H359" t="inlineStr">
        <is>
          <t>0.95%</t>
        </is>
      </c>
      <c r="I359" t="inlineStr">
        <is>
          <t>0.95%</t>
        </is>
      </c>
    </row>
    <row r="360">
      <c r="A360" s="2" t="n">
        <v>45966</v>
      </c>
      <c r="B360" t="inlineStr">
        <is>
          <t>P2726</t>
        </is>
      </c>
      <c r="C360" t="inlineStr">
        <is>
          <t>GICS_INDUSTRY_GROUP_NAME</t>
        </is>
      </c>
      <c r="D360" t="inlineStr">
        <is>
          <t>Household &amp; Personal Products</t>
        </is>
      </c>
      <c r="E360" t="inlineStr">
        <is>
          <t>N/A</t>
        </is>
      </c>
      <c r="F360" t="inlineStr"/>
      <c r="G360" t="inlineStr"/>
      <c r="H360" t="inlineStr">
        <is>
          <t>0.92%</t>
        </is>
      </c>
      <c r="I360" t="inlineStr">
        <is>
          <t>0.92%</t>
        </is>
      </c>
    </row>
    <row r="361">
      <c r="A361" s="2" t="n">
        <v>45966</v>
      </c>
      <c r="B361" t="inlineStr">
        <is>
          <t>P2726</t>
        </is>
      </c>
      <c r="C361" t="inlineStr">
        <is>
          <t>GICS_INDUSTRY_NAME</t>
        </is>
      </c>
      <c r="D361" t="inlineStr">
        <is>
          <t>Household Products</t>
        </is>
      </c>
      <c r="E361" t="inlineStr">
        <is>
          <t>N/A</t>
        </is>
      </c>
      <c r="F361" t="inlineStr"/>
      <c r="G361" t="inlineStr"/>
      <c r="H361" t="inlineStr">
        <is>
          <t>0.92%</t>
        </is>
      </c>
      <c r="I361" t="inlineStr">
        <is>
          <t>0.92%</t>
        </is>
      </c>
    </row>
    <row r="362">
      <c r="A362" s="2" t="n">
        <v>45966</v>
      </c>
      <c r="B362" t="inlineStr">
        <is>
          <t>P2726</t>
        </is>
      </c>
      <c r="C362" t="inlineStr">
        <is>
          <t>GICS_INDUSTRY_NAME</t>
        </is>
      </c>
      <c r="D362" t="inlineStr">
        <is>
          <t>Life Sciences Tools &amp; Services</t>
        </is>
      </c>
      <c r="E362" t="inlineStr">
        <is>
          <t>N/A</t>
        </is>
      </c>
      <c r="F362" t="inlineStr"/>
      <c r="G362" t="inlineStr"/>
      <c r="H362" t="inlineStr">
        <is>
          <t>0.90%</t>
        </is>
      </c>
      <c r="I362" t="inlineStr">
        <is>
          <t>0.74%</t>
        </is>
      </c>
    </row>
    <row r="363">
      <c r="A363" s="2" t="n">
        <v>45966</v>
      </c>
      <c r="B363" t="inlineStr">
        <is>
          <t>P2726</t>
        </is>
      </c>
      <c r="C363" t="inlineStr">
        <is>
          <t>GICS_INDUSTRY_NAME</t>
        </is>
      </c>
      <c r="D363" t="inlineStr">
        <is>
          <t>Electrical Equipment</t>
        </is>
      </c>
      <c r="E363" t="inlineStr">
        <is>
          <t>N/A</t>
        </is>
      </c>
      <c r="F363" t="inlineStr"/>
      <c r="G363" t="inlineStr"/>
      <c r="H363" t="inlineStr">
        <is>
          <t>0.87%</t>
        </is>
      </c>
      <c r="I363" t="inlineStr">
        <is>
          <t>0.87%</t>
        </is>
      </c>
    </row>
    <row r="364">
      <c r="A364" s="2" t="n">
        <v>45966</v>
      </c>
      <c r="B364" t="inlineStr">
        <is>
          <t>P2726</t>
        </is>
      </c>
      <c r="C364" t="inlineStr">
        <is>
          <t>GICS_INDUSTRY_NAME</t>
        </is>
      </c>
      <c r="D364" t="inlineStr">
        <is>
          <t>Industrial Conglomerates</t>
        </is>
      </c>
      <c r="E364" t="inlineStr">
        <is>
          <t>N/A</t>
        </is>
      </c>
      <c r="F364" t="inlineStr"/>
      <c r="G364" t="inlineStr"/>
      <c r="H364" t="inlineStr">
        <is>
          <t>0.83%</t>
        </is>
      </c>
      <c r="I364" t="inlineStr">
        <is>
          <t>0.83%</t>
        </is>
      </c>
    </row>
    <row r="365">
      <c r="A365" s="2" t="n">
        <v>45966</v>
      </c>
      <c r="B365" t="inlineStr">
        <is>
          <t>P2726</t>
        </is>
      </c>
      <c r="C365" t="inlineStr">
        <is>
          <t>GICS_INDUSTRY_NAME</t>
        </is>
      </c>
      <c r="D365" t="inlineStr">
        <is>
          <t>Tobacco</t>
        </is>
      </c>
      <c r="E365" t="inlineStr">
        <is>
          <t>N/A</t>
        </is>
      </c>
      <c r="F365" t="inlineStr"/>
      <c r="G365" t="inlineStr"/>
      <c r="H365" t="inlineStr">
        <is>
          <t>0.82%</t>
        </is>
      </c>
      <c r="I365" t="inlineStr">
        <is>
          <t>0.81%</t>
        </is>
      </c>
    </row>
    <row r="366">
      <c r="A366" s="2" t="n">
        <v>45966</v>
      </c>
      <c r="B366" t="inlineStr">
        <is>
          <t>P2726</t>
        </is>
      </c>
      <c r="C366" t="inlineStr">
        <is>
          <t>GICS_INDUSTRY_GROUP_NAME</t>
        </is>
      </c>
      <c r="D366" t="inlineStr">
        <is>
          <t>Telecommunication Services</t>
        </is>
      </c>
      <c r="E366" t="inlineStr">
        <is>
          <t>N/A</t>
        </is>
      </c>
      <c r="F366" t="inlineStr"/>
      <c r="G366" t="inlineStr"/>
      <c r="H366" t="inlineStr">
        <is>
          <t>0.79%</t>
        </is>
      </c>
      <c r="I366" t="inlineStr">
        <is>
          <t>0.79%</t>
        </is>
      </c>
    </row>
    <row r="367">
      <c r="A367" s="2" t="n">
        <v>45966</v>
      </c>
      <c r="B367" t="inlineStr">
        <is>
          <t>P2726</t>
        </is>
      </c>
      <c r="C367" t="inlineStr">
        <is>
          <t>GICS_INDUSTRY_NAME</t>
        </is>
      </c>
      <c r="D367" t="inlineStr">
        <is>
          <t>Diversified Telecommunication Services</t>
        </is>
      </c>
      <c r="E367" t="inlineStr">
        <is>
          <t>N/A</t>
        </is>
      </c>
      <c r="F367" t="inlineStr"/>
      <c r="G367" t="inlineStr"/>
      <c r="H367" t="inlineStr">
        <is>
          <t>0.79%</t>
        </is>
      </c>
      <c r="I367" t="inlineStr">
        <is>
          <t>0.79%</t>
        </is>
      </c>
    </row>
    <row r="368">
      <c r="A368" s="2" t="n">
        <v>45966</v>
      </c>
      <c r="B368" t="inlineStr">
        <is>
          <t>P2726</t>
        </is>
      </c>
      <c r="C368" t="inlineStr">
        <is>
          <t>GICS_INDUSTRY_NAME</t>
        </is>
      </c>
      <c r="D368" t="inlineStr">
        <is>
          <t>Consumer Finance</t>
        </is>
      </c>
      <c r="E368" t="inlineStr">
        <is>
          <t>N/A</t>
        </is>
      </c>
      <c r="F368" t="inlineStr"/>
      <c r="G368" t="inlineStr"/>
      <c r="H368" t="inlineStr">
        <is>
          <t>0.62%</t>
        </is>
      </c>
      <c r="I368" t="inlineStr">
        <is>
          <t>0.51%</t>
        </is>
      </c>
    </row>
    <row r="369">
      <c r="A369" s="2" t="n">
        <v>45966</v>
      </c>
      <c r="B369" t="inlineStr">
        <is>
          <t>P2726</t>
        </is>
      </c>
      <c r="C369" t="inlineStr">
        <is>
          <t>GICS_INDUSTRY_GROUP_NAME</t>
        </is>
      </c>
      <c r="D369" t="inlineStr">
        <is>
          <t>Consumer Durables &amp; Apparel</t>
        </is>
      </c>
      <c r="E369" t="inlineStr">
        <is>
          <t>N/A</t>
        </is>
      </c>
      <c r="F369" t="inlineStr"/>
      <c r="G369" t="inlineStr"/>
      <c r="H369" t="inlineStr">
        <is>
          <t>0.51%</t>
        </is>
      </c>
      <c r="I369" t="inlineStr">
        <is>
          <t>0.51%</t>
        </is>
      </c>
    </row>
    <row r="370">
      <c r="A370" s="2" t="n">
        <v>45966</v>
      </c>
      <c r="B370" t="inlineStr">
        <is>
          <t>P2726</t>
        </is>
      </c>
      <c r="C370" t="inlineStr">
        <is>
          <t>GICS_INDUSTRY_NAME</t>
        </is>
      </c>
      <c r="D370" t="inlineStr">
        <is>
          <t>Textiles, Apparel &amp; Luxury Goods</t>
        </is>
      </c>
      <c r="E370" t="inlineStr">
        <is>
          <t>N/A</t>
        </is>
      </c>
      <c r="F370" t="inlineStr"/>
      <c r="G370" t="inlineStr"/>
      <c r="H370" t="inlineStr">
        <is>
          <t>0.51%</t>
        </is>
      </c>
      <c r="I370" t="inlineStr">
        <is>
          <t>0.51%</t>
        </is>
      </c>
    </row>
    <row r="371">
      <c r="A371" s="2" t="n">
        <v>45966</v>
      </c>
      <c r="B371" t="inlineStr">
        <is>
          <t>P2726</t>
        </is>
      </c>
      <c r="C371" t="inlineStr">
        <is>
          <t>GICS_INDUSTRY_NAME</t>
        </is>
      </c>
      <c r="D371" t="inlineStr">
        <is>
          <t>Air Freight &amp; Logistics</t>
        </is>
      </c>
      <c r="E371" t="inlineStr">
        <is>
          <t>N/A</t>
        </is>
      </c>
      <c r="F371" t="inlineStr"/>
      <c r="G371" t="inlineStr"/>
      <c r="H371" t="inlineStr">
        <is>
          <t>0.37%</t>
        </is>
      </c>
      <c r="I371" t="inlineStr">
        <is>
          <t>0.37%</t>
        </is>
      </c>
    </row>
    <row r="372">
      <c r="A372" s="2" t="n">
        <v>45966</v>
      </c>
      <c r="B372" t="inlineStr">
        <is>
          <t>P2726</t>
        </is>
      </c>
      <c r="C372" t="inlineStr">
        <is>
          <t>GICS_INDUSTRY_NAME</t>
        </is>
      </c>
      <c r="D372" t="inlineStr">
        <is>
          <t>Media</t>
        </is>
      </c>
      <c r="E372" t="inlineStr">
        <is>
          <t>N/A</t>
        </is>
      </c>
      <c r="F372" t="inlineStr"/>
      <c r="G372" t="inlineStr"/>
      <c r="H372" t="inlineStr">
        <is>
          <t>0.19%</t>
        </is>
      </c>
      <c r="I372" t="inlineStr">
        <is>
          <t>0.19%</t>
        </is>
      </c>
    </row>
    <row r="373">
      <c r="A373" s="2" t="n">
        <v>45966</v>
      </c>
      <c r="B373" t="inlineStr">
        <is>
          <t>P2726</t>
        </is>
      </c>
      <c r="C373" t="inlineStr">
        <is>
          <t>GICS_INDUSTRY_NAME</t>
        </is>
      </c>
      <c r="D373" t="inlineStr">
        <is>
          <t>Food Products</t>
        </is>
      </c>
      <c r="E373" t="inlineStr">
        <is>
          <t>N/A</t>
        </is>
      </c>
      <c r="F373" t="inlineStr"/>
      <c r="G373" t="inlineStr"/>
      <c r="H373" t="inlineStr">
        <is>
          <t>0.19%</t>
        </is>
      </c>
      <c r="I373" t="inlineStr">
        <is>
          <t>0.19%</t>
        </is>
      </c>
    </row>
    <row r="374">
      <c r="A374" s="2" t="n">
        <v>45966</v>
      </c>
      <c r="B374" t="inlineStr">
        <is>
          <t>P30128</t>
        </is>
      </c>
      <c r="C374" t="inlineStr">
        <is>
          <t>GICS_INDUSTRY_GROUP_NAME</t>
        </is>
      </c>
      <c r="D374" t="inlineStr">
        <is>
          <t>Semiconductors &amp; Semiconductor Equipment</t>
        </is>
      </c>
      <c r="E374" t="inlineStr">
        <is>
          <t>N/A</t>
        </is>
      </c>
      <c r="F374" t="inlineStr"/>
      <c r="G374" t="inlineStr"/>
      <c r="H374" t="inlineStr">
        <is>
          <t>15.87%</t>
        </is>
      </c>
      <c r="I374" t="inlineStr">
        <is>
          <t>14.90%</t>
        </is>
      </c>
    </row>
    <row r="375">
      <c r="A375" s="2" t="n">
        <v>45966</v>
      </c>
      <c r="B375" t="inlineStr">
        <is>
          <t>P30128</t>
        </is>
      </c>
      <c r="C375" t="inlineStr">
        <is>
          <t>GICS_INDUSTRY_NAME</t>
        </is>
      </c>
      <c r="D375" t="inlineStr">
        <is>
          <t>Semiconductors &amp; Semiconductor Equipment</t>
        </is>
      </c>
      <c r="E375" t="inlineStr">
        <is>
          <t>N/A</t>
        </is>
      </c>
      <c r="F375" t="inlineStr"/>
      <c r="G375" t="inlineStr"/>
      <c r="H375" t="inlineStr">
        <is>
          <t>15.87%</t>
        </is>
      </c>
      <c r="I375" t="inlineStr">
        <is>
          <t>14.90%</t>
        </is>
      </c>
    </row>
    <row r="376">
      <c r="A376" s="2" t="n">
        <v>45966</v>
      </c>
      <c r="B376" t="inlineStr">
        <is>
          <t>P30128</t>
        </is>
      </c>
      <c r="C376" t="inlineStr">
        <is>
          <t>GICS_INDUSTRY_GROUP_NAME</t>
        </is>
      </c>
      <c r="D376" t="inlineStr">
        <is>
          <t>Software &amp; Services</t>
        </is>
      </c>
      <c r="E376" t="inlineStr">
        <is>
          <t>N/A</t>
        </is>
      </c>
      <c r="F376" t="inlineStr"/>
      <c r="G376" t="inlineStr"/>
      <c r="H376" t="inlineStr">
        <is>
          <t>10.17%</t>
        </is>
      </c>
      <c r="I376" t="inlineStr">
        <is>
          <t>11.58%</t>
        </is>
      </c>
    </row>
    <row r="377">
      <c r="A377" s="2" t="n">
        <v>45966</v>
      </c>
      <c r="B377" t="inlineStr">
        <is>
          <t>P30128</t>
        </is>
      </c>
      <c r="C377" t="inlineStr">
        <is>
          <t>GICS_INDUSTRY_GROUP_NAME</t>
        </is>
      </c>
      <c r="D377" t="inlineStr">
        <is>
          <t>Technology Hardware &amp; Equipment</t>
        </is>
      </c>
      <c r="E377" t="inlineStr">
        <is>
          <t>N/A</t>
        </is>
      </c>
      <c r="F377" t="inlineStr"/>
      <c r="G377" t="inlineStr"/>
      <c r="H377" t="inlineStr">
        <is>
          <t>9.48%</t>
        </is>
      </c>
      <c r="I377" t="inlineStr">
        <is>
          <t>9.02%</t>
        </is>
      </c>
    </row>
    <row r="378">
      <c r="A378" s="2" t="n">
        <v>45966</v>
      </c>
      <c r="B378" t="inlineStr">
        <is>
          <t>P30128</t>
        </is>
      </c>
      <c r="C378" t="inlineStr">
        <is>
          <t>GICS_INDUSTRY_GROUP_NAME</t>
        </is>
      </c>
      <c r="D378" t="inlineStr">
        <is>
          <t>Media &amp; Entertainment</t>
        </is>
      </c>
      <c r="E378" t="inlineStr">
        <is>
          <t>N/A</t>
        </is>
      </c>
      <c r="F378" t="inlineStr"/>
      <c r="G378" t="inlineStr"/>
      <c r="H378" t="inlineStr">
        <is>
          <t>9.40%</t>
        </is>
      </c>
      <c r="I378" t="inlineStr">
        <is>
          <t>9.40%</t>
        </is>
      </c>
    </row>
    <row r="379">
      <c r="A379" s="2" t="n">
        <v>45966</v>
      </c>
      <c r="B379" t="inlineStr">
        <is>
          <t>P30128</t>
        </is>
      </c>
      <c r="C379" t="inlineStr">
        <is>
          <t>GICS_INDUSTRY_NAME</t>
        </is>
      </c>
      <c r="D379" t="inlineStr">
        <is>
          <t>Software</t>
        </is>
      </c>
      <c r="E379" t="inlineStr">
        <is>
          <t>N/A</t>
        </is>
      </c>
      <c r="F379" t="inlineStr"/>
      <c r="G379" t="inlineStr"/>
      <c r="H379" t="inlineStr">
        <is>
          <t>8.96%</t>
        </is>
      </c>
      <c r="I379" t="inlineStr">
        <is>
          <t>10.45%</t>
        </is>
      </c>
    </row>
    <row r="380">
      <c r="A380" s="2" t="n">
        <v>45966</v>
      </c>
      <c r="B380" t="inlineStr">
        <is>
          <t>P30128</t>
        </is>
      </c>
      <c r="C380" t="inlineStr">
        <is>
          <t>GICS_INDUSTRY_NAME</t>
        </is>
      </c>
      <c r="D380" t="inlineStr">
        <is>
          <t>Interactive Media &amp; Services</t>
        </is>
      </c>
      <c r="E380" t="inlineStr">
        <is>
          <t>N/A</t>
        </is>
      </c>
      <c r="F380" t="inlineStr"/>
      <c r="G380" t="inlineStr"/>
      <c r="H380" t="inlineStr">
        <is>
          <t>7.99%</t>
        </is>
      </c>
      <c r="I380" t="inlineStr">
        <is>
          <t>7.99%</t>
        </is>
      </c>
    </row>
    <row r="381">
      <c r="A381" s="2" t="n">
        <v>45966</v>
      </c>
      <c r="B381" t="inlineStr">
        <is>
          <t>P30128</t>
        </is>
      </c>
      <c r="C381" t="inlineStr">
        <is>
          <t>GICS_INDUSTRY_NAME</t>
        </is>
      </c>
      <c r="D381" t="inlineStr">
        <is>
          <t>Technology Hardware, Storage &amp; Peripherals</t>
        </is>
      </c>
      <c r="E381" t="inlineStr">
        <is>
          <t>N/A</t>
        </is>
      </c>
      <c r="F381" t="inlineStr"/>
      <c r="G381" t="inlineStr"/>
      <c r="H381" t="inlineStr">
        <is>
          <t>7.46%</t>
        </is>
      </c>
      <c r="I381" t="inlineStr">
        <is>
          <t>7.01%</t>
        </is>
      </c>
    </row>
    <row r="382">
      <c r="A382" s="2" t="n">
        <v>45966</v>
      </c>
      <c r="B382" t="inlineStr">
        <is>
          <t>P30128</t>
        </is>
      </c>
      <c r="C382" t="inlineStr">
        <is>
          <t>GICS_INDUSTRY_GROUP_NAME</t>
        </is>
      </c>
      <c r="D382" t="inlineStr">
        <is>
          <t>Financial Services</t>
        </is>
      </c>
      <c r="E382" t="inlineStr">
        <is>
          <t>N/A</t>
        </is>
      </c>
      <c r="F382" t="inlineStr"/>
      <c r="G382" t="inlineStr"/>
      <c r="H382" t="inlineStr">
        <is>
          <t>6.64%</t>
        </is>
      </c>
      <c r="I382" t="inlineStr">
        <is>
          <t>7.82%</t>
        </is>
      </c>
    </row>
    <row r="383">
      <c r="A383" s="2" t="n">
        <v>45966</v>
      </c>
      <c r="B383" t="inlineStr">
        <is>
          <t>P30128</t>
        </is>
      </c>
      <c r="C383" t="inlineStr">
        <is>
          <t>GICS_INDUSTRY_GROUP_NAME</t>
        </is>
      </c>
      <c r="D383" t="inlineStr">
        <is>
          <t>Capital Goods</t>
        </is>
      </c>
      <c r="E383" t="inlineStr">
        <is>
          <t>N/A</t>
        </is>
      </c>
      <c r="F383" t="inlineStr"/>
      <c r="G383" t="inlineStr"/>
      <c r="H383" t="inlineStr">
        <is>
          <t>6.29%</t>
        </is>
      </c>
      <c r="I383" t="inlineStr">
        <is>
          <t>6.29%</t>
        </is>
      </c>
    </row>
    <row r="384">
      <c r="A384" s="2" t="n">
        <v>45966</v>
      </c>
      <c r="B384" t="inlineStr">
        <is>
          <t>P30128</t>
        </is>
      </c>
      <c r="C384" t="inlineStr">
        <is>
          <t>GICS_INDUSTRY_GROUP_NAME</t>
        </is>
      </c>
      <c r="D384" t="inlineStr">
        <is>
          <t>Consumer Discretionary Distribution &amp; Retail</t>
        </is>
      </c>
      <c r="E384" t="inlineStr">
        <is>
          <t>N/A</t>
        </is>
      </c>
      <c r="F384" t="inlineStr"/>
      <c r="G384" t="inlineStr"/>
      <c r="H384" t="inlineStr">
        <is>
          <t>5.78%</t>
        </is>
      </c>
      <c r="I384" t="inlineStr">
        <is>
          <t>5.78%</t>
        </is>
      </c>
    </row>
    <row r="385">
      <c r="A385" s="2" t="n">
        <v>45966</v>
      </c>
      <c r="B385" t="inlineStr">
        <is>
          <t>P30128</t>
        </is>
      </c>
      <c r="C385" t="inlineStr">
        <is>
          <t>GICS_INDUSTRY_GROUP_NAME</t>
        </is>
      </c>
      <c r="D385" t="inlineStr">
        <is>
          <t>Pharmaceuticals, Biotechnology &amp; Life Sciences</t>
        </is>
      </c>
      <c r="E385" t="inlineStr">
        <is>
          <t>N/A</t>
        </is>
      </c>
      <c r="F385" t="inlineStr"/>
      <c r="G385" t="inlineStr"/>
      <c r="H385" t="inlineStr">
        <is>
          <t>4.96%</t>
        </is>
      </c>
      <c r="I385" t="inlineStr">
        <is>
          <t>5.66%</t>
        </is>
      </c>
    </row>
    <row r="386">
      <c r="A386" s="2" t="n">
        <v>45966</v>
      </c>
      <c r="B386" t="inlineStr">
        <is>
          <t>P30128</t>
        </is>
      </c>
      <c r="C386" t="inlineStr">
        <is>
          <t>GICS_INDUSTRY_NAME</t>
        </is>
      </c>
      <c r="D386" t="inlineStr">
        <is>
          <t>Broadline Retail</t>
        </is>
      </c>
      <c r="E386" t="inlineStr">
        <is>
          <t>N/A</t>
        </is>
      </c>
      <c r="F386" t="inlineStr"/>
      <c r="G386" t="inlineStr"/>
      <c r="H386" t="inlineStr">
        <is>
          <t>4.50%</t>
        </is>
      </c>
      <c r="I386" t="inlineStr">
        <is>
          <t>4.50%</t>
        </is>
      </c>
    </row>
    <row r="387">
      <c r="A387" s="2" t="n">
        <v>45966</v>
      </c>
      <c r="B387" t="inlineStr">
        <is>
          <t>P30128</t>
        </is>
      </c>
      <c r="C387" t="inlineStr">
        <is>
          <t>GICS_INDUSTRY_GROUP_NAME</t>
        </is>
      </c>
      <c r="D387" t="inlineStr">
        <is>
          <t>Banks</t>
        </is>
      </c>
      <c r="E387" t="inlineStr">
        <is>
          <t>N/A</t>
        </is>
      </c>
      <c r="F387" t="inlineStr"/>
      <c r="G387" t="inlineStr"/>
      <c r="H387" t="inlineStr">
        <is>
          <t>4.47%</t>
        </is>
      </c>
      <c r="I387" t="inlineStr">
        <is>
          <t>3.69%</t>
        </is>
      </c>
    </row>
    <row r="388">
      <c r="A388" s="2" t="n">
        <v>45966</v>
      </c>
      <c r="B388" t="inlineStr">
        <is>
          <t>P30128</t>
        </is>
      </c>
      <c r="C388" t="inlineStr">
        <is>
          <t>GICS_INDUSTRY_NAME</t>
        </is>
      </c>
      <c r="D388" t="inlineStr">
        <is>
          <t>Banks</t>
        </is>
      </c>
      <c r="E388" t="inlineStr">
        <is>
          <t>N/A</t>
        </is>
      </c>
      <c r="F388" t="inlineStr"/>
      <c r="G388" t="inlineStr"/>
      <c r="H388" t="inlineStr">
        <is>
          <t>4.47%</t>
        </is>
      </c>
      <c r="I388" t="inlineStr">
        <is>
          <t>3.69%</t>
        </is>
      </c>
    </row>
    <row r="389">
      <c r="A389" s="2" t="n">
        <v>45966</v>
      </c>
      <c r="B389" t="inlineStr">
        <is>
          <t>P30128</t>
        </is>
      </c>
      <c r="C389" t="inlineStr">
        <is>
          <t>GICS_INDUSTRY_GROUP_NAME</t>
        </is>
      </c>
      <c r="D389" t="inlineStr">
        <is>
          <t>Health Care Equipment &amp; Services</t>
        </is>
      </c>
      <c r="E389" t="inlineStr">
        <is>
          <t>N/A</t>
        </is>
      </c>
      <c r="F389" t="inlineStr"/>
      <c r="G389" t="inlineStr"/>
      <c r="H389" t="inlineStr">
        <is>
          <t>4.04%</t>
        </is>
      </c>
      <c r="I389" t="inlineStr">
        <is>
          <t>3.36%</t>
        </is>
      </c>
    </row>
    <row r="390">
      <c r="A390" s="2" t="n">
        <v>45966</v>
      </c>
      <c r="B390" t="inlineStr">
        <is>
          <t>P30128</t>
        </is>
      </c>
      <c r="C390" t="inlineStr">
        <is>
          <t>GICS_INDUSTRY_NAME</t>
        </is>
      </c>
      <c r="D390" t="inlineStr">
        <is>
          <t>Financial Services</t>
        </is>
      </c>
      <c r="E390" t="inlineStr">
        <is>
          <t>N/A</t>
        </is>
      </c>
      <c r="F390" t="inlineStr"/>
      <c r="G390" t="inlineStr"/>
      <c r="H390" t="inlineStr">
        <is>
          <t>3.34%</t>
        </is>
      </c>
      <c r="I390" t="inlineStr">
        <is>
          <t>5.03%</t>
        </is>
      </c>
    </row>
    <row r="391">
      <c r="A391" s="2" t="n">
        <v>45966</v>
      </c>
      <c r="B391" t="inlineStr">
        <is>
          <t>P30128</t>
        </is>
      </c>
      <c r="C391" t="inlineStr">
        <is>
          <t>GICS_INDUSTRY_NAME</t>
        </is>
      </c>
      <c r="D391" t="inlineStr">
        <is>
          <t>Aerospace &amp; Defense</t>
        </is>
      </c>
      <c r="E391" t="inlineStr">
        <is>
          <t>N/A</t>
        </is>
      </c>
      <c r="F391" t="inlineStr"/>
      <c r="G391" t="inlineStr"/>
      <c r="H391" t="inlineStr">
        <is>
          <t>3.09%</t>
        </is>
      </c>
      <c r="I391" t="inlineStr">
        <is>
          <t>3.09%</t>
        </is>
      </c>
    </row>
    <row r="392">
      <c r="A392" s="2" t="n">
        <v>45966</v>
      </c>
      <c r="B392" t="inlineStr">
        <is>
          <t>P30128</t>
        </is>
      </c>
      <c r="C392" t="inlineStr">
        <is>
          <t>GICS_INDUSTRY_GROUP_NAME</t>
        </is>
      </c>
      <c r="D392" t="inlineStr">
        <is>
          <t>Energy</t>
        </is>
      </c>
      <c r="E392" t="inlineStr">
        <is>
          <t>N/A</t>
        </is>
      </c>
      <c r="F392" t="inlineStr"/>
      <c r="G392" t="inlineStr"/>
      <c r="H392" t="inlineStr">
        <is>
          <t>2.79%</t>
        </is>
      </c>
      <c r="I392" t="inlineStr">
        <is>
          <t>2.79%</t>
        </is>
      </c>
    </row>
    <row r="393">
      <c r="A393" s="2" t="n">
        <v>45966</v>
      </c>
      <c r="B393" t="inlineStr">
        <is>
          <t>P30128</t>
        </is>
      </c>
      <c r="C393" t="inlineStr">
        <is>
          <t>GICS_INDUSTRY_NAME</t>
        </is>
      </c>
      <c r="D393" t="inlineStr">
        <is>
          <t>Oil, Gas &amp; Consumable Fuels</t>
        </is>
      </c>
      <c r="E393" t="inlineStr">
        <is>
          <t>N/A</t>
        </is>
      </c>
      <c r="F393" t="inlineStr"/>
      <c r="G393" t="inlineStr"/>
      <c r="H393" t="inlineStr">
        <is>
          <t>2.79%</t>
        </is>
      </c>
      <c r="I393" t="inlineStr">
        <is>
          <t>2.79%</t>
        </is>
      </c>
    </row>
    <row r="394">
      <c r="A394" s="2" t="n">
        <v>45966</v>
      </c>
      <c r="B394" t="inlineStr">
        <is>
          <t>P30128</t>
        </is>
      </c>
      <c r="C394" t="inlineStr">
        <is>
          <t>GICS_INDUSTRY_NAME</t>
        </is>
      </c>
      <c r="D394" t="inlineStr">
        <is>
          <t>Capital Markets</t>
        </is>
      </c>
      <c r="E394" t="inlineStr">
        <is>
          <t>N/A</t>
        </is>
      </c>
      <c r="F394" t="inlineStr"/>
      <c r="G394" t="inlineStr"/>
      <c r="H394" t="inlineStr">
        <is>
          <t>2.68%</t>
        </is>
      </c>
      <c r="I394" t="inlineStr">
        <is>
          <t>2.28%</t>
        </is>
      </c>
    </row>
    <row r="395">
      <c r="A395" s="2" t="n">
        <v>45966</v>
      </c>
      <c r="B395" t="inlineStr">
        <is>
          <t>P30128</t>
        </is>
      </c>
      <c r="C395" t="inlineStr">
        <is>
          <t>GICS_INDUSTRY_GROUP_NAME</t>
        </is>
      </c>
      <c r="D395" t="inlineStr">
        <is>
          <t>Automobiles &amp; Components</t>
        </is>
      </c>
      <c r="E395" t="inlineStr">
        <is>
          <t>N/A</t>
        </is>
      </c>
      <c r="F395" t="inlineStr"/>
      <c r="G395" t="inlineStr"/>
      <c r="H395" t="inlineStr">
        <is>
          <t>2.45%</t>
        </is>
      </c>
      <c r="I395" t="inlineStr">
        <is>
          <t>2.45%</t>
        </is>
      </c>
    </row>
    <row r="396">
      <c r="A396" s="2" t="n">
        <v>45966</v>
      </c>
      <c r="B396" t="inlineStr">
        <is>
          <t>P30128</t>
        </is>
      </c>
      <c r="C396" t="inlineStr">
        <is>
          <t>GICS_INDUSTRY_NAME</t>
        </is>
      </c>
      <c r="D396" t="inlineStr">
        <is>
          <t>Automobiles</t>
        </is>
      </c>
      <c r="E396" t="inlineStr">
        <is>
          <t>N/A</t>
        </is>
      </c>
      <c r="F396" t="inlineStr"/>
      <c r="G396" t="inlineStr"/>
      <c r="H396" t="inlineStr">
        <is>
          <t>2.45%</t>
        </is>
      </c>
      <c r="I396" t="inlineStr">
        <is>
          <t>2.45%</t>
        </is>
      </c>
    </row>
    <row r="397">
      <c r="A397" s="2" t="n">
        <v>45966</v>
      </c>
      <c r="B397" t="inlineStr">
        <is>
          <t>P30128</t>
        </is>
      </c>
      <c r="C397" t="inlineStr">
        <is>
          <t>GICS_INDUSTRY_NAME</t>
        </is>
      </c>
      <c r="D397" t="inlineStr">
        <is>
          <t>Pharmaceuticals</t>
        </is>
      </c>
      <c r="E397" t="inlineStr">
        <is>
          <t>N/A</t>
        </is>
      </c>
      <c r="F397" t="inlineStr"/>
      <c r="G397" t="inlineStr"/>
      <c r="H397" t="inlineStr">
        <is>
          <t>2.27%</t>
        </is>
      </c>
      <c r="I397" t="inlineStr">
        <is>
          <t>3.42%</t>
        </is>
      </c>
    </row>
    <row r="398">
      <c r="A398" s="2" t="n">
        <v>45966</v>
      </c>
      <c r="B398" t="inlineStr">
        <is>
          <t>P30128</t>
        </is>
      </c>
      <c r="C398" t="inlineStr">
        <is>
          <t>GICS_INDUSTRY_GROUP_NAME</t>
        </is>
      </c>
      <c r="D398" t="inlineStr">
        <is>
          <t>Utilities</t>
        </is>
      </c>
      <c r="E398" t="inlineStr">
        <is>
          <t>N/A</t>
        </is>
      </c>
      <c r="F398" t="inlineStr"/>
      <c r="G398" t="inlineStr"/>
      <c r="H398" t="inlineStr">
        <is>
          <t>2.26%</t>
        </is>
      </c>
      <c r="I398" t="inlineStr">
        <is>
          <t>2.26%</t>
        </is>
      </c>
    </row>
    <row r="399">
      <c r="A399" s="2" t="n">
        <v>45966</v>
      </c>
      <c r="B399" t="inlineStr">
        <is>
          <t>P30128</t>
        </is>
      </c>
      <c r="C399" t="inlineStr">
        <is>
          <t>GICS_INDUSTRY_NAME</t>
        </is>
      </c>
      <c r="D399" t="inlineStr">
        <is>
          <t>Electric Utilities</t>
        </is>
      </c>
      <c r="E399" t="inlineStr">
        <is>
          <t>N/A</t>
        </is>
      </c>
      <c r="F399" t="inlineStr"/>
      <c r="G399" t="inlineStr"/>
      <c r="H399" t="inlineStr">
        <is>
          <t>2.26%</t>
        </is>
      </c>
      <c r="I399" t="inlineStr">
        <is>
          <t>2.26%</t>
        </is>
      </c>
    </row>
    <row r="400">
      <c r="A400" s="2" t="n">
        <v>45966</v>
      </c>
      <c r="B400" t="inlineStr">
        <is>
          <t>P30128</t>
        </is>
      </c>
      <c r="C400" t="inlineStr">
        <is>
          <t>GICS_INDUSTRY_GROUP_NAME</t>
        </is>
      </c>
      <c r="D400" t="inlineStr">
        <is>
          <t>Insurance</t>
        </is>
      </c>
      <c r="E400" t="inlineStr">
        <is>
          <t>N/A</t>
        </is>
      </c>
      <c r="F400" t="inlineStr"/>
      <c r="G400" t="inlineStr"/>
      <c r="H400" t="inlineStr">
        <is>
          <t>2.17%</t>
        </is>
      </c>
      <c r="I400" t="inlineStr">
        <is>
          <t>1.79%</t>
        </is>
      </c>
    </row>
    <row r="401">
      <c r="A401" s="2" t="n">
        <v>45966</v>
      </c>
      <c r="B401" t="inlineStr">
        <is>
          <t>P30128</t>
        </is>
      </c>
      <c r="C401" t="inlineStr">
        <is>
          <t>GICS_INDUSTRY_NAME</t>
        </is>
      </c>
      <c r="D401" t="inlineStr">
        <is>
          <t>Insurance</t>
        </is>
      </c>
      <c r="E401" t="inlineStr">
        <is>
          <t>N/A</t>
        </is>
      </c>
      <c r="F401" t="inlineStr"/>
      <c r="G401" t="inlineStr"/>
      <c r="H401" t="inlineStr">
        <is>
          <t>2.17%</t>
        </is>
      </c>
      <c r="I401" t="inlineStr">
        <is>
          <t>1.79%</t>
        </is>
      </c>
    </row>
    <row r="402">
      <c r="A402" s="2" t="n">
        <v>45966</v>
      </c>
      <c r="B402" t="inlineStr">
        <is>
          <t>P30128</t>
        </is>
      </c>
      <c r="C402" t="inlineStr">
        <is>
          <t>GICS_INDUSTRY_GROUP_NAME</t>
        </is>
      </c>
      <c r="D402" t="inlineStr">
        <is>
          <t>Food, Beverage &amp; Tobacco</t>
        </is>
      </c>
      <c r="E402" t="inlineStr">
        <is>
          <t>N/A</t>
        </is>
      </c>
      <c r="F402" t="inlineStr"/>
      <c r="G402" t="inlineStr"/>
      <c r="H402" t="inlineStr">
        <is>
          <t>2.15%</t>
        </is>
      </c>
      <c r="I402" t="inlineStr">
        <is>
          <t>2.15%</t>
        </is>
      </c>
    </row>
    <row r="403">
      <c r="A403" s="2" t="n">
        <v>45966</v>
      </c>
      <c r="B403" t="inlineStr">
        <is>
          <t>P30128</t>
        </is>
      </c>
      <c r="C403" t="inlineStr">
        <is>
          <t>GICS_INDUSTRY_NAME</t>
        </is>
      </c>
      <c r="D403" t="inlineStr">
        <is>
          <t>Health Care Equipment &amp; Supplies</t>
        </is>
      </c>
      <c r="E403" t="inlineStr">
        <is>
          <t>N/A</t>
        </is>
      </c>
      <c r="F403" t="inlineStr"/>
      <c r="G403" t="inlineStr"/>
      <c r="H403" t="inlineStr">
        <is>
          <t>2.13%</t>
        </is>
      </c>
      <c r="I403" t="inlineStr">
        <is>
          <t>1.77%</t>
        </is>
      </c>
    </row>
    <row r="404">
      <c r="A404" s="2" t="n">
        <v>45966</v>
      </c>
      <c r="B404" t="inlineStr">
        <is>
          <t>P30128</t>
        </is>
      </c>
      <c r="C404" t="inlineStr">
        <is>
          <t>GICS_INDUSTRY_NAME</t>
        </is>
      </c>
      <c r="D404" t="inlineStr">
        <is>
          <t>Communications Equipment</t>
        </is>
      </c>
      <c r="E404" t="inlineStr">
        <is>
          <t>N/A</t>
        </is>
      </c>
      <c r="F404" t="inlineStr"/>
      <c r="G404" t="inlineStr"/>
      <c r="H404" t="inlineStr">
        <is>
          <t>2.02%</t>
        </is>
      </c>
      <c r="I404" t="inlineStr">
        <is>
          <t>2.01%</t>
        </is>
      </c>
    </row>
    <row r="405">
      <c r="A405" s="2" t="n">
        <v>45966</v>
      </c>
      <c r="B405" t="inlineStr">
        <is>
          <t>P30128</t>
        </is>
      </c>
      <c r="C405" t="inlineStr">
        <is>
          <t>GICS_INDUSTRY_NAME</t>
        </is>
      </c>
      <c r="D405" t="inlineStr">
        <is>
          <t>Health Care Providers &amp; Services</t>
        </is>
      </c>
      <c r="E405" t="inlineStr">
        <is>
          <t>N/A</t>
        </is>
      </c>
      <c r="F405" t="inlineStr"/>
      <c r="G405" t="inlineStr"/>
      <c r="H405" t="inlineStr">
        <is>
          <t>1.91%</t>
        </is>
      </c>
      <c r="I405" t="inlineStr">
        <is>
          <t>1.59%</t>
        </is>
      </c>
    </row>
    <row r="406">
      <c r="A406" s="2" t="n">
        <v>45966</v>
      </c>
      <c r="B406" t="inlineStr">
        <is>
          <t>P30128</t>
        </is>
      </c>
      <c r="C406" t="inlineStr">
        <is>
          <t>GICS_INDUSTRY_NAME</t>
        </is>
      </c>
      <c r="D406" t="inlineStr">
        <is>
          <t>Biotechnology</t>
        </is>
      </c>
      <c r="E406" t="inlineStr">
        <is>
          <t>N/A</t>
        </is>
      </c>
      <c r="F406" t="inlineStr"/>
      <c r="G406" t="inlineStr"/>
      <c r="H406" t="inlineStr">
        <is>
          <t>1.79%</t>
        </is>
      </c>
      <c r="I406" t="inlineStr">
        <is>
          <t>1.49%</t>
        </is>
      </c>
    </row>
    <row r="407">
      <c r="A407" s="2" t="n">
        <v>45966</v>
      </c>
      <c r="B407" t="inlineStr">
        <is>
          <t>P30128</t>
        </is>
      </c>
      <c r="C407" t="inlineStr">
        <is>
          <t>GICS_INDUSTRY_GROUP_NAME</t>
        </is>
      </c>
      <c r="D407" t="inlineStr">
        <is>
          <t>Consumer Staples Distribution &amp; Retail</t>
        </is>
      </c>
      <c r="E407" t="inlineStr">
        <is>
          <t>N/A</t>
        </is>
      </c>
      <c r="F407" t="inlineStr"/>
      <c r="G407" t="inlineStr"/>
      <c r="H407" t="inlineStr">
        <is>
          <t>1.74%</t>
        </is>
      </c>
      <c r="I407" t="inlineStr">
        <is>
          <t>1.75%</t>
        </is>
      </c>
    </row>
    <row r="408">
      <c r="A408" s="2" t="n">
        <v>45966</v>
      </c>
      <c r="B408" t="inlineStr">
        <is>
          <t>P30128</t>
        </is>
      </c>
      <c r="C408" t="inlineStr">
        <is>
          <t>GICS_INDUSTRY_NAME</t>
        </is>
      </c>
      <c r="D408" t="inlineStr">
        <is>
          <t>Consumer Staples Distribution &amp; Retail</t>
        </is>
      </c>
      <c r="E408" t="inlineStr">
        <is>
          <t>N/A</t>
        </is>
      </c>
      <c r="F408" t="inlineStr"/>
      <c r="G408" t="inlineStr"/>
      <c r="H408" t="inlineStr">
        <is>
          <t>1.74%</t>
        </is>
      </c>
      <c r="I408" t="inlineStr">
        <is>
          <t>1.75%</t>
        </is>
      </c>
    </row>
    <row r="409">
      <c r="A409" s="2" t="n">
        <v>45966</v>
      </c>
      <c r="B409" t="inlineStr">
        <is>
          <t>P30128</t>
        </is>
      </c>
      <c r="C409" t="inlineStr">
        <is>
          <t>GICS_INDUSTRY_GROUP_NAME</t>
        </is>
      </c>
      <c r="D409" t="inlineStr">
        <is>
          <t>Materials</t>
        </is>
      </c>
      <c r="E409" t="inlineStr">
        <is>
          <t>N/A</t>
        </is>
      </c>
      <c r="F409" t="inlineStr"/>
      <c r="G409" t="inlineStr"/>
      <c r="H409" t="inlineStr">
        <is>
          <t>1.68%</t>
        </is>
      </c>
      <c r="I409" t="inlineStr">
        <is>
          <t>1.68%</t>
        </is>
      </c>
    </row>
    <row r="410">
      <c r="A410" s="2" t="n">
        <v>45966</v>
      </c>
      <c r="B410" t="inlineStr">
        <is>
          <t>P30128</t>
        </is>
      </c>
      <c r="C410" t="inlineStr">
        <is>
          <t>GICS_INDUSTRY_NAME</t>
        </is>
      </c>
      <c r="D410" t="inlineStr">
        <is>
          <t>Chemicals</t>
        </is>
      </c>
      <c r="E410" t="inlineStr">
        <is>
          <t>N/A</t>
        </is>
      </c>
      <c r="F410" t="inlineStr"/>
      <c r="G410" t="inlineStr"/>
      <c r="H410" t="inlineStr">
        <is>
          <t>1.68%</t>
        </is>
      </c>
      <c r="I410" t="inlineStr">
        <is>
          <t>1.68%</t>
        </is>
      </c>
    </row>
    <row r="411">
      <c r="A411" s="2" t="n">
        <v>45966</v>
      </c>
      <c r="B411" t="inlineStr">
        <is>
          <t>P30128</t>
        </is>
      </c>
      <c r="C411" t="inlineStr">
        <is>
          <t>GICS_INDUSTRY_GROUP_NAME</t>
        </is>
      </c>
      <c r="D411" t="inlineStr">
        <is>
          <t>Consumer Services</t>
        </is>
      </c>
      <c r="E411" t="inlineStr">
        <is>
          <t>N/A</t>
        </is>
      </c>
      <c r="F411" t="inlineStr"/>
      <c r="G411" t="inlineStr"/>
      <c r="H411" t="inlineStr">
        <is>
          <t>1.67%</t>
        </is>
      </c>
      <c r="I411" t="inlineStr">
        <is>
          <t>1.67%</t>
        </is>
      </c>
    </row>
    <row r="412">
      <c r="A412" s="2" t="n">
        <v>45966</v>
      </c>
      <c r="B412" t="inlineStr">
        <is>
          <t>P30128</t>
        </is>
      </c>
      <c r="C412" t="inlineStr">
        <is>
          <t>GICS_INDUSTRY_NAME</t>
        </is>
      </c>
      <c r="D412" t="inlineStr">
        <is>
          <t>Hotels, Restaurants &amp; Leisure</t>
        </is>
      </c>
      <c r="E412" t="inlineStr">
        <is>
          <t>N/A</t>
        </is>
      </c>
      <c r="F412" t="inlineStr"/>
      <c r="G412" t="inlineStr"/>
      <c r="H412" t="inlineStr">
        <is>
          <t>1.67%</t>
        </is>
      </c>
      <c r="I412" t="inlineStr">
        <is>
          <t>1.67%</t>
        </is>
      </c>
    </row>
    <row r="413">
      <c r="A413" s="2" t="n">
        <v>45966</v>
      </c>
      <c r="B413" t="inlineStr">
        <is>
          <t>P30128</t>
        </is>
      </c>
      <c r="C413" t="inlineStr">
        <is>
          <t>GICS_INDUSTRY_NAME</t>
        </is>
      </c>
      <c r="D413" t="inlineStr">
        <is>
          <t>Machinery</t>
        </is>
      </c>
      <c r="E413" t="inlineStr">
        <is>
          <t>N/A</t>
        </is>
      </c>
      <c r="F413" t="inlineStr"/>
      <c r="G413" t="inlineStr"/>
      <c r="H413" t="inlineStr">
        <is>
          <t>1.51%</t>
        </is>
      </c>
      <c r="I413" t="inlineStr">
        <is>
          <t>1.51%</t>
        </is>
      </c>
    </row>
    <row r="414">
      <c r="A414" s="2" t="n">
        <v>45966</v>
      </c>
      <c r="B414" t="inlineStr">
        <is>
          <t>P30128</t>
        </is>
      </c>
      <c r="C414" t="inlineStr">
        <is>
          <t>GICS_INDUSTRY_GROUP_NAME</t>
        </is>
      </c>
      <c r="D414" t="inlineStr">
        <is>
          <t>Equity Real Estate Investment Trusts</t>
        </is>
      </c>
      <c r="E414" t="inlineStr">
        <is>
          <t>N/A</t>
        </is>
      </c>
      <c r="F414" t="inlineStr"/>
      <c r="G414" t="inlineStr"/>
      <c r="H414" t="inlineStr">
        <is>
          <t>1.44%</t>
        </is>
      </c>
      <c r="I414" t="inlineStr">
        <is>
          <t>1.44%</t>
        </is>
      </c>
    </row>
    <row r="415">
      <c r="A415" s="2" t="n">
        <v>45966</v>
      </c>
      <c r="B415" t="inlineStr">
        <is>
          <t>P30128</t>
        </is>
      </c>
      <c r="C415" t="inlineStr">
        <is>
          <t>GICS_INDUSTRY_NAME</t>
        </is>
      </c>
      <c r="D415" t="inlineStr">
        <is>
          <t>Specialized REITs</t>
        </is>
      </c>
      <c r="E415" t="inlineStr">
        <is>
          <t>N/A</t>
        </is>
      </c>
      <c r="F415" t="inlineStr"/>
      <c r="G415" t="inlineStr"/>
      <c r="H415" t="inlineStr">
        <is>
          <t>1.44%</t>
        </is>
      </c>
      <c r="I415" t="inlineStr">
        <is>
          <t>1.44%</t>
        </is>
      </c>
    </row>
    <row r="416">
      <c r="A416" s="2" t="n">
        <v>45966</v>
      </c>
      <c r="B416" t="inlineStr">
        <is>
          <t>P30128</t>
        </is>
      </c>
      <c r="C416" t="inlineStr">
        <is>
          <t>GICS_INDUSTRY_GROUP_NAME</t>
        </is>
      </c>
      <c r="D416" t="inlineStr">
        <is>
          <t>Transportation</t>
        </is>
      </c>
      <c r="E416" t="inlineStr">
        <is>
          <t>N/A</t>
        </is>
      </c>
      <c r="F416" t="inlineStr"/>
      <c r="G416" t="inlineStr"/>
      <c r="H416" t="inlineStr">
        <is>
          <t>1.32%</t>
        </is>
      </c>
      <c r="I416" t="inlineStr">
        <is>
          <t>1.32%</t>
        </is>
      </c>
    </row>
    <row r="417">
      <c r="A417" s="2" t="n">
        <v>45966</v>
      </c>
      <c r="B417" t="inlineStr">
        <is>
          <t>P30128</t>
        </is>
      </c>
      <c r="C417" t="inlineStr">
        <is>
          <t>GICS_INDUSTRY_NAME</t>
        </is>
      </c>
      <c r="D417" t="inlineStr">
        <is>
          <t>Specialty Retail</t>
        </is>
      </c>
      <c r="E417" t="inlineStr">
        <is>
          <t>N/A</t>
        </is>
      </c>
      <c r="F417" t="inlineStr"/>
      <c r="G417" t="inlineStr"/>
      <c r="H417" t="inlineStr">
        <is>
          <t>1.28%</t>
        </is>
      </c>
      <c r="I417" t="inlineStr">
        <is>
          <t>1.28%</t>
        </is>
      </c>
    </row>
    <row r="418">
      <c r="A418" s="2" t="n">
        <v>45966</v>
      </c>
      <c r="B418" t="inlineStr">
        <is>
          <t>P30128</t>
        </is>
      </c>
      <c r="C418" t="inlineStr">
        <is>
          <t>GICS_INDUSTRY_NAME</t>
        </is>
      </c>
      <c r="D418" t="inlineStr">
        <is>
          <t>Entertainment</t>
        </is>
      </c>
      <c r="E418" t="inlineStr">
        <is>
          <t>N/A</t>
        </is>
      </c>
      <c r="F418" t="inlineStr"/>
      <c r="G418" t="inlineStr"/>
      <c r="H418" t="inlineStr">
        <is>
          <t>1.22%</t>
        </is>
      </c>
      <c r="I418" t="inlineStr">
        <is>
          <t>1.22%</t>
        </is>
      </c>
    </row>
    <row r="419">
      <c r="A419" s="2" t="n">
        <v>45966</v>
      </c>
      <c r="B419" t="inlineStr">
        <is>
          <t>P30128</t>
        </is>
      </c>
      <c r="C419" t="inlineStr">
        <is>
          <t>GICS_INDUSTRY_NAME</t>
        </is>
      </c>
      <c r="D419" t="inlineStr">
        <is>
          <t>IT Services</t>
        </is>
      </c>
      <c r="E419" t="inlineStr">
        <is>
          <t>N/A</t>
        </is>
      </c>
      <c r="F419" t="inlineStr"/>
      <c r="G419" t="inlineStr"/>
      <c r="H419" t="inlineStr">
        <is>
          <t>1.21%</t>
        </is>
      </c>
      <c r="I419" t="inlineStr">
        <is>
          <t>1.13%</t>
        </is>
      </c>
    </row>
    <row r="420">
      <c r="A420" s="2" t="n">
        <v>45966</v>
      </c>
      <c r="B420" t="inlineStr">
        <is>
          <t>P30128</t>
        </is>
      </c>
      <c r="C420" t="inlineStr">
        <is>
          <t>GICS_INDUSTRY_NAME</t>
        </is>
      </c>
      <c r="D420" t="inlineStr">
        <is>
          <t>Beverages</t>
        </is>
      </c>
      <c r="E420" t="inlineStr">
        <is>
          <t>N/A</t>
        </is>
      </c>
      <c r="F420" t="inlineStr"/>
      <c r="G420" t="inlineStr"/>
      <c r="H420" t="inlineStr">
        <is>
          <t>1.15%</t>
        </is>
      </c>
      <c r="I420" t="inlineStr">
        <is>
          <t>1.15%</t>
        </is>
      </c>
    </row>
    <row r="421">
      <c r="A421" s="2" t="n">
        <v>45966</v>
      </c>
      <c r="B421" t="inlineStr">
        <is>
          <t>P30128</t>
        </is>
      </c>
      <c r="C421" t="inlineStr">
        <is>
          <t>GICS_INDUSTRY_GROUP_NAME</t>
        </is>
      </c>
      <c r="D421" t="inlineStr">
        <is>
          <t>Commercial &amp; Professional Services</t>
        </is>
      </c>
      <c r="E421" t="inlineStr">
        <is>
          <t>N/A</t>
        </is>
      </c>
      <c r="F421" t="inlineStr"/>
      <c r="G421" t="inlineStr"/>
      <c r="H421" t="inlineStr">
        <is>
          <t>0.99%</t>
        </is>
      </c>
      <c r="I421" t="inlineStr">
        <is>
          <t>0.99%</t>
        </is>
      </c>
    </row>
    <row r="422">
      <c r="A422" s="2" t="n">
        <v>45966</v>
      </c>
      <c r="B422" t="inlineStr">
        <is>
          <t>P30128</t>
        </is>
      </c>
      <c r="C422" t="inlineStr">
        <is>
          <t>GICS_INDUSTRY_NAME</t>
        </is>
      </c>
      <c r="D422" t="inlineStr">
        <is>
          <t>Commercial Services &amp; Supplies</t>
        </is>
      </c>
      <c r="E422" t="inlineStr">
        <is>
          <t>N/A</t>
        </is>
      </c>
      <c r="F422" t="inlineStr"/>
      <c r="G422" t="inlineStr"/>
      <c r="H422" t="inlineStr">
        <is>
          <t>0.99%</t>
        </is>
      </c>
      <c r="I422" t="inlineStr">
        <is>
          <t>0.99%</t>
        </is>
      </c>
    </row>
    <row r="423">
      <c r="A423" s="2" t="n">
        <v>45966</v>
      </c>
      <c r="B423" t="inlineStr">
        <is>
          <t>P30128</t>
        </is>
      </c>
      <c r="C423" t="inlineStr">
        <is>
          <t>GICS_INDUSTRY_NAME</t>
        </is>
      </c>
      <c r="D423" t="inlineStr">
        <is>
          <t>Ground Transportation</t>
        </is>
      </c>
      <c r="E423" t="inlineStr">
        <is>
          <t>N/A</t>
        </is>
      </c>
      <c r="F423" t="inlineStr"/>
      <c r="G423" t="inlineStr"/>
      <c r="H423" t="inlineStr">
        <is>
          <t>0.95%</t>
        </is>
      </c>
      <c r="I423" t="inlineStr">
        <is>
          <t>0.95%</t>
        </is>
      </c>
    </row>
    <row r="424">
      <c r="A424" s="2" t="n">
        <v>45966</v>
      </c>
      <c r="B424" t="inlineStr">
        <is>
          <t>P30128</t>
        </is>
      </c>
      <c r="C424" t="inlineStr">
        <is>
          <t>GICS_INDUSTRY_GROUP_NAME</t>
        </is>
      </c>
      <c r="D424" t="inlineStr">
        <is>
          <t>Household &amp; Personal Products</t>
        </is>
      </c>
      <c r="E424" t="inlineStr">
        <is>
          <t>N/A</t>
        </is>
      </c>
      <c r="F424" t="inlineStr"/>
      <c r="G424" t="inlineStr"/>
      <c r="H424" t="inlineStr">
        <is>
          <t>0.92%</t>
        </is>
      </c>
      <c r="I424" t="inlineStr">
        <is>
          <t>0.92%</t>
        </is>
      </c>
    </row>
    <row r="425">
      <c r="A425" s="2" t="n">
        <v>45966</v>
      </c>
      <c r="B425" t="inlineStr">
        <is>
          <t>P30128</t>
        </is>
      </c>
      <c r="C425" t="inlineStr">
        <is>
          <t>GICS_INDUSTRY_NAME</t>
        </is>
      </c>
      <c r="D425" t="inlineStr">
        <is>
          <t>Household Products</t>
        </is>
      </c>
      <c r="E425" t="inlineStr">
        <is>
          <t>N/A</t>
        </is>
      </c>
      <c r="F425" t="inlineStr"/>
      <c r="G425" t="inlineStr"/>
      <c r="H425" t="inlineStr">
        <is>
          <t>0.92%</t>
        </is>
      </c>
      <c r="I425" t="inlineStr">
        <is>
          <t>0.92%</t>
        </is>
      </c>
    </row>
    <row r="426">
      <c r="A426" s="2" t="n">
        <v>45966</v>
      </c>
      <c r="B426" t="inlineStr">
        <is>
          <t>P30128</t>
        </is>
      </c>
      <c r="C426" t="inlineStr">
        <is>
          <t>GICS_INDUSTRY_NAME</t>
        </is>
      </c>
      <c r="D426" t="inlineStr">
        <is>
          <t>Life Sciences Tools &amp; Services</t>
        </is>
      </c>
      <c r="E426" t="inlineStr">
        <is>
          <t>N/A</t>
        </is>
      </c>
      <c r="F426" t="inlineStr"/>
      <c r="G426" t="inlineStr"/>
      <c r="H426" t="inlineStr">
        <is>
          <t>0.90%</t>
        </is>
      </c>
      <c r="I426" t="inlineStr">
        <is>
          <t>0.74%</t>
        </is>
      </c>
    </row>
    <row r="427">
      <c r="A427" s="2" t="n">
        <v>45966</v>
      </c>
      <c r="B427" t="inlineStr">
        <is>
          <t>P30128</t>
        </is>
      </c>
      <c r="C427" t="inlineStr">
        <is>
          <t>GICS_INDUSTRY_NAME</t>
        </is>
      </c>
      <c r="D427" t="inlineStr">
        <is>
          <t>Electrical Equipment</t>
        </is>
      </c>
      <c r="E427" t="inlineStr">
        <is>
          <t>N/A</t>
        </is>
      </c>
      <c r="F427" t="inlineStr"/>
      <c r="G427" t="inlineStr"/>
      <c r="H427" t="inlineStr">
        <is>
          <t>0.87%</t>
        </is>
      </c>
      <c r="I427" t="inlineStr">
        <is>
          <t>0.87%</t>
        </is>
      </c>
    </row>
    <row r="428">
      <c r="A428" s="2" t="n">
        <v>45966</v>
      </c>
      <c r="B428" t="inlineStr">
        <is>
          <t>P30128</t>
        </is>
      </c>
      <c r="C428" t="inlineStr">
        <is>
          <t>GICS_INDUSTRY_NAME</t>
        </is>
      </c>
      <c r="D428" t="inlineStr">
        <is>
          <t>Industrial Conglomerates</t>
        </is>
      </c>
      <c r="E428" t="inlineStr">
        <is>
          <t>N/A</t>
        </is>
      </c>
      <c r="F428" t="inlineStr"/>
      <c r="G428" t="inlineStr"/>
      <c r="H428" t="inlineStr">
        <is>
          <t>0.83%</t>
        </is>
      </c>
      <c r="I428" t="inlineStr">
        <is>
          <t>0.83%</t>
        </is>
      </c>
    </row>
    <row r="429">
      <c r="A429" s="2" t="n">
        <v>45966</v>
      </c>
      <c r="B429" t="inlineStr">
        <is>
          <t>P30128</t>
        </is>
      </c>
      <c r="C429" t="inlineStr">
        <is>
          <t>GICS_INDUSTRY_NAME</t>
        </is>
      </c>
      <c r="D429" t="inlineStr">
        <is>
          <t>Tobacco</t>
        </is>
      </c>
      <c r="E429" t="inlineStr">
        <is>
          <t>N/A</t>
        </is>
      </c>
      <c r="F429" t="inlineStr"/>
      <c r="G429" t="inlineStr"/>
      <c r="H429" t="inlineStr">
        <is>
          <t>0.82%</t>
        </is>
      </c>
      <c r="I429" t="inlineStr">
        <is>
          <t>0.81%</t>
        </is>
      </c>
    </row>
    <row r="430">
      <c r="A430" s="2" t="n">
        <v>45966</v>
      </c>
      <c r="B430" t="inlineStr">
        <is>
          <t>P30128</t>
        </is>
      </c>
      <c r="C430" t="inlineStr">
        <is>
          <t>GICS_INDUSTRY_GROUP_NAME</t>
        </is>
      </c>
      <c r="D430" t="inlineStr">
        <is>
          <t>Telecommunication Services</t>
        </is>
      </c>
      <c r="E430" t="inlineStr">
        <is>
          <t>N/A</t>
        </is>
      </c>
      <c r="F430" t="inlineStr"/>
      <c r="G430" t="inlineStr"/>
      <c r="H430" t="inlineStr">
        <is>
          <t>0.79%</t>
        </is>
      </c>
      <c r="I430" t="inlineStr">
        <is>
          <t>0.79%</t>
        </is>
      </c>
    </row>
    <row r="431">
      <c r="A431" s="2" t="n">
        <v>45966</v>
      </c>
      <c r="B431" t="inlineStr">
        <is>
          <t>P30128</t>
        </is>
      </c>
      <c r="C431" t="inlineStr">
        <is>
          <t>GICS_INDUSTRY_NAME</t>
        </is>
      </c>
      <c r="D431" t="inlineStr">
        <is>
          <t>Diversified Telecommunication Services</t>
        </is>
      </c>
      <c r="E431" t="inlineStr">
        <is>
          <t>N/A</t>
        </is>
      </c>
      <c r="F431" t="inlineStr"/>
      <c r="G431" t="inlineStr"/>
      <c r="H431" t="inlineStr">
        <is>
          <t>0.79%</t>
        </is>
      </c>
      <c r="I431" t="inlineStr">
        <is>
          <t>0.79%</t>
        </is>
      </c>
    </row>
    <row r="432">
      <c r="A432" s="2" t="n">
        <v>45966</v>
      </c>
      <c r="B432" t="inlineStr">
        <is>
          <t>P30128</t>
        </is>
      </c>
      <c r="C432" t="inlineStr">
        <is>
          <t>GICS_INDUSTRY_NAME</t>
        </is>
      </c>
      <c r="D432" t="inlineStr">
        <is>
          <t>Consumer Finance</t>
        </is>
      </c>
      <c r="E432" t="inlineStr">
        <is>
          <t>N/A</t>
        </is>
      </c>
      <c r="F432" t="inlineStr"/>
      <c r="G432" t="inlineStr"/>
      <c r="H432" t="inlineStr">
        <is>
          <t>0.62%</t>
        </is>
      </c>
      <c r="I432" t="inlineStr">
        <is>
          <t>0.51%</t>
        </is>
      </c>
    </row>
    <row r="433">
      <c r="A433" s="2" t="n">
        <v>45966</v>
      </c>
      <c r="B433" t="inlineStr">
        <is>
          <t>P30128</t>
        </is>
      </c>
      <c r="C433" t="inlineStr">
        <is>
          <t>GICS_INDUSTRY_GROUP_NAME</t>
        </is>
      </c>
      <c r="D433" t="inlineStr">
        <is>
          <t>Consumer Durables &amp; Apparel</t>
        </is>
      </c>
      <c r="E433" t="inlineStr">
        <is>
          <t>N/A</t>
        </is>
      </c>
      <c r="F433" t="inlineStr"/>
      <c r="G433" t="inlineStr"/>
      <c r="H433" t="inlineStr">
        <is>
          <t>0.51%</t>
        </is>
      </c>
      <c r="I433" t="inlineStr">
        <is>
          <t>0.51%</t>
        </is>
      </c>
    </row>
    <row r="434">
      <c r="A434" s="2" t="n">
        <v>45966</v>
      </c>
      <c r="B434" t="inlineStr">
        <is>
          <t>P30128</t>
        </is>
      </c>
      <c r="C434" t="inlineStr">
        <is>
          <t>GICS_INDUSTRY_NAME</t>
        </is>
      </c>
      <c r="D434" t="inlineStr">
        <is>
          <t>Textiles, Apparel &amp; Luxury Goods</t>
        </is>
      </c>
      <c r="E434" t="inlineStr">
        <is>
          <t>N/A</t>
        </is>
      </c>
      <c r="F434" t="inlineStr"/>
      <c r="G434" t="inlineStr"/>
      <c r="H434" t="inlineStr">
        <is>
          <t>0.51%</t>
        </is>
      </c>
      <c r="I434" t="inlineStr">
        <is>
          <t>0.51%</t>
        </is>
      </c>
    </row>
    <row r="435">
      <c r="A435" s="2" t="n">
        <v>45966</v>
      </c>
      <c r="B435" t="inlineStr">
        <is>
          <t>P30128</t>
        </is>
      </c>
      <c r="C435" t="inlineStr">
        <is>
          <t>GICS_INDUSTRY_NAME</t>
        </is>
      </c>
      <c r="D435" t="inlineStr">
        <is>
          <t>Air Freight &amp; Logistics</t>
        </is>
      </c>
      <c r="E435" t="inlineStr">
        <is>
          <t>N/A</t>
        </is>
      </c>
      <c r="F435" t="inlineStr"/>
      <c r="G435" t="inlineStr"/>
      <c r="H435" t="inlineStr">
        <is>
          <t>0.37%</t>
        </is>
      </c>
      <c r="I435" t="inlineStr">
        <is>
          <t>0.37%</t>
        </is>
      </c>
    </row>
    <row r="436">
      <c r="A436" s="2" t="n">
        <v>45966</v>
      </c>
      <c r="B436" t="inlineStr">
        <is>
          <t>P30128</t>
        </is>
      </c>
      <c r="C436" t="inlineStr">
        <is>
          <t>GICS_INDUSTRY_NAME</t>
        </is>
      </c>
      <c r="D436" t="inlineStr">
        <is>
          <t>Media</t>
        </is>
      </c>
      <c r="E436" t="inlineStr">
        <is>
          <t>N/A</t>
        </is>
      </c>
      <c r="F436" t="inlineStr"/>
      <c r="G436" t="inlineStr"/>
      <c r="H436" t="inlineStr">
        <is>
          <t>0.19%</t>
        </is>
      </c>
      <c r="I436" t="inlineStr">
        <is>
          <t>0.19%</t>
        </is>
      </c>
    </row>
    <row r="437">
      <c r="A437" s="2" t="n">
        <v>45966</v>
      </c>
      <c r="B437" t="inlineStr">
        <is>
          <t>P30128</t>
        </is>
      </c>
      <c r="C437" t="inlineStr">
        <is>
          <t>GICS_INDUSTRY_NAME</t>
        </is>
      </c>
      <c r="D437" t="inlineStr">
        <is>
          <t>Food Products</t>
        </is>
      </c>
      <c r="E437" t="inlineStr">
        <is>
          <t>N/A</t>
        </is>
      </c>
      <c r="F437" t="inlineStr"/>
      <c r="G437" t="inlineStr"/>
      <c r="H437" t="inlineStr">
        <is>
          <t>0.19%</t>
        </is>
      </c>
      <c r="I437" t="inlineStr">
        <is>
          <t>0.19%</t>
        </is>
      </c>
    </row>
    <row r="438">
      <c r="A438" s="2" t="n">
        <v>45966</v>
      </c>
      <c r="B438" t="inlineStr">
        <is>
          <t>P31027</t>
        </is>
      </c>
      <c r="C438" t="inlineStr">
        <is>
          <t>GICS_INDUSTRY_GROUP_NAME</t>
        </is>
      </c>
      <c r="D438" t="inlineStr">
        <is>
          <t>Semiconductors &amp; Semiconductor Equipment</t>
        </is>
      </c>
      <c r="E438" t="inlineStr">
        <is>
          <t>N/A</t>
        </is>
      </c>
      <c r="F438" t="inlineStr"/>
      <c r="G438" t="inlineStr"/>
      <c r="H438" t="inlineStr">
        <is>
          <t>15.87%</t>
        </is>
      </c>
      <c r="I438" t="inlineStr">
        <is>
          <t>14.90%</t>
        </is>
      </c>
    </row>
    <row r="439">
      <c r="A439" s="2" t="n">
        <v>45966</v>
      </c>
      <c r="B439" t="inlineStr">
        <is>
          <t>P31027</t>
        </is>
      </c>
      <c r="C439" t="inlineStr">
        <is>
          <t>GICS_INDUSTRY_NAME</t>
        </is>
      </c>
      <c r="D439" t="inlineStr">
        <is>
          <t>Semiconductors &amp; Semiconductor Equipment</t>
        </is>
      </c>
      <c r="E439" t="inlineStr">
        <is>
          <t>N/A</t>
        </is>
      </c>
      <c r="F439" t="inlineStr"/>
      <c r="G439" t="inlineStr"/>
      <c r="H439" t="inlineStr">
        <is>
          <t>15.87%</t>
        </is>
      </c>
      <c r="I439" t="inlineStr">
        <is>
          <t>14.90%</t>
        </is>
      </c>
    </row>
    <row r="440">
      <c r="A440" s="2" t="n">
        <v>45966</v>
      </c>
      <c r="B440" t="inlineStr">
        <is>
          <t>P31027</t>
        </is>
      </c>
      <c r="C440" t="inlineStr">
        <is>
          <t>GICS_INDUSTRY_GROUP_NAME</t>
        </is>
      </c>
      <c r="D440" t="inlineStr">
        <is>
          <t>Software &amp; Services</t>
        </is>
      </c>
      <c r="E440" t="inlineStr">
        <is>
          <t>N/A</t>
        </is>
      </c>
      <c r="F440" t="inlineStr"/>
      <c r="G440" t="inlineStr"/>
      <c r="H440" t="inlineStr">
        <is>
          <t>10.17%</t>
        </is>
      </c>
      <c r="I440" t="inlineStr">
        <is>
          <t>11.58%</t>
        </is>
      </c>
    </row>
    <row r="441">
      <c r="A441" s="2" t="n">
        <v>45966</v>
      </c>
      <c r="B441" t="inlineStr">
        <is>
          <t>P31027</t>
        </is>
      </c>
      <c r="C441" t="inlineStr">
        <is>
          <t>GICS_INDUSTRY_GROUP_NAME</t>
        </is>
      </c>
      <c r="D441" t="inlineStr">
        <is>
          <t>Technology Hardware &amp; Equipment</t>
        </is>
      </c>
      <c r="E441" t="inlineStr">
        <is>
          <t>N/A</t>
        </is>
      </c>
      <c r="F441" t="inlineStr"/>
      <c r="G441" t="inlineStr"/>
      <c r="H441" t="inlineStr">
        <is>
          <t>9.48%</t>
        </is>
      </c>
      <c r="I441" t="inlineStr">
        <is>
          <t>9.02%</t>
        </is>
      </c>
    </row>
    <row r="442">
      <c r="A442" s="2" t="n">
        <v>45966</v>
      </c>
      <c r="B442" t="inlineStr">
        <is>
          <t>P31027</t>
        </is>
      </c>
      <c r="C442" t="inlineStr">
        <is>
          <t>GICS_INDUSTRY_GROUP_NAME</t>
        </is>
      </c>
      <c r="D442" t="inlineStr">
        <is>
          <t>Media &amp; Entertainment</t>
        </is>
      </c>
      <c r="E442" t="inlineStr">
        <is>
          <t>N/A</t>
        </is>
      </c>
      <c r="F442" t="inlineStr"/>
      <c r="G442" t="inlineStr"/>
      <c r="H442" t="inlineStr">
        <is>
          <t>9.40%</t>
        </is>
      </c>
      <c r="I442" t="inlineStr">
        <is>
          <t>9.40%</t>
        </is>
      </c>
    </row>
    <row r="443">
      <c r="A443" s="2" t="n">
        <v>45966</v>
      </c>
      <c r="B443" t="inlineStr">
        <is>
          <t>P31027</t>
        </is>
      </c>
      <c r="C443" t="inlineStr">
        <is>
          <t>GICS_INDUSTRY_NAME</t>
        </is>
      </c>
      <c r="D443" t="inlineStr">
        <is>
          <t>Software</t>
        </is>
      </c>
      <c r="E443" t="inlineStr">
        <is>
          <t>N/A</t>
        </is>
      </c>
      <c r="F443" t="inlineStr"/>
      <c r="G443" t="inlineStr"/>
      <c r="H443" t="inlineStr">
        <is>
          <t>8.96%</t>
        </is>
      </c>
      <c r="I443" t="inlineStr">
        <is>
          <t>10.45%</t>
        </is>
      </c>
    </row>
    <row r="444">
      <c r="A444" s="2" t="n">
        <v>45966</v>
      </c>
      <c r="B444" t="inlineStr">
        <is>
          <t>P31027</t>
        </is>
      </c>
      <c r="C444" t="inlineStr">
        <is>
          <t>GICS_INDUSTRY_NAME</t>
        </is>
      </c>
      <c r="D444" t="inlineStr">
        <is>
          <t>Interactive Media &amp; Services</t>
        </is>
      </c>
      <c r="E444" t="inlineStr">
        <is>
          <t>N/A</t>
        </is>
      </c>
      <c r="F444" t="inlineStr"/>
      <c r="G444" t="inlineStr"/>
      <c r="H444" t="inlineStr">
        <is>
          <t>7.99%</t>
        </is>
      </c>
      <c r="I444" t="inlineStr">
        <is>
          <t>7.99%</t>
        </is>
      </c>
    </row>
    <row r="445">
      <c r="A445" s="2" t="n">
        <v>45966</v>
      </c>
      <c r="B445" t="inlineStr">
        <is>
          <t>P31027</t>
        </is>
      </c>
      <c r="C445" t="inlineStr">
        <is>
          <t>GICS_INDUSTRY_NAME</t>
        </is>
      </c>
      <c r="D445" t="inlineStr">
        <is>
          <t>Technology Hardware, Storage &amp; Peripherals</t>
        </is>
      </c>
      <c r="E445" t="inlineStr">
        <is>
          <t>N/A</t>
        </is>
      </c>
      <c r="F445" t="inlineStr"/>
      <c r="G445" t="inlineStr"/>
      <c r="H445" t="inlineStr">
        <is>
          <t>7.46%</t>
        </is>
      </c>
      <c r="I445" t="inlineStr">
        <is>
          <t>7.01%</t>
        </is>
      </c>
    </row>
    <row r="446">
      <c r="A446" s="2" t="n">
        <v>45966</v>
      </c>
      <c r="B446" t="inlineStr">
        <is>
          <t>P31027</t>
        </is>
      </c>
      <c r="C446" t="inlineStr">
        <is>
          <t>GICS_INDUSTRY_GROUP_NAME</t>
        </is>
      </c>
      <c r="D446" t="inlineStr">
        <is>
          <t>Financial Services</t>
        </is>
      </c>
      <c r="E446" t="inlineStr">
        <is>
          <t>N/A</t>
        </is>
      </c>
      <c r="F446" t="inlineStr"/>
      <c r="G446" t="inlineStr"/>
      <c r="H446" t="inlineStr">
        <is>
          <t>6.64%</t>
        </is>
      </c>
      <c r="I446" t="inlineStr">
        <is>
          <t>7.82%</t>
        </is>
      </c>
    </row>
    <row r="447">
      <c r="A447" s="2" t="n">
        <v>45966</v>
      </c>
      <c r="B447" t="inlineStr">
        <is>
          <t>P31027</t>
        </is>
      </c>
      <c r="C447" t="inlineStr">
        <is>
          <t>GICS_INDUSTRY_GROUP_NAME</t>
        </is>
      </c>
      <c r="D447" t="inlineStr">
        <is>
          <t>Capital Goods</t>
        </is>
      </c>
      <c r="E447" t="inlineStr">
        <is>
          <t>N/A</t>
        </is>
      </c>
      <c r="F447" t="inlineStr"/>
      <c r="G447" t="inlineStr"/>
      <c r="H447" t="inlineStr">
        <is>
          <t>6.30%</t>
        </is>
      </c>
      <c r="I447" t="inlineStr">
        <is>
          <t>6.29%</t>
        </is>
      </c>
    </row>
    <row r="448">
      <c r="A448" s="2" t="n">
        <v>45966</v>
      </c>
      <c r="B448" t="inlineStr">
        <is>
          <t>P31027</t>
        </is>
      </c>
      <c r="C448" t="inlineStr">
        <is>
          <t>GICS_INDUSTRY_GROUP_NAME</t>
        </is>
      </c>
      <c r="D448" t="inlineStr">
        <is>
          <t>Consumer Discretionary Distribution &amp; Retail</t>
        </is>
      </c>
      <c r="E448" t="inlineStr">
        <is>
          <t>N/A</t>
        </is>
      </c>
      <c r="F448" t="inlineStr"/>
      <c r="G448" t="inlineStr"/>
      <c r="H448" t="inlineStr">
        <is>
          <t>5.78%</t>
        </is>
      </c>
      <c r="I448" t="inlineStr">
        <is>
          <t>5.78%</t>
        </is>
      </c>
    </row>
    <row r="449">
      <c r="A449" s="2" t="n">
        <v>45966</v>
      </c>
      <c r="B449" t="inlineStr">
        <is>
          <t>P31027</t>
        </is>
      </c>
      <c r="C449" t="inlineStr">
        <is>
          <t>GICS_INDUSTRY_GROUP_NAME</t>
        </is>
      </c>
      <c r="D449" t="inlineStr">
        <is>
          <t>Pharmaceuticals, Biotechnology &amp; Life Sciences</t>
        </is>
      </c>
      <c r="E449" t="inlineStr">
        <is>
          <t>N/A</t>
        </is>
      </c>
      <c r="F449" t="inlineStr"/>
      <c r="G449" t="inlineStr"/>
      <c r="H449" t="inlineStr">
        <is>
          <t>4.96%</t>
        </is>
      </c>
      <c r="I449" t="inlineStr">
        <is>
          <t>5.66%</t>
        </is>
      </c>
    </row>
    <row r="450">
      <c r="A450" s="2" t="n">
        <v>45966</v>
      </c>
      <c r="B450" t="inlineStr">
        <is>
          <t>P31027</t>
        </is>
      </c>
      <c r="C450" t="inlineStr">
        <is>
          <t>GICS_INDUSTRY_NAME</t>
        </is>
      </c>
      <c r="D450" t="inlineStr">
        <is>
          <t>Broadline Retail</t>
        </is>
      </c>
      <c r="E450" t="inlineStr">
        <is>
          <t>N/A</t>
        </is>
      </c>
      <c r="F450" t="inlineStr"/>
      <c r="G450" t="inlineStr"/>
      <c r="H450" t="inlineStr">
        <is>
          <t>4.50%</t>
        </is>
      </c>
      <c r="I450" t="inlineStr">
        <is>
          <t>4.50%</t>
        </is>
      </c>
    </row>
    <row r="451">
      <c r="A451" s="2" t="n">
        <v>45966</v>
      </c>
      <c r="B451" t="inlineStr">
        <is>
          <t>P31027</t>
        </is>
      </c>
      <c r="C451" t="inlineStr">
        <is>
          <t>GICS_INDUSTRY_GROUP_NAME</t>
        </is>
      </c>
      <c r="D451" t="inlineStr">
        <is>
          <t>Banks</t>
        </is>
      </c>
      <c r="E451" t="inlineStr">
        <is>
          <t>N/A</t>
        </is>
      </c>
      <c r="F451" t="inlineStr"/>
      <c r="G451" t="inlineStr"/>
      <c r="H451" t="inlineStr">
        <is>
          <t>4.47%</t>
        </is>
      </c>
      <c r="I451" t="inlineStr">
        <is>
          <t>3.69%</t>
        </is>
      </c>
    </row>
    <row r="452">
      <c r="A452" s="2" t="n">
        <v>45966</v>
      </c>
      <c r="B452" t="inlineStr">
        <is>
          <t>P31027</t>
        </is>
      </c>
      <c r="C452" t="inlineStr">
        <is>
          <t>GICS_INDUSTRY_NAME</t>
        </is>
      </c>
      <c r="D452" t="inlineStr">
        <is>
          <t>Banks</t>
        </is>
      </c>
      <c r="E452" t="inlineStr">
        <is>
          <t>N/A</t>
        </is>
      </c>
      <c r="F452" t="inlineStr"/>
      <c r="G452" t="inlineStr"/>
      <c r="H452" t="inlineStr">
        <is>
          <t>4.47%</t>
        </is>
      </c>
      <c r="I452" t="inlineStr">
        <is>
          <t>3.69%</t>
        </is>
      </c>
    </row>
    <row r="453">
      <c r="A453" s="2" t="n">
        <v>45966</v>
      </c>
      <c r="B453" t="inlineStr">
        <is>
          <t>P31027</t>
        </is>
      </c>
      <c r="C453" t="inlineStr">
        <is>
          <t>GICS_INDUSTRY_GROUP_NAME</t>
        </is>
      </c>
      <c r="D453" t="inlineStr">
        <is>
          <t>Health Care Equipment &amp; Services</t>
        </is>
      </c>
      <c r="E453" t="inlineStr">
        <is>
          <t>N/A</t>
        </is>
      </c>
      <c r="F453" t="inlineStr"/>
      <c r="G453" t="inlineStr"/>
      <c r="H453" t="inlineStr">
        <is>
          <t>4.04%</t>
        </is>
      </c>
      <c r="I453" t="inlineStr">
        <is>
          <t>3.36%</t>
        </is>
      </c>
    </row>
    <row r="454">
      <c r="A454" s="2" t="n">
        <v>45966</v>
      </c>
      <c r="B454" t="inlineStr">
        <is>
          <t>P31027</t>
        </is>
      </c>
      <c r="C454" t="inlineStr">
        <is>
          <t>GICS_INDUSTRY_NAME</t>
        </is>
      </c>
      <c r="D454" t="inlineStr">
        <is>
          <t>Financial Services</t>
        </is>
      </c>
      <c r="E454" t="inlineStr">
        <is>
          <t>N/A</t>
        </is>
      </c>
      <c r="F454" t="inlineStr"/>
      <c r="G454" t="inlineStr"/>
      <c r="H454" t="inlineStr">
        <is>
          <t>3.34%</t>
        </is>
      </c>
      <c r="I454" t="inlineStr">
        <is>
          <t>5.03%</t>
        </is>
      </c>
    </row>
    <row r="455">
      <c r="A455" s="2" t="n">
        <v>45966</v>
      </c>
      <c r="B455" t="inlineStr">
        <is>
          <t>P31027</t>
        </is>
      </c>
      <c r="C455" t="inlineStr">
        <is>
          <t>GICS_INDUSTRY_NAME</t>
        </is>
      </c>
      <c r="D455" t="inlineStr">
        <is>
          <t>Aerospace &amp; Defense</t>
        </is>
      </c>
      <c r="E455" t="inlineStr">
        <is>
          <t>N/A</t>
        </is>
      </c>
      <c r="F455" t="inlineStr"/>
      <c r="G455" t="inlineStr"/>
      <c r="H455" t="inlineStr">
        <is>
          <t>3.09%</t>
        </is>
      </c>
      <c r="I455" t="inlineStr">
        <is>
          <t>3.09%</t>
        </is>
      </c>
    </row>
    <row r="456">
      <c r="A456" s="2" t="n">
        <v>45966</v>
      </c>
      <c r="B456" t="inlineStr">
        <is>
          <t>P31027</t>
        </is>
      </c>
      <c r="C456" t="inlineStr">
        <is>
          <t>GICS_INDUSTRY_GROUP_NAME</t>
        </is>
      </c>
      <c r="D456" t="inlineStr">
        <is>
          <t>Energy</t>
        </is>
      </c>
      <c r="E456" t="inlineStr">
        <is>
          <t>N/A</t>
        </is>
      </c>
      <c r="F456" t="inlineStr"/>
      <c r="G456" t="inlineStr"/>
      <c r="H456" t="inlineStr">
        <is>
          <t>2.79%</t>
        </is>
      </c>
      <c r="I456" t="inlineStr">
        <is>
          <t>2.79%</t>
        </is>
      </c>
    </row>
    <row r="457">
      <c r="A457" s="2" t="n">
        <v>45966</v>
      </c>
      <c r="B457" t="inlineStr">
        <is>
          <t>P31027</t>
        </is>
      </c>
      <c r="C457" t="inlineStr">
        <is>
          <t>GICS_INDUSTRY_NAME</t>
        </is>
      </c>
      <c r="D457" t="inlineStr">
        <is>
          <t>Oil, Gas &amp; Consumable Fuels</t>
        </is>
      </c>
      <c r="E457" t="inlineStr">
        <is>
          <t>N/A</t>
        </is>
      </c>
      <c r="F457" t="inlineStr"/>
      <c r="G457" t="inlineStr"/>
      <c r="H457" t="inlineStr">
        <is>
          <t>2.79%</t>
        </is>
      </c>
      <c r="I457" t="inlineStr">
        <is>
          <t>2.79%</t>
        </is>
      </c>
    </row>
    <row r="458">
      <c r="A458" s="2" t="n">
        <v>45966</v>
      </c>
      <c r="B458" t="inlineStr">
        <is>
          <t>P31027</t>
        </is>
      </c>
      <c r="C458" t="inlineStr">
        <is>
          <t>GICS_INDUSTRY_NAME</t>
        </is>
      </c>
      <c r="D458" t="inlineStr">
        <is>
          <t>Capital Markets</t>
        </is>
      </c>
      <c r="E458" t="inlineStr">
        <is>
          <t>N/A</t>
        </is>
      </c>
      <c r="F458" t="inlineStr"/>
      <c r="G458" t="inlineStr"/>
      <c r="H458" t="inlineStr">
        <is>
          <t>2.68%</t>
        </is>
      </c>
      <c r="I458" t="inlineStr">
        <is>
          <t>2.28%</t>
        </is>
      </c>
    </row>
    <row r="459">
      <c r="A459" s="2" t="n">
        <v>45966</v>
      </c>
      <c r="B459" t="inlineStr">
        <is>
          <t>P31027</t>
        </is>
      </c>
      <c r="C459" t="inlineStr">
        <is>
          <t>GICS_INDUSTRY_GROUP_NAME</t>
        </is>
      </c>
      <c r="D459" t="inlineStr">
        <is>
          <t>Automobiles &amp; Components</t>
        </is>
      </c>
      <c r="E459" t="inlineStr">
        <is>
          <t>N/A</t>
        </is>
      </c>
      <c r="F459" t="inlineStr"/>
      <c r="G459" t="inlineStr"/>
      <c r="H459" t="inlineStr">
        <is>
          <t>2.45%</t>
        </is>
      </c>
      <c r="I459" t="inlineStr">
        <is>
          <t>2.45%</t>
        </is>
      </c>
    </row>
    <row r="460">
      <c r="A460" s="2" t="n">
        <v>45966</v>
      </c>
      <c r="B460" t="inlineStr">
        <is>
          <t>P31027</t>
        </is>
      </c>
      <c r="C460" t="inlineStr">
        <is>
          <t>GICS_INDUSTRY_NAME</t>
        </is>
      </c>
      <c r="D460" t="inlineStr">
        <is>
          <t>Automobiles</t>
        </is>
      </c>
      <c r="E460" t="inlineStr">
        <is>
          <t>N/A</t>
        </is>
      </c>
      <c r="F460" t="inlineStr"/>
      <c r="G460" t="inlineStr"/>
      <c r="H460" t="inlineStr">
        <is>
          <t>2.45%</t>
        </is>
      </c>
      <c r="I460" t="inlineStr">
        <is>
          <t>2.45%</t>
        </is>
      </c>
    </row>
    <row r="461">
      <c r="A461" s="2" t="n">
        <v>45966</v>
      </c>
      <c r="B461" t="inlineStr">
        <is>
          <t>P31027</t>
        </is>
      </c>
      <c r="C461" t="inlineStr">
        <is>
          <t>GICS_INDUSTRY_NAME</t>
        </is>
      </c>
      <c r="D461" t="inlineStr">
        <is>
          <t>Pharmaceuticals</t>
        </is>
      </c>
      <c r="E461" t="inlineStr">
        <is>
          <t>N/A</t>
        </is>
      </c>
      <c r="F461" t="inlineStr"/>
      <c r="G461" t="inlineStr"/>
      <c r="H461" t="inlineStr">
        <is>
          <t>2.27%</t>
        </is>
      </c>
      <c r="I461" t="inlineStr">
        <is>
          <t>3.42%</t>
        </is>
      </c>
    </row>
    <row r="462">
      <c r="A462" s="2" t="n">
        <v>45966</v>
      </c>
      <c r="B462" t="inlineStr">
        <is>
          <t>P31027</t>
        </is>
      </c>
      <c r="C462" t="inlineStr">
        <is>
          <t>GICS_INDUSTRY_GROUP_NAME</t>
        </is>
      </c>
      <c r="D462" t="inlineStr">
        <is>
          <t>Utilities</t>
        </is>
      </c>
      <c r="E462" t="inlineStr">
        <is>
          <t>N/A</t>
        </is>
      </c>
      <c r="F462" t="inlineStr"/>
      <c r="G462" t="inlineStr"/>
      <c r="H462" t="inlineStr">
        <is>
          <t>2.26%</t>
        </is>
      </c>
      <c r="I462" t="inlineStr">
        <is>
          <t>2.26%</t>
        </is>
      </c>
    </row>
    <row r="463">
      <c r="A463" s="2" t="n">
        <v>45966</v>
      </c>
      <c r="B463" t="inlineStr">
        <is>
          <t>P31027</t>
        </is>
      </c>
      <c r="C463" t="inlineStr">
        <is>
          <t>GICS_INDUSTRY_NAME</t>
        </is>
      </c>
      <c r="D463" t="inlineStr">
        <is>
          <t>Electric Utilities</t>
        </is>
      </c>
      <c r="E463" t="inlineStr">
        <is>
          <t>N/A</t>
        </is>
      </c>
      <c r="F463" t="inlineStr"/>
      <c r="G463" t="inlineStr"/>
      <c r="H463" t="inlineStr">
        <is>
          <t>2.26%</t>
        </is>
      </c>
      <c r="I463" t="inlineStr">
        <is>
          <t>2.26%</t>
        </is>
      </c>
    </row>
    <row r="464">
      <c r="A464" s="2" t="n">
        <v>45966</v>
      </c>
      <c r="B464" t="inlineStr">
        <is>
          <t>P31027</t>
        </is>
      </c>
      <c r="C464" t="inlineStr">
        <is>
          <t>GICS_INDUSTRY_GROUP_NAME</t>
        </is>
      </c>
      <c r="D464" t="inlineStr">
        <is>
          <t>Insurance</t>
        </is>
      </c>
      <c r="E464" t="inlineStr">
        <is>
          <t>N/A</t>
        </is>
      </c>
      <c r="F464" t="inlineStr"/>
      <c r="G464" t="inlineStr"/>
      <c r="H464" t="inlineStr">
        <is>
          <t>2.17%</t>
        </is>
      </c>
      <c r="I464" t="inlineStr">
        <is>
          <t>1.79%</t>
        </is>
      </c>
    </row>
    <row r="465">
      <c r="A465" s="2" t="n">
        <v>45966</v>
      </c>
      <c r="B465" t="inlineStr">
        <is>
          <t>P31027</t>
        </is>
      </c>
      <c r="C465" t="inlineStr">
        <is>
          <t>GICS_INDUSTRY_NAME</t>
        </is>
      </c>
      <c r="D465" t="inlineStr">
        <is>
          <t>Insurance</t>
        </is>
      </c>
      <c r="E465" t="inlineStr">
        <is>
          <t>N/A</t>
        </is>
      </c>
      <c r="F465" t="inlineStr"/>
      <c r="G465" t="inlineStr"/>
      <c r="H465" t="inlineStr">
        <is>
          <t>2.17%</t>
        </is>
      </c>
      <c r="I465" t="inlineStr">
        <is>
          <t>1.79%</t>
        </is>
      </c>
    </row>
    <row r="466">
      <c r="A466" s="2" t="n">
        <v>45966</v>
      </c>
      <c r="B466" t="inlineStr">
        <is>
          <t>P31027</t>
        </is>
      </c>
      <c r="C466" t="inlineStr">
        <is>
          <t>GICS_INDUSTRY_GROUP_NAME</t>
        </is>
      </c>
      <c r="D466" t="inlineStr">
        <is>
          <t>Food, Beverage &amp; Tobacco</t>
        </is>
      </c>
      <c r="E466" t="inlineStr">
        <is>
          <t>N/A</t>
        </is>
      </c>
      <c r="F466" t="inlineStr"/>
      <c r="G466" t="inlineStr"/>
      <c r="H466" t="inlineStr">
        <is>
          <t>2.15%</t>
        </is>
      </c>
      <c r="I466" t="inlineStr">
        <is>
          <t>2.15%</t>
        </is>
      </c>
    </row>
    <row r="467">
      <c r="A467" s="2" t="n">
        <v>45966</v>
      </c>
      <c r="B467" t="inlineStr">
        <is>
          <t>P31027</t>
        </is>
      </c>
      <c r="C467" t="inlineStr">
        <is>
          <t>GICS_INDUSTRY_NAME</t>
        </is>
      </c>
      <c r="D467" t="inlineStr">
        <is>
          <t>Health Care Equipment &amp; Supplies</t>
        </is>
      </c>
      <c r="E467" t="inlineStr">
        <is>
          <t>N/A</t>
        </is>
      </c>
      <c r="F467" t="inlineStr"/>
      <c r="G467" t="inlineStr"/>
      <c r="H467" t="inlineStr">
        <is>
          <t>2.13%</t>
        </is>
      </c>
      <c r="I467" t="inlineStr">
        <is>
          <t>1.77%</t>
        </is>
      </c>
    </row>
    <row r="468">
      <c r="A468" s="2" t="n">
        <v>45966</v>
      </c>
      <c r="B468" t="inlineStr">
        <is>
          <t>P31027</t>
        </is>
      </c>
      <c r="C468" t="inlineStr">
        <is>
          <t>GICS_INDUSTRY_NAME</t>
        </is>
      </c>
      <c r="D468" t="inlineStr">
        <is>
          <t>Communications Equipment</t>
        </is>
      </c>
      <c r="E468" t="inlineStr">
        <is>
          <t>N/A</t>
        </is>
      </c>
      <c r="F468" t="inlineStr"/>
      <c r="G468" t="inlineStr"/>
      <c r="H468" t="inlineStr">
        <is>
          <t>2.02%</t>
        </is>
      </c>
      <c r="I468" t="inlineStr">
        <is>
          <t>2.01%</t>
        </is>
      </c>
    </row>
    <row r="469">
      <c r="A469" s="2" t="n">
        <v>45966</v>
      </c>
      <c r="B469" t="inlineStr">
        <is>
          <t>P31027</t>
        </is>
      </c>
      <c r="C469" t="inlineStr">
        <is>
          <t>GICS_INDUSTRY_NAME</t>
        </is>
      </c>
      <c r="D469" t="inlineStr">
        <is>
          <t>Health Care Providers &amp; Services</t>
        </is>
      </c>
      <c r="E469" t="inlineStr">
        <is>
          <t>N/A</t>
        </is>
      </c>
      <c r="F469" t="inlineStr"/>
      <c r="G469" t="inlineStr"/>
      <c r="H469" t="inlineStr">
        <is>
          <t>1.91%</t>
        </is>
      </c>
      <c r="I469" t="inlineStr">
        <is>
          <t>1.59%</t>
        </is>
      </c>
    </row>
    <row r="470">
      <c r="A470" s="2" t="n">
        <v>45966</v>
      </c>
      <c r="B470" t="inlineStr">
        <is>
          <t>P31027</t>
        </is>
      </c>
      <c r="C470" t="inlineStr">
        <is>
          <t>GICS_INDUSTRY_NAME</t>
        </is>
      </c>
      <c r="D470" t="inlineStr">
        <is>
          <t>Biotechnology</t>
        </is>
      </c>
      <c r="E470" t="inlineStr">
        <is>
          <t>N/A</t>
        </is>
      </c>
      <c r="F470" t="inlineStr"/>
      <c r="G470" t="inlineStr"/>
      <c r="H470" t="inlineStr">
        <is>
          <t>1.79%</t>
        </is>
      </c>
      <c r="I470" t="inlineStr">
        <is>
          <t>1.49%</t>
        </is>
      </c>
    </row>
    <row r="471">
      <c r="A471" s="2" t="n">
        <v>45966</v>
      </c>
      <c r="B471" t="inlineStr">
        <is>
          <t>P31027</t>
        </is>
      </c>
      <c r="C471" t="inlineStr">
        <is>
          <t>GICS_INDUSTRY_GROUP_NAME</t>
        </is>
      </c>
      <c r="D471" t="inlineStr">
        <is>
          <t>Consumer Staples Distribution &amp; Retail</t>
        </is>
      </c>
      <c r="E471" t="inlineStr">
        <is>
          <t>N/A</t>
        </is>
      </c>
      <c r="F471" t="inlineStr"/>
      <c r="G471" t="inlineStr"/>
      <c r="H471" t="inlineStr">
        <is>
          <t>1.74%</t>
        </is>
      </c>
      <c r="I471" t="inlineStr">
        <is>
          <t>1.75%</t>
        </is>
      </c>
    </row>
    <row r="472">
      <c r="A472" s="2" t="n">
        <v>45966</v>
      </c>
      <c r="B472" t="inlineStr">
        <is>
          <t>P31027</t>
        </is>
      </c>
      <c r="C472" t="inlineStr">
        <is>
          <t>GICS_INDUSTRY_NAME</t>
        </is>
      </c>
      <c r="D472" t="inlineStr">
        <is>
          <t>Consumer Staples Distribution &amp; Retail</t>
        </is>
      </c>
      <c r="E472" t="inlineStr">
        <is>
          <t>N/A</t>
        </is>
      </c>
      <c r="F472" t="inlineStr"/>
      <c r="G472" t="inlineStr"/>
      <c r="H472" t="inlineStr">
        <is>
          <t>1.74%</t>
        </is>
      </c>
      <c r="I472" t="inlineStr">
        <is>
          <t>1.75%</t>
        </is>
      </c>
    </row>
    <row r="473">
      <c r="A473" s="2" t="n">
        <v>45966</v>
      </c>
      <c r="B473" t="inlineStr">
        <is>
          <t>P31027</t>
        </is>
      </c>
      <c r="C473" t="inlineStr">
        <is>
          <t>GICS_INDUSTRY_GROUP_NAME</t>
        </is>
      </c>
      <c r="D473" t="inlineStr">
        <is>
          <t>Materials</t>
        </is>
      </c>
      <c r="E473" t="inlineStr">
        <is>
          <t>N/A</t>
        </is>
      </c>
      <c r="F473" t="inlineStr"/>
      <c r="G473" t="inlineStr"/>
      <c r="H473" t="inlineStr">
        <is>
          <t>1.68%</t>
        </is>
      </c>
      <c r="I473" t="inlineStr">
        <is>
          <t>1.68%</t>
        </is>
      </c>
    </row>
    <row r="474">
      <c r="A474" s="2" t="n">
        <v>45966</v>
      </c>
      <c r="B474" t="inlineStr">
        <is>
          <t>P31027</t>
        </is>
      </c>
      <c r="C474" t="inlineStr">
        <is>
          <t>GICS_INDUSTRY_NAME</t>
        </is>
      </c>
      <c r="D474" t="inlineStr">
        <is>
          <t>Chemicals</t>
        </is>
      </c>
      <c r="E474" t="inlineStr">
        <is>
          <t>N/A</t>
        </is>
      </c>
      <c r="F474" t="inlineStr"/>
      <c r="G474" t="inlineStr"/>
      <c r="H474" t="inlineStr">
        <is>
          <t>1.68%</t>
        </is>
      </c>
      <c r="I474" t="inlineStr">
        <is>
          <t>1.68%</t>
        </is>
      </c>
    </row>
    <row r="475">
      <c r="A475" s="2" t="n">
        <v>45966</v>
      </c>
      <c r="B475" t="inlineStr">
        <is>
          <t>P31027</t>
        </is>
      </c>
      <c r="C475" t="inlineStr">
        <is>
          <t>GICS_INDUSTRY_GROUP_NAME</t>
        </is>
      </c>
      <c r="D475" t="inlineStr">
        <is>
          <t>Consumer Services</t>
        </is>
      </c>
      <c r="E475" t="inlineStr">
        <is>
          <t>N/A</t>
        </is>
      </c>
      <c r="F475" t="inlineStr"/>
      <c r="G475" t="inlineStr"/>
      <c r="H475" t="inlineStr">
        <is>
          <t>1.67%</t>
        </is>
      </c>
      <c r="I475" t="inlineStr">
        <is>
          <t>1.67%</t>
        </is>
      </c>
    </row>
    <row r="476">
      <c r="A476" s="2" t="n">
        <v>45966</v>
      </c>
      <c r="B476" t="inlineStr">
        <is>
          <t>P31027</t>
        </is>
      </c>
      <c r="C476" t="inlineStr">
        <is>
          <t>GICS_INDUSTRY_NAME</t>
        </is>
      </c>
      <c r="D476" t="inlineStr">
        <is>
          <t>Hotels, Restaurants &amp; Leisure</t>
        </is>
      </c>
      <c r="E476" t="inlineStr">
        <is>
          <t>N/A</t>
        </is>
      </c>
      <c r="F476" t="inlineStr"/>
      <c r="G476" t="inlineStr"/>
      <c r="H476" t="inlineStr">
        <is>
          <t>1.67%</t>
        </is>
      </c>
      <c r="I476" t="inlineStr">
        <is>
          <t>1.67%</t>
        </is>
      </c>
    </row>
    <row r="477">
      <c r="A477" s="2" t="n">
        <v>45966</v>
      </c>
      <c r="B477" t="inlineStr">
        <is>
          <t>P31027</t>
        </is>
      </c>
      <c r="C477" t="inlineStr">
        <is>
          <t>GICS_INDUSTRY_NAME</t>
        </is>
      </c>
      <c r="D477" t="inlineStr">
        <is>
          <t>Machinery</t>
        </is>
      </c>
      <c r="E477" t="inlineStr">
        <is>
          <t>N/A</t>
        </is>
      </c>
      <c r="F477" t="inlineStr"/>
      <c r="G477" t="inlineStr"/>
      <c r="H477" t="inlineStr">
        <is>
          <t>1.51%</t>
        </is>
      </c>
      <c r="I477" t="inlineStr">
        <is>
          <t>1.51%</t>
        </is>
      </c>
    </row>
    <row r="478">
      <c r="A478" s="2" t="n">
        <v>45966</v>
      </c>
      <c r="B478" t="inlineStr">
        <is>
          <t>P31027</t>
        </is>
      </c>
      <c r="C478" t="inlineStr">
        <is>
          <t>GICS_INDUSTRY_GROUP_NAME</t>
        </is>
      </c>
      <c r="D478" t="inlineStr">
        <is>
          <t>Equity Real Estate Investment Trusts</t>
        </is>
      </c>
      <c r="E478" t="inlineStr">
        <is>
          <t>N/A</t>
        </is>
      </c>
      <c r="F478" t="inlineStr"/>
      <c r="G478" t="inlineStr"/>
      <c r="H478" t="inlineStr">
        <is>
          <t>1.44%</t>
        </is>
      </c>
      <c r="I478" t="inlineStr">
        <is>
          <t>1.44%</t>
        </is>
      </c>
    </row>
    <row r="479">
      <c r="A479" s="2" t="n">
        <v>45966</v>
      </c>
      <c r="B479" t="inlineStr">
        <is>
          <t>P31027</t>
        </is>
      </c>
      <c r="C479" t="inlineStr">
        <is>
          <t>GICS_INDUSTRY_NAME</t>
        </is>
      </c>
      <c r="D479" t="inlineStr">
        <is>
          <t>Specialized REITs</t>
        </is>
      </c>
      <c r="E479" t="inlineStr">
        <is>
          <t>N/A</t>
        </is>
      </c>
      <c r="F479" t="inlineStr"/>
      <c r="G479" t="inlineStr"/>
      <c r="H479" t="inlineStr">
        <is>
          <t>1.44%</t>
        </is>
      </c>
      <c r="I479" t="inlineStr">
        <is>
          <t>1.44%</t>
        </is>
      </c>
    </row>
    <row r="480">
      <c r="A480" s="2" t="n">
        <v>45966</v>
      </c>
      <c r="B480" t="inlineStr">
        <is>
          <t>P31027</t>
        </is>
      </c>
      <c r="C480" t="inlineStr">
        <is>
          <t>GICS_INDUSTRY_GROUP_NAME</t>
        </is>
      </c>
      <c r="D480" t="inlineStr">
        <is>
          <t>Transportation</t>
        </is>
      </c>
      <c r="E480" t="inlineStr">
        <is>
          <t>N/A</t>
        </is>
      </c>
      <c r="F480" t="inlineStr"/>
      <c r="G480" t="inlineStr"/>
      <c r="H480" t="inlineStr">
        <is>
          <t>1.32%</t>
        </is>
      </c>
      <c r="I480" t="inlineStr">
        <is>
          <t>1.32%</t>
        </is>
      </c>
    </row>
    <row r="481">
      <c r="A481" s="2" t="n">
        <v>45966</v>
      </c>
      <c r="B481" t="inlineStr">
        <is>
          <t>P31027</t>
        </is>
      </c>
      <c r="C481" t="inlineStr">
        <is>
          <t>GICS_INDUSTRY_NAME</t>
        </is>
      </c>
      <c r="D481" t="inlineStr">
        <is>
          <t>Specialty Retail</t>
        </is>
      </c>
      <c r="E481" t="inlineStr">
        <is>
          <t>N/A</t>
        </is>
      </c>
      <c r="F481" t="inlineStr"/>
      <c r="G481" t="inlineStr"/>
      <c r="H481" t="inlineStr">
        <is>
          <t>1.28%</t>
        </is>
      </c>
      <c r="I481" t="inlineStr">
        <is>
          <t>1.28%</t>
        </is>
      </c>
    </row>
    <row r="482">
      <c r="A482" s="2" t="n">
        <v>45966</v>
      </c>
      <c r="B482" t="inlineStr">
        <is>
          <t>P31027</t>
        </is>
      </c>
      <c r="C482" t="inlineStr">
        <is>
          <t>GICS_INDUSTRY_NAME</t>
        </is>
      </c>
      <c r="D482" t="inlineStr">
        <is>
          <t>Entertainment</t>
        </is>
      </c>
      <c r="E482" t="inlineStr">
        <is>
          <t>N/A</t>
        </is>
      </c>
      <c r="F482" t="inlineStr"/>
      <c r="G482" t="inlineStr"/>
      <c r="H482" t="inlineStr">
        <is>
          <t>1.22%</t>
        </is>
      </c>
      <c r="I482" t="inlineStr">
        <is>
          <t>1.22%</t>
        </is>
      </c>
    </row>
    <row r="483">
      <c r="A483" s="2" t="n">
        <v>45966</v>
      </c>
      <c r="B483" t="inlineStr">
        <is>
          <t>P31027</t>
        </is>
      </c>
      <c r="C483" t="inlineStr">
        <is>
          <t>GICS_INDUSTRY_NAME</t>
        </is>
      </c>
      <c r="D483" t="inlineStr">
        <is>
          <t>IT Services</t>
        </is>
      </c>
      <c r="E483" t="inlineStr">
        <is>
          <t>N/A</t>
        </is>
      </c>
      <c r="F483" t="inlineStr"/>
      <c r="G483" t="inlineStr"/>
      <c r="H483" t="inlineStr">
        <is>
          <t>1.21%</t>
        </is>
      </c>
      <c r="I483" t="inlineStr">
        <is>
          <t>1.13%</t>
        </is>
      </c>
    </row>
    <row r="484">
      <c r="A484" s="2" t="n">
        <v>45966</v>
      </c>
      <c r="B484" t="inlineStr">
        <is>
          <t>P31027</t>
        </is>
      </c>
      <c r="C484" t="inlineStr">
        <is>
          <t>GICS_INDUSTRY_NAME</t>
        </is>
      </c>
      <c r="D484" t="inlineStr">
        <is>
          <t>Beverages</t>
        </is>
      </c>
      <c r="E484" t="inlineStr">
        <is>
          <t>N/A</t>
        </is>
      </c>
      <c r="F484" t="inlineStr"/>
      <c r="G484" t="inlineStr"/>
      <c r="H484" t="inlineStr">
        <is>
          <t>1.15%</t>
        </is>
      </c>
      <c r="I484" t="inlineStr">
        <is>
          <t>1.15%</t>
        </is>
      </c>
    </row>
    <row r="485">
      <c r="A485" s="2" t="n">
        <v>45966</v>
      </c>
      <c r="B485" t="inlineStr">
        <is>
          <t>P31027</t>
        </is>
      </c>
      <c r="C485" t="inlineStr">
        <is>
          <t>GICS_INDUSTRY_GROUP_NAME</t>
        </is>
      </c>
      <c r="D485" t="inlineStr">
        <is>
          <t>Commercial &amp; Professional Services</t>
        </is>
      </c>
      <c r="E485" t="inlineStr">
        <is>
          <t>N/A</t>
        </is>
      </c>
      <c r="F485" t="inlineStr"/>
      <c r="G485" t="inlineStr"/>
      <c r="H485" t="inlineStr">
        <is>
          <t>0.99%</t>
        </is>
      </c>
      <c r="I485" t="inlineStr">
        <is>
          <t>0.99%</t>
        </is>
      </c>
    </row>
    <row r="486">
      <c r="A486" s="2" t="n">
        <v>45966</v>
      </c>
      <c r="B486" t="inlineStr">
        <is>
          <t>P31027</t>
        </is>
      </c>
      <c r="C486" t="inlineStr">
        <is>
          <t>GICS_INDUSTRY_NAME</t>
        </is>
      </c>
      <c r="D486" t="inlineStr">
        <is>
          <t>Commercial Services &amp; Supplies</t>
        </is>
      </c>
      <c r="E486" t="inlineStr">
        <is>
          <t>N/A</t>
        </is>
      </c>
      <c r="F486" t="inlineStr"/>
      <c r="G486" t="inlineStr"/>
      <c r="H486" t="inlineStr">
        <is>
          <t>0.99%</t>
        </is>
      </c>
      <c r="I486" t="inlineStr">
        <is>
          <t>0.99%</t>
        </is>
      </c>
    </row>
    <row r="487">
      <c r="A487" s="2" t="n">
        <v>45966</v>
      </c>
      <c r="B487" t="inlineStr">
        <is>
          <t>P31027</t>
        </is>
      </c>
      <c r="C487" t="inlineStr">
        <is>
          <t>GICS_INDUSTRY_NAME</t>
        </is>
      </c>
      <c r="D487" t="inlineStr">
        <is>
          <t>Ground Transportation</t>
        </is>
      </c>
      <c r="E487" t="inlineStr">
        <is>
          <t>N/A</t>
        </is>
      </c>
      <c r="F487" t="inlineStr"/>
      <c r="G487" t="inlineStr"/>
      <c r="H487" t="inlineStr">
        <is>
          <t>0.95%</t>
        </is>
      </c>
      <c r="I487" t="inlineStr">
        <is>
          <t>0.95%</t>
        </is>
      </c>
    </row>
    <row r="488">
      <c r="A488" s="2" t="n">
        <v>45966</v>
      </c>
      <c r="B488" t="inlineStr">
        <is>
          <t>P31027</t>
        </is>
      </c>
      <c r="C488" t="inlineStr">
        <is>
          <t>GICS_INDUSTRY_GROUP_NAME</t>
        </is>
      </c>
      <c r="D488" t="inlineStr">
        <is>
          <t>Household &amp; Personal Products</t>
        </is>
      </c>
      <c r="E488" t="inlineStr">
        <is>
          <t>N/A</t>
        </is>
      </c>
      <c r="F488" t="inlineStr"/>
      <c r="G488" t="inlineStr"/>
      <c r="H488" t="inlineStr">
        <is>
          <t>0.92%</t>
        </is>
      </c>
      <c r="I488" t="inlineStr">
        <is>
          <t>0.92%</t>
        </is>
      </c>
    </row>
    <row r="489">
      <c r="A489" s="2" t="n">
        <v>45966</v>
      </c>
      <c r="B489" t="inlineStr">
        <is>
          <t>P31027</t>
        </is>
      </c>
      <c r="C489" t="inlineStr">
        <is>
          <t>GICS_INDUSTRY_NAME</t>
        </is>
      </c>
      <c r="D489" t="inlineStr">
        <is>
          <t>Household Products</t>
        </is>
      </c>
      <c r="E489" t="inlineStr">
        <is>
          <t>N/A</t>
        </is>
      </c>
      <c r="F489" t="inlineStr"/>
      <c r="G489" t="inlineStr"/>
      <c r="H489" t="inlineStr">
        <is>
          <t>0.92%</t>
        </is>
      </c>
      <c r="I489" t="inlineStr">
        <is>
          <t>0.92%</t>
        </is>
      </c>
    </row>
    <row r="490">
      <c r="A490" s="2" t="n">
        <v>45966</v>
      </c>
      <c r="B490" t="inlineStr">
        <is>
          <t>P31027</t>
        </is>
      </c>
      <c r="C490" t="inlineStr">
        <is>
          <t>GICS_INDUSTRY_NAME</t>
        </is>
      </c>
      <c r="D490" t="inlineStr">
        <is>
          <t>Life Sciences Tools &amp; Services</t>
        </is>
      </c>
      <c r="E490" t="inlineStr">
        <is>
          <t>N/A</t>
        </is>
      </c>
      <c r="F490" t="inlineStr"/>
      <c r="G490" t="inlineStr"/>
      <c r="H490" t="inlineStr">
        <is>
          <t>0.90%</t>
        </is>
      </c>
      <c r="I490" t="inlineStr">
        <is>
          <t>0.74%</t>
        </is>
      </c>
    </row>
    <row r="491">
      <c r="A491" s="2" t="n">
        <v>45966</v>
      </c>
      <c r="B491" t="inlineStr">
        <is>
          <t>P31027</t>
        </is>
      </c>
      <c r="C491" t="inlineStr">
        <is>
          <t>GICS_INDUSTRY_NAME</t>
        </is>
      </c>
      <c r="D491" t="inlineStr">
        <is>
          <t>Electrical Equipment</t>
        </is>
      </c>
      <c r="E491" t="inlineStr">
        <is>
          <t>N/A</t>
        </is>
      </c>
      <c r="F491" t="inlineStr"/>
      <c r="G491" t="inlineStr"/>
      <c r="H491" t="inlineStr">
        <is>
          <t>0.87%</t>
        </is>
      </c>
      <c r="I491" t="inlineStr">
        <is>
          <t>0.87%</t>
        </is>
      </c>
    </row>
    <row r="492">
      <c r="A492" s="2" t="n">
        <v>45966</v>
      </c>
      <c r="B492" t="inlineStr">
        <is>
          <t>P31027</t>
        </is>
      </c>
      <c r="C492" t="inlineStr">
        <is>
          <t>GICS_INDUSTRY_NAME</t>
        </is>
      </c>
      <c r="D492" t="inlineStr">
        <is>
          <t>Industrial Conglomerates</t>
        </is>
      </c>
      <c r="E492" t="inlineStr">
        <is>
          <t>N/A</t>
        </is>
      </c>
      <c r="F492" t="inlineStr"/>
      <c r="G492" t="inlineStr"/>
      <c r="H492" t="inlineStr">
        <is>
          <t>0.83%</t>
        </is>
      </c>
      <c r="I492" t="inlineStr">
        <is>
          <t>0.83%</t>
        </is>
      </c>
    </row>
    <row r="493">
      <c r="A493" s="2" t="n">
        <v>45966</v>
      </c>
      <c r="B493" t="inlineStr">
        <is>
          <t>P31027</t>
        </is>
      </c>
      <c r="C493" t="inlineStr">
        <is>
          <t>GICS_INDUSTRY_NAME</t>
        </is>
      </c>
      <c r="D493" t="inlineStr">
        <is>
          <t>Tobacco</t>
        </is>
      </c>
      <c r="E493" t="inlineStr">
        <is>
          <t>N/A</t>
        </is>
      </c>
      <c r="F493" t="inlineStr"/>
      <c r="G493" t="inlineStr"/>
      <c r="H493" t="inlineStr">
        <is>
          <t>0.82%</t>
        </is>
      </c>
      <c r="I493" t="inlineStr">
        <is>
          <t>0.81%</t>
        </is>
      </c>
    </row>
    <row r="494">
      <c r="A494" s="2" t="n">
        <v>45966</v>
      </c>
      <c r="B494" t="inlineStr">
        <is>
          <t>P31027</t>
        </is>
      </c>
      <c r="C494" t="inlineStr">
        <is>
          <t>GICS_INDUSTRY_GROUP_NAME</t>
        </is>
      </c>
      <c r="D494" t="inlineStr">
        <is>
          <t>Telecommunication Services</t>
        </is>
      </c>
      <c r="E494" t="inlineStr">
        <is>
          <t>N/A</t>
        </is>
      </c>
      <c r="F494" t="inlineStr"/>
      <c r="G494" t="inlineStr"/>
      <c r="H494" t="inlineStr">
        <is>
          <t>0.79%</t>
        </is>
      </c>
      <c r="I494" t="inlineStr">
        <is>
          <t>0.79%</t>
        </is>
      </c>
    </row>
    <row r="495">
      <c r="A495" s="2" t="n">
        <v>45966</v>
      </c>
      <c r="B495" t="inlineStr">
        <is>
          <t>P31027</t>
        </is>
      </c>
      <c r="C495" t="inlineStr">
        <is>
          <t>GICS_INDUSTRY_NAME</t>
        </is>
      </c>
      <c r="D495" t="inlineStr">
        <is>
          <t>Diversified Telecommunication Services</t>
        </is>
      </c>
      <c r="E495" t="inlineStr">
        <is>
          <t>N/A</t>
        </is>
      </c>
      <c r="F495" t="inlineStr"/>
      <c r="G495" t="inlineStr"/>
      <c r="H495" t="inlineStr">
        <is>
          <t>0.79%</t>
        </is>
      </c>
      <c r="I495" t="inlineStr">
        <is>
          <t>0.79%</t>
        </is>
      </c>
    </row>
    <row r="496">
      <c r="A496" s="2" t="n">
        <v>45966</v>
      </c>
      <c r="B496" t="inlineStr">
        <is>
          <t>P31027</t>
        </is>
      </c>
      <c r="C496" t="inlineStr">
        <is>
          <t>GICS_INDUSTRY_NAME</t>
        </is>
      </c>
      <c r="D496" t="inlineStr">
        <is>
          <t>Consumer Finance</t>
        </is>
      </c>
      <c r="E496" t="inlineStr">
        <is>
          <t>N/A</t>
        </is>
      </c>
      <c r="F496" t="inlineStr"/>
      <c r="G496" t="inlineStr"/>
      <c r="H496" t="inlineStr">
        <is>
          <t>0.62%</t>
        </is>
      </c>
      <c r="I496" t="inlineStr">
        <is>
          <t>0.51%</t>
        </is>
      </c>
    </row>
    <row r="497">
      <c r="A497" s="2" t="n">
        <v>45966</v>
      </c>
      <c r="B497" t="inlineStr">
        <is>
          <t>P31027</t>
        </is>
      </c>
      <c r="C497" t="inlineStr">
        <is>
          <t>GICS_INDUSTRY_GROUP_NAME</t>
        </is>
      </c>
      <c r="D497" t="inlineStr">
        <is>
          <t>Consumer Durables &amp; Apparel</t>
        </is>
      </c>
      <c r="E497" t="inlineStr">
        <is>
          <t>N/A</t>
        </is>
      </c>
      <c r="F497" t="inlineStr"/>
      <c r="G497" t="inlineStr"/>
      <c r="H497" t="inlineStr">
        <is>
          <t>0.51%</t>
        </is>
      </c>
      <c r="I497" t="inlineStr">
        <is>
          <t>0.51%</t>
        </is>
      </c>
    </row>
    <row r="498">
      <c r="A498" s="2" t="n">
        <v>45966</v>
      </c>
      <c r="B498" t="inlineStr">
        <is>
          <t>P31027</t>
        </is>
      </c>
      <c r="C498" t="inlineStr">
        <is>
          <t>GICS_INDUSTRY_NAME</t>
        </is>
      </c>
      <c r="D498" t="inlineStr">
        <is>
          <t>Textiles, Apparel &amp; Luxury Goods</t>
        </is>
      </c>
      <c r="E498" t="inlineStr">
        <is>
          <t>N/A</t>
        </is>
      </c>
      <c r="F498" t="inlineStr"/>
      <c r="G498" t="inlineStr"/>
      <c r="H498" t="inlineStr">
        <is>
          <t>0.51%</t>
        </is>
      </c>
      <c r="I498" t="inlineStr">
        <is>
          <t>0.51%</t>
        </is>
      </c>
    </row>
    <row r="499">
      <c r="A499" s="2" t="n">
        <v>45966</v>
      </c>
      <c r="B499" t="inlineStr">
        <is>
          <t>P31027</t>
        </is>
      </c>
      <c r="C499" t="inlineStr">
        <is>
          <t>GICS_INDUSTRY_NAME</t>
        </is>
      </c>
      <c r="D499" t="inlineStr">
        <is>
          <t>Air Freight &amp; Logistics</t>
        </is>
      </c>
      <c r="E499" t="inlineStr">
        <is>
          <t>N/A</t>
        </is>
      </c>
      <c r="F499" t="inlineStr"/>
      <c r="G499" t="inlineStr"/>
      <c r="H499" t="inlineStr">
        <is>
          <t>0.37%</t>
        </is>
      </c>
      <c r="I499" t="inlineStr">
        <is>
          <t>0.37%</t>
        </is>
      </c>
    </row>
    <row r="500">
      <c r="A500" s="2" t="n">
        <v>45966</v>
      </c>
      <c r="B500" t="inlineStr">
        <is>
          <t>P31027</t>
        </is>
      </c>
      <c r="C500" t="inlineStr">
        <is>
          <t>GICS_INDUSTRY_NAME</t>
        </is>
      </c>
      <c r="D500" t="inlineStr">
        <is>
          <t>Media</t>
        </is>
      </c>
      <c r="E500" t="inlineStr">
        <is>
          <t>N/A</t>
        </is>
      </c>
      <c r="F500" t="inlineStr"/>
      <c r="G500" t="inlineStr"/>
      <c r="H500" t="inlineStr">
        <is>
          <t>0.19%</t>
        </is>
      </c>
      <c r="I500" t="inlineStr">
        <is>
          <t>0.19%</t>
        </is>
      </c>
    </row>
    <row r="501">
      <c r="A501" s="2" t="n">
        <v>45966</v>
      </c>
      <c r="B501" t="inlineStr">
        <is>
          <t>P31027</t>
        </is>
      </c>
      <c r="C501" t="inlineStr">
        <is>
          <t>GICS_INDUSTRY_NAME</t>
        </is>
      </c>
      <c r="D501" t="inlineStr">
        <is>
          <t>Food Products</t>
        </is>
      </c>
      <c r="E501" t="inlineStr">
        <is>
          <t>N/A</t>
        </is>
      </c>
      <c r="F501" t="inlineStr"/>
      <c r="G501" t="inlineStr"/>
      <c r="H501" t="inlineStr">
        <is>
          <t>0.19%</t>
        </is>
      </c>
      <c r="I501" t="inlineStr">
        <is>
          <t>0.19%</t>
        </is>
      </c>
    </row>
    <row r="502">
      <c r="A502" s="2" t="n">
        <v>45966</v>
      </c>
      <c r="B502" t="inlineStr">
        <is>
          <t>P3727</t>
        </is>
      </c>
      <c r="C502" t="inlineStr">
        <is>
          <t>GICS_INDUSTRY_GROUP_NAME</t>
        </is>
      </c>
      <c r="D502" t="inlineStr">
        <is>
          <t>Semiconductors &amp; Semiconductor Equipment</t>
        </is>
      </c>
      <c r="E502" t="inlineStr">
        <is>
          <t>N/A</t>
        </is>
      </c>
      <c r="F502" t="inlineStr"/>
      <c r="G502" t="inlineStr"/>
      <c r="H502" t="inlineStr">
        <is>
          <t>15.87%</t>
        </is>
      </c>
      <c r="I502" t="inlineStr">
        <is>
          <t>14.90%</t>
        </is>
      </c>
    </row>
    <row r="503">
      <c r="A503" s="2" t="n">
        <v>45966</v>
      </c>
      <c r="B503" t="inlineStr">
        <is>
          <t>P3727</t>
        </is>
      </c>
      <c r="C503" t="inlineStr">
        <is>
          <t>GICS_INDUSTRY_NAME</t>
        </is>
      </c>
      <c r="D503" t="inlineStr">
        <is>
          <t>Semiconductors &amp; Semiconductor Equipment</t>
        </is>
      </c>
      <c r="E503" t="inlineStr">
        <is>
          <t>N/A</t>
        </is>
      </c>
      <c r="F503" t="inlineStr"/>
      <c r="G503" t="inlineStr"/>
      <c r="H503" t="inlineStr">
        <is>
          <t>15.87%</t>
        </is>
      </c>
      <c r="I503" t="inlineStr">
        <is>
          <t>14.90%</t>
        </is>
      </c>
    </row>
    <row r="504">
      <c r="A504" s="2" t="n">
        <v>45966</v>
      </c>
      <c r="B504" t="inlineStr">
        <is>
          <t>P3727</t>
        </is>
      </c>
      <c r="C504" t="inlineStr">
        <is>
          <t>GICS_INDUSTRY_GROUP_NAME</t>
        </is>
      </c>
      <c r="D504" t="inlineStr">
        <is>
          <t>Software &amp; Services</t>
        </is>
      </c>
      <c r="E504" t="inlineStr">
        <is>
          <t>N/A</t>
        </is>
      </c>
      <c r="F504" t="inlineStr"/>
      <c r="G504" t="inlineStr"/>
      <c r="H504" t="inlineStr">
        <is>
          <t>10.17%</t>
        </is>
      </c>
      <c r="I504" t="inlineStr">
        <is>
          <t>11.58%</t>
        </is>
      </c>
    </row>
    <row r="505">
      <c r="A505" s="2" t="n">
        <v>45966</v>
      </c>
      <c r="B505" t="inlineStr">
        <is>
          <t>P3727</t>
        </is>
      </c>
      <c r="C505" t="inlineStr">
        <is>
          <t>GICS_INDUSTRY_GROUP_NAME</t>
        </is>
      </c>
      <c r="D505" t="inlineStr">
        <is>
          <t>Technology Hardware &amp; Equipment</t>
        </is>
      </c>
      <c r="E505" t="inlineStr">
        <is>
          <t>N/A</t>
        </is>
      </c>
      <c r="F505" t="inlineStr"/>
      <c r="G505" t="inlineStr"/>
      <c r="H505" t="inlineStr">
        <is>
          <t>9.48%</t>
        </is>
      </c>
      <c r="I505" t="inlineStr">
        <is>
          <t>9.02%</t>
        </is>
      </c>
    </row>
    <row r="506">
      <c r="A506" s="2" t="n">
        <v>45966</v>
      </c>
      <c r="B506" t="inlineStr">
        <is>
          <t>P3727</t>
        </is>
      </c>
      <c r="C506" t="inlineStr">
        <is>
          <t>GICS_INDUSTRY_GROUP_NAME</t>
        </is>
      </c>
      <c r="D506" t="inlineStr">
        <is>
          <t>Media &amp; Entertainment</t>
        </is>
      </c>
      <c r="E506" t="inlineStr">
        <is>
          <t>N/A</t>
        </is>
      </c>
      <c r="F506" t="inlineStr"/>
      <c r="G506" t="inlineStr"/>
      <c r="H506" t="inlineStr">
        <is>
          <t>9.40%</t>
        </is>
      </c>
      <c r="I506" t="inlineStr">
        <is>
          <t>9.40%</t>
        </is>
      </c>
    </row>
    <row r="507">
      <c r="A507" s="2" t="n">
        <v>45966</v>
      </c>
      <c r="B507" t="inlineStr">
        <is>
          <t>P3727</t>
        </is>
      </c>
      <c r="C507" t="inlineStr">
        <is>
          <t>GICS_INDUSTRY_NAME</t>
        </is>
      </c>
      <c r="D507" t="inlineStr">
        <is>
          <t>Software</t>
        </is>
      </c>
      <c r="E507" t="inlineStr">
        <is>
          <t>N/A</t>
        </is>
      </c>
      <c r="F507" t="inlineStr"/>
      <c r="G507" t="inlineStr"/>
      <c r="H507" t="inlineStr">
        <is>
          <t>8.96%</t>
        </is>
      </c>
      <c r="I507" t="inlineStr">
        <is>
          <t>10.45%</t>
        </is>
      </c>
    </row>
    <row r="508">
      <c r="A508" s="2" t="n">
        <v>45966</v>
      </c>
      <c r="B508" t="inlineStr">
        <is>
          <t>P3727</t>
        </is>
      </c>
      <c r="C508" t="inlineStr">
        <is>
          <t>GICS_INDUSTRY_NAME</t>
        </is>
      </c>
      <c r="D508" t="inlineStr">
        <is>
          <t>Interactive Media &amp; Services</t>
        </is>
      </c>
      <c r="E508" t="inlineStr">
        <is>
          <t>N/A</t>
        </is>
      </c>
      <c r="F508" t="inlineStr"/>
      <c r="G508" t="inlineStr"/>
      <c r="H508" t="inlineStr">
        <is>
          <t>7.99%</t>
        </is>
      </c>
      <c r="I508" t="inlineStr">
        <is>
          <t>7.99%</t>
        </is>
      </c>
    </row>
    <row r="509">
      <c r="A509" s="2" t="n">
        <v>45966</v>
      </c>
      <c r="B509" t="inlineStr">
        <is>
          <t>P3727</t>
        </is>
      </c>
      <c r="C509" t="inlineStr">
        <is>
          <t>GICS_INDUSTRY_NAME</t>
        </is>
      </c>
      <c r="D509" t="inlineStr">
        <is>
          <t>Technology Hardware, Storage &amp; Peripherals</t>
        </is>
      </c>
      <c r="E509" t="inlineStr">
        <is>
          <t>N/A</t>
        </is>
      </c>
      <c r="F509" t="inlineStr"/>
      <c r="G509" t="inlineStr"/>
      <c r="H509" t="inlineStr">
        <is>
          <t>7.46%</t>
        </is>
      </c>
      <c r="I509" t="inlineStr">
        <is>
          <t>7.01%</t>
        </is>
      </c>
    </row>
    <row r="510">
      <c r="A510" s="2" t="n">
        <v>45966</v>
      </c>
      <c r="B510" t="inlineStr">
        <is>
          <t>P3727</t>
        </is>
      </c>
      <c r="C510" t="inlineStr">
        <is>
          <t>GICS_INDUSTRY_GROUP_NAME</t>
        </is>
      </c>
      <c r="D510" t="inlineStr">
        <is>
          <t>Financial Services</t>
        </is>
      </c>
      <c r="E510" t="inlineStr">
        <is>
          <t>N/A</t>
        </is>
      </c>
      <c r="F510" t="inlineStr"/>
      <c r="G510" t="inlineStr"/>
      <c r="H510" t="inlineStr">
        <is>
          <t>6.64%</t>
        </is>
      </c>
      <c r="I510" t="inlineStr">
        <is>
          <t>7.82%</t>
        </is>
      </c>
    </row>
    <row r="511">
      <c r="A511" s="2" t="n">
        <v>45966</v>
      </c>
      <c r="B511" t="inlineStr">
        <is>
          <t>P3727</t>
        </is>
      </c>
      <c r="C511" t="inlineStr">
        <is>
          <t>GICS_INDUSTRY_GROUP_NAME</t>
        </is>
      </c>
      <c r="D511" t="inlineStr">
        <is>
          <t>Capital Goods</t>
        </is>
      </c>
      <c r="E511" t="inlineStr">
        <is>
          <t>N/A</t>
        </is>
      </c>
      <c r="F511" t="inlineStr"/>
      <c r="G511" t="inlineStr"/>
      <c r="H511" t="inlineStr">
        <is>
          <t>6.29%</t>
        </is>
      </c>
      <c r="I511" t="inlineStr">
        <is>
          <t>6.29%</t>
        </is>
      </c>
    </row>
    <row r="512">
      <c r="A512" s="2" t="n">
        <v>45966</v>
      </c>
      <c r="B512" t="inlineStr">
        <is>
          <t>P3727</t>
        </is>
      </c>
      <c r="C512" t="inlineStr">
        <is>
          <t>GICS_INDUSTRY_GROUP_NAME</t>
        </is>
      </c>
      <c r="D512" t="inlineStr">
        <is>
          <t>Consumer Discretionary Distribution &amp; Retail</t>
        </is>
      </c>
      <c r="E512" t="inlineStr">
        <is>
          <t>N/A</t>
        </is>
      </c>
      <c r="F512" t="inlineStr"/>
      <c r="G512" t="inlineStr"/>
      <c r="H512" t="inlineStr">
        <is>
          <t>5.78%</t>
        </is>
      </c>
      <c r="I512" t="inlineStr">
        <is>
          <t>5.78%</t>
        </is>
      </c>
    </row>
    <row r="513">
      <c r="A513" s="2" t="n">
        <v>45966</v>
      </c>
      <c r="B513" t="inlineStr">
        <is>
          <t>P3727</t>
        </is>
      </c>
      <c r="C513" t="inlineStr">
        <is>
          <t>GICS_INDUSTRY_GROUP_NAME</t>
        </is>
      </c>
      <c r="D513" t="inlineStr">
        <is>
          <t>Pharmaceuticals, Biotechnology &amp; Life Sciences</t>
        </is>
      </c>
      <c r="E513" t="inlineStr">
        <is>
          <t>N/A</t>
        </is>
      </c>
      <c r="F513" t="inlineStr"/>
      <c r="G513" t="inlineStr"/>
      <c r="H513" t="inlineStr">
        <is>
          <t>4.96%</t>
        </is>
      </c>
      <c r="I513" t="inlineStr">
        <is>
          <t>5.66%</t>
        </is>
      </c>
    </row>
    <row r="514">
      <c r="A514" s="2" t="n">
        <v>45966</v>
      </c>
      <c r="B514" t="inlineStr">
        <is>
          <t>P3727</t>
        </is>
      </c>
      <c r="C514" t="inlineStr">
        <is>
          <t>GICS_INDUSTRY_NAME</t>
        </is>
      </c>
      <c r="D514" t="inlineStr">
        <is>
          <t>Broadline Retail</t>
        </is>
      </c>
      <c r="E514" t="inlineStr">
        <is>
          <t>N/A</t>
        </is>
      </c>
      <c r="F514" t="inlineStr"/>
      <c r="G514" t="inlineStr"/>
      <c r="H514" t="inlineStr">
        <is>
          <t>4.50%</t>
        </is>
      </c>
      <c r="I514" t="inlineStr">
        <is>
          <t>4.50%</t>
        </is>
      </c>
    </row>
    <row r="515">
      <c r="A515" s="2" t="n">
        <v>45966</v>
      </c>
      <c r="B515" t="inlineStr">
        <is>
          <t>P3727</t>
        </is>
      </c>
      <c r="C515" t="inlineStr">
        <is>
          <t>GICS_INDUSTRY_GROUP_NAME</t>
        </is>
      </c>
      <c r="D515" t="inlineStr">
        <is>
          <t>Banks</t>
        </is>
      </c>
      <c r="E515" t="inlineStr">
        <is>
          <t>N/A</t>
        </is>
      </c>
      <c r="F515" t="inlineStr"/>
      <c r="G515" t="inlineStr"/>
      <c r="H515" t="inlineStr">
        <is>
          <t>4.47%</t>
        </is>
      </c>
      <c r="I515" t="inlineStr">
        <is>
          <t>3.69%</t>
        </is>
      </c>
    </row>
    <row r="516">
      <c r="A516" s="2" t="n">
        <v>45966</v>
      </c>
      <c r="B516" t="inlineStr">
        <is>
          <t>P3727</t>
        </is>
      </c>
      <c r="C516" t="inlineStr">
        <is>
          <t>GICS_INDUSTRY_NAME</t>
        </is>
      </c>
      <c r="D516" t="inlineStr">
        <is>
          <t>Banks</t>
        </is>
      </c>
      <c r="E516" t="inlineStr">
        <is>
          <t>N/A</t>
        </is>
      </c>
      <c r="F516" t="inlineStr"/>
      <c r="G516" t="inlineStr"/>
      <c r="H516" t="inlineStr">
        <is>
          <t>4.47%</t>
        </is>
      </c>
      <c r="I516" t="inlineStr">
        <is>
          <t>3.69%</t>
        </is>
      </c>
    </row>
    <row r="517">
      <c r="A517" s="2" t="n">
        <v>45966</v>
      </c>
      <c r="B517" t="inlineStr">
        <is>
          <t>P3727</t>
        </is>
      </c>
      <c r="C517" t="inlineStr">
        <is>
          <t>GICS_INDUSTRY_GROUP_NAME</t>
        </is>
      </c>
      <c r="D517" t="inlineStr">
        <is>
          <t>Health Care Equipment &amp; Services</t>
        </is>
      </c>
      <c r="E517" t="inlineStr">
        <is>
          <t>N/A</t>
        </is>
      </c>
      <c r="F517" t="inlineStr"/>
      <c r="G517" t="inlineStr"/>
      <c r="H517" t="inlineStr">
        <is>
          <t>4.04%</t>
        </is>
      </c>
      <c r="I517" t="inlineStr">
        <is>
          <t>3.36%</t>
        </is>
      </c>
    </row>
    <row r="518">
      <c r="A518" s="2" t="n">
        <v>45966</v>
      </c>
      <c r="B518" t="inlineStr">
        <is>
          <t>P3727</t>
        </is>
      </c>
      <c r="C518" t="inlineStr">
        <is>
          <t>GICS_INDUSTRY_NAME</t>
        </is>
      </c>
      <c r="D518" t="inlineStr">
        <is>
          <t>Financial Services</t>
        </is>
      </c>
      <c r="E518" t="inlineStr">
        <is>
          <t>N/A</t>
        </is>
      </c>
      <c r="F518" t="inlineStr"/>
      <c r="G518" t="inlineStr"/>
      <c r="H518" t="inlineStr">
        <is>
          <t>3.34%</t>
        </is>
      </c>
      <c r="I518" t="inlineStr">
        <is>
          <t>5.03%</t>
        </is>
      </c>
    </row>
    <row r="519">
      <c r="A519" s="2" t="n">
        <v>45966</v>
      </c>
      <c r="B519" t="inlineStr">
        <is>
          <t>P3727</t>
        </is>
      </c>
      <c r="C519" t="inlineStr">
        <is>
          <t>GICS_INDUSTRY_NAME</t>
        </is>
      </c>
      <c r="D519" t="inlineStr">
        <is>
          <t>Aerospace &amp; Defense</t>
        </is>
      </c>
      <c r="E519" t="inlineStr">
        <is>
          <t>N/A</t>
        </is>
      </c>
      <c r="F519" t="inlineStr"/>
      <c r="G519" t="inlineStr"/>
      <c r="H519" t="inlineStr">
        <is>
          <t>3.09%</t>
        </is>
      </c>
      <c r="I519" t="inlineStr">
        <is>
          <t>3.09%</t>
        </is>
      </c>
    </row>
    <row r="520">
      <c r="A520" s="2" t="n">
        <v>45966</v>
      </c>
      <c r="B520" t="inlineStr">
        <is>
          <t>P3727</t>
        </is>
      </c>
      <c r="C520" t="inlineStr">
        <is>
          <t>GICS_INDUSTRY_GROUP_NAME</t>
        </is>
      </c>
      <c r="D520" t="inlineStr">
        <is>
          <t>Energy</t>
        </is>
      </c>
      <c r="E520" t="inlineStr">
        <is>
          <t>N/A</t>
        </is>
      </c>
      <c r="F520" t="inlineStr"/>
      <c r="G520" t="inlineStr"/>
      <c r="H520" t="inlineStr">
        <is>
          <t>2.79%</t>
        </is>
      </c>
      <c r="I520" t="inlineStr">
        <is>
          <t>2.79%</t>
        </is>
      </c>
    </row>
    <row r="521">
      <c r="A521" s="2" t="n">
        <v>45966</v>
      </c>
      <c r="B521" t="inlineStr">
        <is>
          <t>P3727</t>
        </is>
      </c>
      <c r="C521" t="inlineStr">
        <is>
          <t>GICS_INDUSTRY_NAME</t>
        </is>
      </c>
      <c r="D521" t="inlineStr">
        <is>
          <t>Oil, Gas &amp; Consumable Fuels</t>
        </is>
      </c>
      <c r="E521" t="inlineStr">
        <is>
          <t>N/A</t>
        </is>
      </c>
      <c r="F521" t="inlineStr"/>
      <c r="G521" t="inlineStr"/>
      <c r="H521" t="inlineStr">
        <is>
          <t>2.79%</t>
        </is>
      </c>
      <c r="I521" t="inlineStr">
        <is>
          <t>2.79%</t>
        </is>
      </c>
    </row>
    <row r="522">
      <c r="A522" s="2" t="n">
        <v>45966</v>
      </c>
      <c r="B522" t="inlineStr">
        <is>
          <t>P3727</t>
        </is>
      </c>
      <c r="C522" t="inlineStr">
        <is>
          <t>GICS_INDUSTRY_NAME</t>
        </is>
      </c>
      <c r="D522" t="inlineStr">
        <is>
          <t>Capital Markets</t>
        </is>
      </c>
      <c r="E522" t="inlineStr">
        <is>
          <t>N/A</t>
        </is>
      </c>
      <c r="F522" t="inlineStr"/>
      <c r="G522" t="inlineStr"/>
      <c r="H522" t="inlineStr">
        <is>
          <t>2.68%</t>
        </is>
      </c>
      <c r="I522" t="inlineStr">
        <is>
          <t>2.28%</t>
        </is>
      </c>
    </row>
    <row r="523">
      <c r="A523" s="2" t="n">
        <v>45966</v>
      </c>
      <c r="B523" t="inlineStr">
        <is>
          <t>P3727</t>
        </is>
      </c>
      <c r="C523" t="inlineStr">
        <is>
          <t>GICS_INDUSTRY_GROUP_NAME</t>
        </is>
      </c>
      <c r="D523" t="inlineStr">
        <is>
          <t>Automobiles &amp; Components</t>
        </is>
      </c>
      <c r="E523" t="inlineStr">
        <is>
          <t>N/A</t>
        </is>
      </c>
      <c r="F523" t="inlineStr"/>
      <c r="G523" t="inlineStr"/>
      <c r="H523" t="inlineStr">
        <is>
          <t>2.45%</t>
        </is>
      </c>
      <c r="I523" t="inlineStr">
        <is>
          <t>2.45%</t>
        </is>
      </c>
    </row>
    <row r="524">
      <c r="A524" s="2" t="n">
        <v>45966</v>
      </c>
      <c r="B524" t="inlineStr">
        <is>
          <t>P3727</t>
        </is>
      </c>
      <c r="C524" t="inlineStr">
        <is>
          <t>GICS_INDUSTRY_NAME</t>
        </is>
      </c>
      <c r="D524" t="inlineStr">
        <is>
          <t>Automobiles</t>
        </is>
      </c>
      <c r="E524" t="inlineStr">
        <is>
          <t>N/A</t>
        </is>
      </c>
      <c r="F524" t="inlineStr"/>
      <c r="G524" t="inlineStr"/>
      <c r="H524" t="inlineStr">
        <is>
          <t>2.45%</t>
        </is>
      </c>
      <c r="I524" t="inlineStr">
        <is>
          <t>2.45%</t>
        </is>
      </c>
    </row>
    <row r="525">
      <c r="A525" s="2" t="n">
        <v>45966</v>
      </c>
      <c r="B525" t="inlineStr">
        <is>
          <t>P3727</t>
        </is>
      </c>
      <c r="C525" t="inlineStr">
        <is>
          <t>GICS_INDUSTRY_NAME</t>
        </is>
      </c>
      <c r="D525" t="inlineStr">
        <is>
          <t>Pharmaceuticals</t>
        </is>
      </c>
      <c r="E525" t="inlineStr">
        <is>
          <t>N/A</t>
        </is>
      </c>
      <c r="F525" t="inlineStr"/>
      <c r="G525" t="inlineStr"/>
      <c r="H525" t="inlineStr">
        <is>
          <t>2.27%</t>
        </is>
      </c>
      <c r="I525" t="inlineStr">
        <is>
          <t>3.42%</t>
        </is>
      </c>
    </row>
    <row r="526">
      <c r="A526" s="2" t="n">
        <v>45966</v>
      </c>
      <c r="B526" t="inlineStr">
        <is>
          <t>P3727</t>
        </is>
      </c>
      <c r="C526" t="inlineStr">
        <is>
          <t>GICS_INDUSTRY_GROUP_NAME</t>
        </is>
      </c>
      <c r="D526" t="inlineStr">
        <is>
          <t>Utilities</t>
        </is>
      </c>
      <c r="E526" t="inlineStr">
        <is>
          <t>N/A</t>
        </is>
      </c>
      <c r="F526" t="inlineStr"/>
      <c r="G526" t="inlineStr"/>
      <c r="H526" t="inlineStr">
        <is>
          <t>2.26%</t>
        </is>
      </c>
      <c r="I526" t="inlineStr">
        <is>
          <t>2.26%</t>
        </is>
      </c>
    </row>
    <row r="527">
      <c r="A527" s="2" t="n">
        <v>45966</v>
      </c>
      <c r="B527" t="inlineStr">
        <is>
          <t>P3727</t>
        </is>
      </c>
      <c r="C527" t="inlineStr">
        <is>
          <t>GICS_INDUSTRY_NAME</t>
        </is>
      </c>
      <c r="D527" t="inlineStr">
        <is>
          <t>Electric Utilities</t>
        </is>
      </c>
      <c r="E527" t="inlineStr">
        <is>
          <t>N/A</t>
        </is>
      </c>
      <c r="F527" t="inlineStr"/>
      <c r="G527" t="inlineStr"/>
      <c r="H527" t="inlineStr">
        <is>
          <t>2.26%</t>
        </is>
      </c>
      <c r="I527" t="inlineStr">
        <is>
          <t>2.26%</t>
        </is>
      </c>
    </row>
    <row r="528">
      <c r="A528" s="2" t="n">
        <v>45966</v>
      </c>
      <c r="B528" t="inlineStr">
        <is>
          <t>P3727</t>
        </is>
      </c>
      <c r="C528" t="inlineStr">
        <is>
          <t>GICS_INDUSTRY_GROUP_NAME</t>
        </is>
      </c>
      <c r="D528" t="inlineStr">
        <is>
          <t>Insurance</t>
        </is>
      </c>
      <c r="E528" t="inlineStr">
        <is>
          <t>N/A</t>
        </is>
      </c>
      <c r="F528" t="inlineStr"/>
      <c r="G528" t="inlineStr"/>
      <c r="H528" t="inlineStr">
        <is>
          <t>2.17%</t>
        </is>
      </c>
      <c r="I528" t="inlineStr">
        <is>
          <t>1.79%</t>
        </is>
      </c>
    </row>
    <row r="529">
      <c r="A529" s="2" t="n">
        <v>45966</v>
      </c>
      <c r="B529" t="inlineStr">
        <is>
          <t>P3727</t>
        </is>
      </c>
      <c r="C529" t="inlineStr">
        <is>
          <t>GICS_INDUSTRY_NAME</t>
        </is>
      </c>
      <c r="D529" t="inlineStr">
        <is>
          <t>Insurance</t>
        </is>
      </c>
      <c r="E529" t="inlineStr">
        <is>
          <t>N/A</t>
        </is>
      </c>
      <c r="F529" t="inlineStr"/>
      <c r="G529" t="inlineStr"/>
      <c r="H529" t="inlineStr">
        <is>
          <t>2.17%</t>
        </is>
      </c>
      <c r="I529" t="inlineStr">
        <is>
          <t>1.79%</t>
        </is>
      </c>
    </row>
    <row r="530">
      <c r="A530" s="2" t="n">
        <v>45966</v>
      </c>
      <c r="B530" t="inlineStr">
        <is>
          <t>P3727</t>
        </is>
      </c>
      <c r="C530" t="inlineStr">
        <is>
          <t>GICS_INDUSTRY_GROUP_NAME</t>
        </is>
      </c>
      <c r="D530" t="inlineStr">
        <is>
          <t>Food, Beverage &amp; Tobacco</t>
        </is>
      </c>
      <c r="E530" t="inlineStr">
        <is>
          <t>N/A</t>
        </is>
      </c>
      <c r="F530" t="inlineStr"/>
      <c r="G530" t="inlineStr"/>
      <c r="H530" t="inlineStr">
        <is>
          <t>2.15%</t>
        </is>
      </c>
      <c r="I530" t="inlineStr">
        <is>
          <t>2.15%</t>
        </is>
      </c>
    </row>
    <row r="531">
      <c r="A531" s="2" t="n">
        <v>45966</v>
      </c>
      <c r="B531" t="inlineStr">
        <is>
          <t>P3727</t>
        </is>
      </c>
      <c r="C531" t="inlineStr">
        <is>
          <t>GICS_INDUSTRY_NAME</t>
        </is>
      </c>
      <c r="D531" t="inlineStr">
        <is>
          <t>Health Care Equipment &amp; Supplies</t>
        </is>
      </c>
      <c r="E531" t="inlineStr">
        <is>
          <t>N/A</t>
        </is>
      </c>
      <c r="F531" t="inlineStr"/>
      <c r="G531" t="inlineStr"/>
      <c r="H531" t="inlineStr">
        <is>
          <t>2.13%</t>
        </is>
      </c>
      <c r="I531" t="inlineStr">
        <is>
          <t>1.77%</t>
        </is>
      </c>
    </row>
    <row r="532">
      <c r="A532" s="2" t="n">
        <v>45966</v>
      </c>
      <c r="B532" t="inlineStr">
        <is>
          <t>P3727</t>
        </is>
      </c>
      <c r="C532" t="inlineStr">
        <is>
          <t>GICS_INDUSTRY_NAME</t>
        </is>
      </c>
      <c r="D532" t="inlineStr">
        <is>
          <t>Communications Equipment</t>
        </is>
      </c>
      <c r="E532" t="inlineStr">
        <is>
          <t>N/A</t>
        </is>
      </c>
      <c r="F532" t="inlineStr"/>
      <c r="G532" t="inlineStr"/>
      <c r="H532" t="inlineStr">
        <is>
          <t>2.02%</t>
        </is>
      </c>
      <c r="I532" t="inlineStr">
        <is>
          <t>2.01%</t>
        </is>
      </c>
    </row>
    <row r="533">
      <c r="A533" s="2" t="n">
        <v>45966</v>
      </c>
      <c r="B533" t="inlineStr">
        <is>
          <t>P3727</t>
        </is>
      </c>
      <c r="C533" t="inlineStr">
        <is>
          <t>GICS_INDUSTRY_NAME</t>
        </is>
      </c>
      <c r="D533" t="inlineStr">
        <is>
          <t>Health Care Providers &amp; Services</t>
        </is>
      </c>
      <c r="E533" t="inlineStr">
        <is>
          <t>N/A</t>
        </is>
      </c>
      <c r="F533" t="inlineStr"/>
      <c r="G533" t="inlineStr"/>
      <c r="H533" t="inlineStr">
        <is>
          <t>1.91%</t>
        </is>
      </c>
      <c r="I533" t="inlineStr">
        <is>
          <t>1.59%</t>
        </is>
      </c>
    </row>
    <row r="534">
      <c r="A534" s="2" t="n">
        <v>45966</v>
      </c>
      <c r="B534" t="inlineStr">
        <is>
          <t>P3727</t>
        </is>
      </c>
      <c r="C534" t="inlineStr">
        <is>
          <t>GICS_INDUSTRY_NAME</t>
        </is>
      </c>
      <c r="D534" t="inlineStr">
        <is>
          <t>Biotechnology</t>
        </is>
      </c>
      <c r="E534" t="inlineStr">
        <is>
          <t>N/A</t>
        </is>
      </c>
      <c r="F534" t="inlineStr"/>
      <c r="G534" t="inlineStr"/>
      <c r="H534" t="inlineStr">
        <is>
          <t>1.79%</t>
        </is>
      </c>
      <c r="I534" t="inlineStr">
        <is>
          <t>1.49%</t>
        </is>
      </c>
    </row>
    <row r="535">
      <c r="A535" s="2" t="n">
        <v>45966</v>
      </c>
      <c r="B535" t="inlineStr">
        <is>
          <t>P3727</t>
        </is>
      </c>
      <c r="C535" t="inlineStr">
        <is>
          <t>GICS_INDUSTRY_GROUP_NAME</t>
        </is>
      </c>
      <c r="D535" t="inlineStr">
        <is>
          <t>Consumer Staples Distribution &amp; Retail</t>
        </is>
      </c>
      <c r="E535" t="inlineStr">
        <is>
          <t>N/A</t>
        </is>
      </c>
      <c r="F535" t="inlineStr"/>
      <c r="G535" t="inlineStr"/>
      <c r="H535" t="inlineStr">
        <is>
          <t>1.74%</t>
        </is>
      </c>
      <c r="I535" t="inlineStr">
        <is>
          <t>1.75%</t>
        </is>
      </c>
    </row>
    <row r="536">
      <c r="A536" s="2" t="n">
        <v>45966</v>
      </c>
      <c r="B536" t="inlineStr">
        <is>
          <t>P3727</t>
        </is>
      </c>
      <c r="C536" t="inlineStr">
        <is>
          <t>GICS_INDUSTRY_NAME</t>
        </is>
      </c>
      <c r="D536" t="inlineStr">
        <is>
          <t>Consumer Staples Distribution &amp; Retail</t>
        </is>
      </c>
      <c r="E536" t="inlineStr">
        <is>
          <t>N/A</t>
        </is>
      </c>
      <c r="F536" t="inlineStr"/>
      <c r="G536" t="inlineStr"/>
      <c r="H536" t="inlineStr">
        <is>
          <t>1.74%</t>
        </is>
      </c>
      <c r="I536" t="inlineStr">
        <is>
          <t>1.75%</t>
        </is>
      </c>
    </row>
    <row r="537">
      <c r="A537" s="2" t="n">
        <v>45966</v>
      </c>
      <c r="B537" t="inlineStr">
        <is>
          <t>P3727</t>
        </is>
      </c>
      <c r="C537" t="inlineStr">
        <is>
          <t>GICS_INDUSTRY_GROUP_NAME</t>
        </is>
      </c>
      <c r="D537" t="inlineStr">
        <is>
          <t>Materials</t>
        </is>
      </c>
      <c r="E537" t="inlineStr">
        <is>
          <t>N/A</t>
        </is>
      </c>
      <c r="F537" t="inlineStr"/>
      <c r="G537" t="inlineStr"/>
      <c r="H537" t="inlineStr">
        <is>
          <t>1.68%</t>
        </is>
      </c>
      <c r="I537" t="inlineStr">
        <is>
          <t>1.68%</t>
        </is>
      </c>
    </row>
    <row r="538">
      <c r="A538" s="2" t="n">
        <v>45966</v>
      </c>
      <c r="B538" t="inlineStr">
        <is>
          <t>P3727</t>
        </is>
      </c>
      <c r="C538" t="inlineStr">
        <is>
          <t>GICS_INDUSTRY_NAME</t>
        </is>
      </c>
      <c r="D538" t="inlineStr">
        <is>
          <t>Chemicals</t>
        </is>
      </c>
      <c r="E538" t="inlineStr">
        <is>
          <t>N/A</t>
        </is>
      </c>
      <c r="F538" t="inlineStr"/>
      <c r="G538" t="inlineStr"/>
      <c r="H538" t="inlineStr">
        <is>
          <t>1.68%</t>
        </is>
      </c>
      <c r="I538" t="inlineStr">
        <is>
          <t>1.68%</t>
        </is>
      </c>
    </row>
    <row r="539">
      <c r="A539" s="2" t="n">
        <v>45966</v>
      </c>
      <c r="B539" t="inlineStr">
        <is>
          <t>P3727</t>
        </is>
      </c>
      <c r="C539" t="inlineStr">
        <is>
          <t>GICS_INDUSTRY_GROUP_NAME</t>
        </is>
      </c>
      <c r="D539" t="inlineStr">
        <is>
          <t>Consumer Services</t>
        </is>
      </c>
      <c r="E539" t="inlineStr">
        <is>
          <t>N/A</t>
        </is>
      </c>
      <c r="F539" t="inlineStr"/>
      <c r="G539" t="inlineStr"/>
      <c r="H539" t="inlineStr">
        <is>
          <t>1.67%</t>
        </is>
      </c>
      <c r="I539" t="inlineStr">
        <is>
          <t>1.67%</t>
        </is>
      </c>
    </row>
    <row r="540">
      <c r="A540" s="2" t="n">
        <v>45966</v>
      </c>
      <c r="B540" t="inlineStr">
        <is>
          <t>P3727</t>
        </is>
      </c>
      <c r="C540" t="inlineStr">
        <is>
          <t>GICS_INDUSTRY_NAME</t>
        </is>
      </c>
      <c r="D540" t="inlineStr">
        <is>
          <t>Hotels, Restaurants &amp; Leisure</t>
        </is>
      </c>
      <c r="E540" t="inlineStr">
        <is>
          <t>N/A</t>
        </is>
      </c>
      <c r="F540" t="inlineStr"/>
      <c r="G540" t="inlineStr"/>
      <c r="H540" t="inlineStr">
        <is>
          <t>1.67%</t>
        </is>
      </c>
      <c r="I540" t="inlineStr">
        <is>
          <t>1.67%</t>
        </is>
      </c>
    </row>
    <row r="541">
      <c r="A541" s="2" t="n">
        <v>45966</v>
      </c>
      <c r="B541" t="inlineStr">
        <is>
          <t>P3727</t>
        </is>
      </c>
      <c r="C541" t="inlineStr">
        <is>
          <t>GICS_INDUSTRY_NAME</t>
        </is>
      </c>
      <c r="D541" t="inlineStr">
        <is>
          <t>Machinery</t>
        </is>
      </c>
      <c r="E541" t="inlineStr">
        <is>
          <t>N/A</t>
        </is>
      </c>
      <c r="F541" t="inlineStr"/>
      <c r="G541" t="inlineStr"/>
      <c r="H541" t="inlineStr">
        <is>
          <t>1.51%</t>
        </is>
      </c>
      <c r="I541" t="inlineStr">
        <is>
          <t>1.51%</t>
        </is>
      </c>
    </row>
    <row r="542">
      <c r="A542" s="2" t="n">
        <v>45966</v>
      </c>
      <c r="B542" t="inlineStr">
        <is>
          <t>P3727</t>
        </is>
      </c>
      <c r="C542" t="inlineStr">
        <is>
          <t>GICS_INDUSTRY_GROUP_NAME</t>
        </is>
      </c>
      <c r="D542" t="inlineStr">
        <is>
          <t>Equity Real Estate Investment Trusts</t>
        </is>
      </c>
      <c r="E542" t="inlineStr">
        <is>
          <t>N/A</t>
        </is>
      </c>
      <c r="F542" t="inlineStr"/>
      <c r="G542" t="inlineStr"/>
      <c r="H542" t="inlineStr">
        <is>
          <t>1.44%</t>
        </is>
      </c>
      <c r="I542" t="inlineStr">
        <is>
          <t>1.44%</t>
        </is>
      </c>
    </row>
    <row r="543">
      <c r="A543" s="2" t="n">
        <v>45966</v>
      </c>
      <c r="B543" t="inlineStr">
        <is>
          <t>P3727</t>
        </is>
      </c>
      <c r="C543" t="inlineStr">
        <is>
          <t>GICS_INDUSTRY_NAME</t>
        </is>
      </c>
      <c r="D543" t="inlineStr">
        <is>
          <t>Specialized REITs</t>
        </is>
      </c>
      <c r="E543" t="inlineStr">
        <is>
          <t>N/A</t>
        </is>
      </c>
      <c r="F543" t="inlineStr"/>
      <c r="G543" t="inlineStr"/>
      <c r="H543" t="inlineStr">
        <is>
          <t>1.44%</t>
        </is>
      </c>
      <c r="I543" t="inlineStr">
        <is>
          <t>1.44%</t>
        </is>
      </c>
    </row>
    <row r="544">
      <c r="A544" s="2" t="n">
        <v>45966</v>
      </c>
      <c r="B544" t="inlineStr">
        <is>
          <t>P3727</t>
        </is>
      </c>
      <c r="C544" t="inlineStr">
        <is>
          <t>GICS_INDUSTRY_GROUP_NAME</t>
        </is>
      </c>
      <c r="D544" t="inlineStr">
        <is>
          <t>Transportation</t>
        </is>
      </c>
      <c r="E544" t="inlineStr">
        <is>
          <t>N/A</t>
        </is>
      </c>
      <c r="F544" t="inlineStr"/>
      <c r="G544" t="inlineStr"/>
      <c r="H544" t="inlineStr">
        <is>
          <t>1.32%</t>
        </is>
      </c>
      <c r="I544" t="inlineStr">
        <is>
          <t>1.32%</t>
        </is>
      </c>
    </row>
    <row r="545">
      <c r="A545" s="2" t="n">
        <v>45966</v>
      </c>
      <c r="B545" t="inlineStr">
        <is>
          <t>P3727</t>
        </is>
      </c>
      <c r="C545" t="inlineStr">
        <is>
          <t>GICS_INDUSTRY_NAME</t>
        </is>
      </c>
      <c r="D545" t="inlineStr">
        <is>
          <t>Specialty Retail</t>
        </is>
      </c>
      <c r="E545" t="inlineStr">
        <is>
          <t>N/A</t>
        </is>
      </c>
      <c r="F545" t="inlineStr"/>
      <c r="G545" t="inlineStr"/>
      <c r="H545" t="inlineStr">
        <is>
          <t>1.28%</t>
        </is>
      </c>
      <c r="I545" t="inlineStr">
        <is>
          <t>1.28%</t>
        </is>
      </c>
    </row>
    <row r="546">
      <c r="A546" s="2" t="n">
        <v>45966</v>
      </c>
      <c r="B546" t="inlineStr">
        <is>
          <t>P3727</t>
        </is>
      </c>
      <c r="C546" t="inlineStr">
        <is>
          <t>GICS_INDUSTRY_NAME</t>
        </is>
      </c>
      <c r="D546" t="inlineStr">
        <is>
          <t>Entertainment</t>
        </is>
      </c>
      <c r="E546" t="inlineStr">
        <is>
          <t>N/A</t>
        </is>
      </c>
      <c r="F546" t="inlineStr"/>
      <c r="G546" t="inlineStr"/>
      <c r="H546" t="inlineStr">
        <is>
          <t>1.22%</t>
        </is>
      </c>
      <c r="I546" t="inlineStr">
        <is>
          <t>1.22%</t>
        </is>
      </c>
    </row>
    <row r="547">
      <c r="A547" s="2" t="n">
        <v>45966</v>
      </c>
      <c r="B547" t="inlineStr">
        <is>
          <t>P3727</t>
        </is>
      </c>
      <c r="C547" t="inlineStr">
        <is>
          <t>GICS_INDUSTRY_NAME</t>
        </is>
      </c>
      <c r="D547" t="inlineStr">
        <is>
          <t>IT Services</t>
        </is>
      </c>
      <c r="E547" t="inlineStr">
        <is>
          <t>N/A</t>
        </is>
      </c>
      <c r="F547" t="inlineStr"/>
      <c r="G547" t="inlineStr"/>
      <c r="H547" t="inlineStr">
        <is>
          <t>1.21%</t>
        </is>
      </c>
      <c r="I547" t="inlineStr">
        <is>
          <t>1.13%</t>
        </is>
      </c>
    </row>
    <row r="548">
      <c r="A548" s="2" t="n">
        <v>45966</v>
      </c>
      <c r="B548" t="inlineStr">
        <is>
          <t>P3727</t>
        </is>
      </c>
      <c r="C548" t="inlineStr">
        <is>
          <t>GICS_INDUSTRY_NAME</t>
        </is>
      </c>
      <c r="D548" t="inlineStr">
        <is>
          <t>Beverages</t>
        </is>
      </c>
      <c r="E548" t="inlineStr">
        <is>
          <t>N/A</t>
        </is>
      </c>
      <c r="F548" t="inlineStr"/>
      <c r="G548" t="inlineStr"/>
      <c r="H548" t="inlineStr">
        <is>
          <t>1.15%</t>
        </is>
      </c>
      <c r="I548" t="inlineStr">
        <is>
          <t>1.15%</t>
        </is>
      </c>
    </row>
    <row r="549">
      <c r="A549" s="2" t="n">
        <v>45966</v>
      </c>
      <c r="B549" t="inlineStr">
        <is>
          <t>P3727</t>
        </is>
      </c>
      <c r="C549" t="inlineStr">
        <is>
          <t>GICS_INDUSTRY_GROUP_NAME</t>
        </is>
      </c>
      <c r="D549" t="inlineStr">
        <is>
          <t>Commercial &amp; Professional Services</t>
        </is>
      </c>
      <c r="E549" t="inlineStr">
        <is>
          <t>N/A</t>
        </is>
      </c>
      <c r="F549" t="inlineStr"/>
      <c r="G549" t="inlineStr"/>
      <c r="H549" t="inlineStr">
        <is>
          <t>0.99%</t>
        </is>
      </c>
      <c r="I549" t="inlineStr">
        <is>
          <t>0.99%</t>
        </is>
      </c>
    </row>
    <row r="550">
      <c r="A550" s="2" t="n">
        <v>45966</v>
      </c>
      <c r="B550" t="inlineStr">
        <is>
          <t>P3727</t>
        </is>
      </c>
      <c r="C550" t="inlineStr">
        <is>
          <t>GICS_INDUSTRY_NAME</t>
        </is>
      </c>
      <c r="D550" t="inlineStr">
        <is>
          <t>Commercial Services &amp; Supplies</t>
        </is>
      </c>
      <c r="E550" t="inlineStr">
        <is>
          <t>N/A</t>
        </is>
      </c>
      <c r="F550" t="inlineStr"/>
      <c r="G550" t="inlineStr"/>
      <c r="H550" t="inlineStr">
        <is>
          <t>0.99%</t>
        </is>
      </c>
      <c r="I550" t="inlineStr">
        <is>
          <t>0.99%</t>
        </is>
      </c>
    </row>
    <row r="551">
      <c r="A551" s="2" t="n">
        <v>45966</v>
      </c>
      <c r="B551" t="inlineStr">
        <is>
          <t>P3727</t>
        </is>
      </c>
      <c r="C551" t="inlineStr">
        <is>
          <t>GICS_INDUSTRY_NAME</t>
        </is>
      </c>
      <c r="D551" t="inlineStr">
        <is>
          <t>Ground Transportation</t>
        </is>
      </c>
      <c r="E551" t="inlineStr">
        <is>
          <t>N/A</t>
        </is>
      </c>
      <c r="F551" t="inlineStr"/>
      <c r="G551" t="inlineStr"/>
      <c r="H551" t="inlineStr">
        <is>
          <t>0.95%</t>
        </is>
      </c>
      <c r="I551" t="inlineStr">
        <is>
          <t>0.95%</t>
        </is>
      </c>
    </row>
    <row r="552">
      <c r="A552" s="2" t="n">
        <v>45966</v>
      </c>
      <c r="B552" t="inlineStr">
        <is>
          <t>P3727</t>
        </is>
      </c>
      <c r="C552" t="inlineStr">
        <is>
          <t>GICS_INDUSTRY_GROUP_NAME</t>
        </is>
      </c>
      <c r="D552" t="inlineStr">
        <is>
          <t>Household &amp; Personal Products</t>
        </is>
      </c>
      <c r="E552" t="inlineStr">
        <is>
          <t>N/A</t>
        </is>
      </c>
      <c r="F552" t="inlineStr"/>
      <c r="G552" t="inlineStr"/>
      <c r="H552" t="inlineStr">
        <is>
          <t>0.92%</t>
        </is>
      </c>
      <c r="I552" t="inlineStr">
        <is>
          <t>0.92%</t>
        </is>
      </c>
    </row>
    <row r="553">
      <c r="A553" s="2" t="n">
        <v>45966</v>
      </c>
      <c r="B553" t="inlineStr">
        <is>
          <t>P3727</t>
        </is>
      </c>
      <c r="C553" t="inlineStr">
        <is>
          <t>GICS_INDUSTRY_NAME</t>
        </is>
      </c>
      <c r="D553" t="inlineStr">
        <is>
          <t>Household Products</t>
        </is>
      </c>
      <c r="E553" t="inlineStr">
        <is>
          <t>N/A</t>
        </is>
      </c>
      <c r="F553" t="inlineStr"/>
      <c r="G553" t="inlineStr"/>
      <c r="H553" t="inlineStr">
        <is>
          <t>0.92%</t>
        </is>
      </c>
      <c r="I553" t="inlineStr">
        <is>
          <t>0.92%</t>
        </is>
      </c>
    </row>
    <row r="554">
      <c r="A554" s="2" t="n">
        <v>45966</v>
      </c>
      <c r="B554" t="inlineStr">
        <is>
          <t>P3727</t>
        </is>
      </c>
      <c r="C554" t="inlineStr">
        <is>
          <t>GICS_INDUSTRY_NAME</t>
        </is>
      </c>
      <c r="D554" t="inlineStr">
        <is>
          <t>Life Sciences Tools &amp; Services</t>
        </is>
      </c>
      <c r="E554" t="inlineStr">
        <is>
          <t>N/A</t>
        </is>
      </c>
      <c r="F554" t="inlineStr"/>
      <c r="G554" t="inlineStr"/>
      <c r="H554" t="inlineStr">
        <is>
          <t>0.90%</t>
        </is>
      </c>
      <c r="I554" t="inlineStr">
        <is>
          <t>0.74%</t>
        </is>
      </c>
    </row>
    <row r="555">
      <c r="A555" s="2" t="n">
        <v>45966</v>
      </c>
      <c r="B555" t="inlineStr">
        <is>
          <t>P3727</t>
        </is>
      </c>
      <c r="C555" t="inlineStr">
        <is>
          <t>GICS_INDUSTRY_NAME</t>
        </is>
      </c>
      <c r="D555" t="inlineStr">
        <is>
          <t>Electrical Equipment</t>
        </is>
      </c>
      <c r="E555" t="inlineStr">
        <is>
          <t>N/A</t>
        </is>
      </c>
      <c r="F555" t="inlineStr"/>
      <c r="G555" t="inlineStr"/>
      <c r="H555" t="inlineStr">
        <is>
          <t>0.87%</t>
        </is>
      </c>
      <c r="I555" t="inlineStr">
        <is>
          <t>0.87%</t>
        </is>
      </c>
    </row>
    <row r="556">
      <c r="A556" s="2" t="n">
        <v>45966</v>
      </c>
      <c r="B556" t="inlineStr">
        <is>
          <t>P3727</t>
        </is>
      </c>
      <c r="C556" t="inlineStr">
        <is>
          <t>GICS_INDUSTRY_NAME</t>
        </is>
      </c>
      <c r="D556" t="inlineStr">
        <is>
          <t>Industrial Conglomerates</t>
        </is>
      </c>
      <c r="E556" t="inlineStr">
        <is>
          <t>N/A</t>
        </is>
      </c>
      <c r="F556" t="inlineStr"/>
      <c r="G556" t="inlineStr"/>
      <c r="H556" t="inlineStr">
        <is>
          <t>0.83%</t>
        </is>
      </c>
      <c r="I556" t="inlineStr">
        <is>
          <t>0.83%</t>
        </is>
      </c>
    </row>
    <row r="557">
      <c r="A557" s="2" t="n">
        <v>45966</v>
      </c>
      <c r="B557" t="inlineStr">
        <is>
          <t>P3727</t>
        </is>
      </c>
      <c r="C557" t="inlineStr">
        <is>
          <t>GICS_INDUSTRY_NAME</t>
        </is>
      </c>
      <c r="D557" t="inlineStr">
        <is>
          <t>Tobacco</t>
        </is>
      </c>
      <c r="E557" t="inlineStr">
        <is>
          <t>N/A</t>
        </is>
      </c>
      <c r="F557" t="inlineStr"/>
      <c r="G557" t="inlineStr"/>
      <c r="H557" t="inlineStr">
        <is>
          <t>0.82%</t>
        </is>
      </c>
      <c r="I557" t="inlineStr">
        <is>
          <t>0.81%</t>
        </is>
      </c>
    </row>
    <row r="558">
      <c r="A558" s="2" t="n">
        <v>45966</v>
      </c>
      <c r="B558" t="inlineStr">
        <is>
          <t>P3727</t>
        </is>
      </c>
      <c r="C558" t="inlineStr">
        <is>
          <t>GICS_INDUSTRY_GROUP_NAME</t>
        </is>
      </c>
      <c r="D558" t="inlineStr">
        <is>
          <t>Telecommunication Services</t>
        </is>
      </c>
      <c r="E558" t="inlineStr">
        <is>
          <t>N/A</t>
        </is>
      </c>
      <c r="F558" t="inlineStr"/>
      <c r="G558" t="inlineStr"/>
      <c r="H558" t="inlineStr">
        <is>
          <t>0.79%</t>
        </is>
      </c>
      <c r="I558" t="inlineStr">
        <is>
          <t>0.79%</t>
        </is>
      </c>
    </row>
    <row r="559">
      <c r="A559" s="2" t="n">
        <v>45966</v>
      </c>
      <c r="B559" t="inlineStr">
        <is>
          <t>P3727</t>
        </is>
      </c>
      <c r="C559" t="inlineStr">
        <is>
          <t>GICS_INDUSTRY_NAME</t>
        </is>
      </c>
      <c r="D559" t="inlineStr">
        <is>
          <t>Diversified Telecommunication Services</t>
        </is>
      </c>
      <c r="E559" t="inlineStr">
        <is>
          <t>N/A</t>
        </is>
      </c>
      <c r="F559" t="inlineStr"/>
      <c r="G559" t="inlineStr"/>
      <c r="H559" t="inlineStr">
        <is>
          <t>0.79%</t>
        </is>
      </c>
      <c r="I559" t="inlineStr">
        <is>
          <t>0.79%</t>
        </is>
      </c>
    </row>
    <row r="560">
      <c r="A560" s="2" t="n">
        <v>45966</v>
      </c>
      <c r="B560" t="inlineStr">
        <is>
          <t>P3727</t>
        </is>
      </c>
      <c r="C560" t="inlineStr">
        <is>
          <t>GICS_INDUSTRY_NAME</t>
        </is>
      </c>
      <c r="D560" t="inlineStr">
        <is>
          <t>Consumer Finance</t>
        </is>
      </c>
      <c r="E560" t="inlineStr">
        <is>
          <t>N/A</t>
        </is>
      </c>
      <c r="F560" t="inlineStr"/>
      <c r="G560" t="inlineStr"/>
      <c r="H560" t="inlineStr">
        <is>
          <t>0.62%</t>
        </is>
      </c>
      <c r="I560" t="inlineStr">
        <is>
          <t>0.51%</t>
        </is>
      </c>
    </row>
    <row r="561">
      <c r="A561" s="2" t="n">
        <v>45966</v>
      </c>
      <c r="B561" t="inlineStr">
        <is>
          <t>P3727</t>
        </is>
      </c>
      <c r="C561" t="inlineStr">
        <is>
          <t>GICS_INDUSTRY_GROUP_NAME</t>
        </is>
      </c>
      <c r="D561" t="inlineStr">
        <is>
          <t>Consumer Durables &amp; Apparel</t>
        </is>
      </c>
      <c r="E561" t="inlineStr">
        <is>
          <t>N/A</t>
        </is>
      </c>
      <c r="F561" t="inlineStr"/>
      <c r="G561" t="inlineStr"/>
      <c r="H561" t="inlineStr">
        <is>
          <t>0.51%</t>
        </is>
      </c>
      <c r="I561" t="inlineStr">
        <is>
          <t>0.51%</t>
        </is>
      </c>
    </row>
    <row r="562">
      <c r="A562" s="2" t="n">
        <v>45966</v>
      </c>
      <c r="B562" t="inlineStr">
        <is>
          <t>P3727</t>
        </is>
      </c>
      <c r="C562" t="inlineStr">
        <is>
          <t>GICS_INDUSTRY_NAME</t>
        </is>
      </c>
      <c r="D562" t="inlineStr">
        <is>
          <t>Textiles, Apparel &amp; Luxury Goods</t>
        </is>
      </c>
      <c r="E562" t="inlineStr">
        <is>
          <t>N/A</t>
        </is>
      </c>
      <c r="F562" t="inlineStr"/>
      <c r="G562" t="inlineStr"/>
      <c r="H562" t="inlineStr">
        <is>
          <t>0.51%</t>
        </is>
      </c>
      <c r="I562" t="inlineStr">
        <is>
          <t>0.51%</t>
        </is>
      </c>
    </row>
    <row r="563">
      <c r="A563" s="2" t="n">
        <v>45966</v>
      </c>
      <c r="B563" t="inlineStr">
        <is>
          <t>P3727</t>
        </is>
      </c>
      <c r="C563" t="inlineStr">
        <is>
          <t>GICS_INDUSTRY_NAME</t>
        </is>
      </c>
      <c r="D563" t="inlineStr">
        <is>
          <t>Air Freight &amp; Logistics</t>
        </is>
      </c>
      <c r="E563" t="inlineStr">
        <is>
          <t>N/A</t>
        </is>
      </c>
      <c r="F563" t="inlineStr"/>
      <c r="G563" t="inlineStr"/>
      <c r="H563" t="inlineStr">
        <is>
          <t>0.37%</t>
        </is>
      </c>
      <c r="I563" t="inlineStr">
        <is>
          <t>0.37%</t>
        </is>
      </c>
    </row>
    <row r="564">
      <c r="A564" s="2" t="n">
        <v>45966</v>
      </c>
      <c r="B564" t="inlineStr">
        <is>
          <t>P3727</t>
        </is>
      </c>
      <c r="C564" t="inlineStr">
        <is>
          <t>GICS_INDUSTRY_NAME</t>
        </is>
      </c>
      <c r="D564" t="inlineStr">
        <is>
          <t>Media</t>
        </is>
      </c>
      <c r="E564" t="inlineStr">
        <is>
          <t>N/A</t>
        </is>
      </c>
      <c r="F564" t="inlineStr"/>
      <c r="G564" t="inlineStr"/>
      <c r="H564" t="inlineStr">
        <is>
          <t>0.19%</t>
        </is>
      </c>
      <c r="I564" t="inlineStr">
        <is>
          <t>0.19%</t>
        </is>
      </c>
    </row>
    <row r="565">
      <c r="A565" s="2" t="n">
        <v>45966</v>
      </c>
      <c r="B565" t="inlineStr">
        <is>
          <t>P3727</t>
        </is>
      </c>
      <c r="C565" t="inlineStr">
        <is>
          <t>GICS_INDUSTRY_NAME</t>
        </is>
      </c>
      <c r="D565" t="inlineStr">
        <is>
          <t>Food Products</t>
        </is>
      </c>
      <c r="E565" t="inlineStr">
        <is>
          <t>N/A</t>
        </is>
      </c>
      <c r="F565" t="inlineStr"/>
      <c r="G565" t="inlineStr"/>
      <c r="H565" t="inlineStr">
        <is>
          <t>0.19%</t>
        </is>
      </c>
      <c r="I565" t="inlineStr">
        <is>
          <t>0.19%</t>
        </is>
      </c>
    </row>
    <row r="566">
      <c r="A566" s="2" t="n">
        <v>45966</v>
      </c>
      <c r="B566" t="inlineStr">
        <is>
          <t>R21126</t>
        </is>
      </c>
      <c r="C566" t="inlineStr">
        <is>
          <t>GICS_INDUSTRY_GROUP_NAME</t>
        </is>
      </c>
      <c r="D566" t="inlineStr">
        <is>
          <t>Financial Services</t>
        </is>
      </c>
      <c r="E566" t="inlineStr">
        <is>
          <t>N/A</t>
        </is>
      </c>
      <c r="F566" t="inlineStr"/>
      <c r="G566" t="inlineStr"/>
      <c r="H566" t="inlineStr">
        <is>
          <t>15.40%</t>
        </is>
      </c>
      <c r="I566" t="inlineStr">
        <is>
          <t>15.40%</t>
        </is>
      </c>
    </row>
    <row r="567">
      <c r="A567" s="2" t="n">
        <v>45966</v>
      </c>
      <c r="B567" t="inlineStr">
        <is>
          <t>R21126</t>
        </is>
      </c>
      <c r="C567" t="inlineStr">
        <is>
          <t>GICS_INDUSTRY_GROUP_NAME</t>
        </is>
      </c>
      <c r="D567" t="inlineStr">
        <is>
          <t>Semiconductors &amp; Semiconductor Equipment</t>
        </is>
      </c>
      <c r="E567" t="inlineStr">
        <is>
          <t>N/A</t>
        </is>
      </c>
      <c r="F567" t="inlineStr"/>
      <c r="G567" t="inlineStr"/>
      <c r="H567" t="inlineStr">
        <is>
          <t>14.69%</t>
        </is>
      </c>
      <c r="I567" t="inlineStr">
        <is>
          <t>14.69%</t>
        </is>
      </c>
    </row>
    <row r="568">
      <c r="A568" s="2" t="n">
        <v>45966</v>
      </c>
      <c r="B568" t="inlineStr">
        <is>
          <t>R21126</t>
        </is>
      </c>
      <c r="C568" t="inlineStr">
        <is>
          <t>GICS_INDUSTRY_NAME</t>
        </is>
      </c>
      <c r="D568" t="inlineStr">
        <is>
          <t>Semiconductors &amp; Semiconductor Equipment</t>
        </is>
      </c>
      <c r="E568" t="inlineStr">
        <is>
          <t>N/A</t>
        </is>
      </c>
      <c r="F568" t="inlineStr"/>
      <c r="G568" t="inlineStr"/>
      <c r="H568" t="inlineStr">
        <is>
          <t>14.69%</t>
        </is>
      </c>
      <c r="I568" t="inlineStr">
        <is>
          <t>14.69%</t>
        </is>
      </c>
    </row>
    <row r="569">
      <c r="A569" s="2" t="n">
        <v>45966</v>
      </c>
      <c r="B569" t="inlineStr">
        <is>
          <t>R21126</t>
        </is>
      </c>
      <c r="C569" t="inlineStr">
        <is>
          <t>GICS_INDUSTRY_GROUP_NAME</t>
        </is>
      </c>
      <c r="D569" t="inlineStr">
        <is>
          <t>Insurance</t>
        </is>
      </c>
      <c r="E569" t="inlineStr">
        <is>
          <t>N/A</t>
        </is>
      </c>
      <c r="F569" t="inlineStr"/>
      <c r="G569" t="inlineStr"/>
      <c r="H569" t="inlineStr">
        <is>
          <t>11.86%</t>
        </is>
      </c>
      <c r="I569" t="inlineStr">
        <is>
          <t>11.86%</t>
        </is>
      </c>
    </row>
    <row r="570">
      <c r="A570" s="2" t="n">
        <v>45966</v>
      </c>
      <c r="B570" t="inlineStr">
        <is>
          <t>R21126</t>
        </is>
      </c>
      <c r="C570" t="inlineStr">
        <is>
          <t>GICS_INDUSTRY_NAME</t>
        </is>
      </c>
      <c r="D570" t="inlineStr">
        <is>
          <t>Insurance</t>
        </is>
      </c>
      <c r="E570" t="inlineStr">
        <is>
          <t>N/A</t>
        </is>
      </c>
      <c r="F570" t="inlineStr"/>
      <c r="G570" t="inlineStr"/>
      <c r="H570" t="inlineStr">
        <is>
          <t>11.86%</t>
        </is>
      </c>
      <c r="I570" t="inlineStr">
        <is>
          <t>11.86%</t>
        </is>
      </c>
    </row>
    <row r="571">
      <c r="A571" s="2" t="n">
        <v>45966</v>
      </c>
      <c r="B571" t="inlineStr">
        <is>
          <t>R21126</t>
        </is>
      </c>
      <c r="C571" t="inlineStr">
        <is>
          <t>GICS_INDUSTRY_GROUP_NAME</t>
        </is>
      </c>
      <c r="D571" t="inlineStr">
        <is>
          <t>Capital Goods</t>
        </is>
      </c>
      <c r="E571" t="inlineStr">
        <is>
          <t>N/A</t>
        </is>
      </c>
      <c r="F571" t="inlineStr"/>
      <c r="G571" t="inlineStr"/>
      <c r="H571" t="inlineStr">
        <is>
          <t>10.67%</t>
        </is>
      </c>
      <c r="I571" t="inlineStr">
        <is>
          <t>10.67%</t>
        </is>
      </c>
    </row>
    <row r="572">
      <c r="A572" s="2" t="n">
        <v>45966</v>
      </c>
      <c r="B572" t="inlineStr">
        <is>
          <t>R21126</t>
        </is>
      </c>
      <c r="C572" t="inlineStr">
        <is>
          <t>GICS_INDUSTRY_NAME</t>
        </is>
      </c>
      <c r="D572" t="inlineStr">
        <is>
          <t>Capital Markets</t>
        </is>
      </c>
      <c r="E572" t="inlineStr">
        <is>
          <t>N/A</t>
        </is>
      </c>
      <c r="F572" t="inlineStr"/>
      <c r="G572" t="inlineStr"/>
      <c r="H572" t="inlineStr">
        <is>
          <t>8.49%</t>
        </is>
      </c>
      <c r="I572" t="inlineStr">
        <is>
          <t>8.49%</t>
        </is>
      </c>
    </row>
    <row r="573">
      <c r="A573" s="2" t="n">
        <v>45966</v>
      </c>
      <c r="B573" t="inlineStr">
        <is>
          <t>R21126</t>
        </is>
      </c>
      <c r="C573" t="inlineStr">
        <is>
          <t>GICS_INDUSTRY_GROUP_NAME</t>
        </is>
      </c>
      <c r="D573" t="inlineStr">
        <is>
          <t>Media &amp; Entertainment</t>
        </is>
      </c>
      <c r="E573" t="inlineStr">
        <is>
          <t>N/A</t>
        </is>
      </c>
      <c r="F573" t="inlineStr"/>
      <c r="G573" t="inlineStr"/>
      <c r="H573" t="inlineStr">
        <is>
          <t>7.18%</t>
        </is>
      </c>
      <c r="I573" t="inlineStr">
        <is>
          <t>7.18%</t>
        </is>
      </c>
    </row>
    <row r="574">
      <c r="A574" s="2" t="n">
        <v>45966</v>
      </c>
      <c r="B574" t="inlineStr">
        <is>
          <t>R21126</t>
        </is>
      </c>
      <c r="C574" t="inlineStr">
        <is>
          <t>GICS_INDUSTRY_GROUP_NAME</t>
        </is>
      </c>
      <c r="D574" t="inlineStr">
        <is>
          <t>Software &amp; Services</t>
        </is>
      </c>
      <c r="E574" t="inlineStr">
        <is>
          <t>N/A</t>
        </is>
      </c>
      <c r="F574" t="inlineStr"/>
      <c r="G574" t="inlineStr"/>
      <c r="H574" t="inlineStr">
        <is>
          <t>6.99%</t>
        </is>
      </c>
      <c r="I574" t="inlineStr">
        <is>
          <t>6.99%</t>
        </is>
      </c>
    </row>
    <row r="575">
      <c r="A575" s="2" t="n">
        <v>45966</v>
      </c>
      <c r="B575" t="inlineStr">
        <is>
          <t>R21126</t>
        </is>
      </c>
      <c r="C575" t="inlineStr">
        <is>
          <t>GICS_INDUSTRY_GROUP_NAME</t>
        </is>
      </c>
      <c r="D575" t="inlineStr">
        <is>
          <t>Banks</t>
        </is>
      </c>
      <c r="E575" t="inlineStr">
        <is>
          <t>N/A</t>
        </is>
      </c>
      <c r="F575" t="inlineStr"/>
      <c r="G575" t="inlineStr"/>
      <c r="H575" t="inlineStr">
        <is>
          <t>6.75%</t>
        </is>
      </c>
      <c r="I575" t="inlineStr">
        <is>
          <t>6.75%</t>
        </is>
      </c>
    </row>
    <row r="576">
      <c r="A576" s="2" t="n">
        <v>45966</v>
      </c>
      <c r="B576" t="inlineStr">
        <is>
          <t>R21126</t>
        </is>
      </c>
      <c r="C576" t="inlineStr">
        <is>
          <t>GICS_INDUSTRY_NAME</t>
        </is>
      </c>
      <c r="D576" t="inlineStr">
        <is>
          <t>Banks</t>
        </is>
      </c>
      <c r="E576" t="inlineStr">
        <is>
          <t>N/A</t>
        </is>
      </c>
      <c r="F576" t="inlineStr"/>
      <c r="G576" t="inlineStr"/>
      <c r="H576" t="inlineStr">
        <is>
          <t>6.75%</t>
        </is>
      </c>
      <c r="I576" t="inlineStr">
        <is>
          <t>6.75%</t>
        </is>
      </c>
    </row>
    <row r="577">
      <c r="A577" s="2" t="n">
        <v>45966</v>
      </c>
      <c r="B577" t="inlineStr">
        <is>
          <t>R21126</t>
        </is>
      </c>
      <c r="C577" t="inlineStr">
        <is>
          <t>GICS_INDUSTRY_NAME</t>
        </is>
      </c>
      <c r="D577" t="inlineStr">
        <is>
          <t>Machinery</t>
        </is>
      </c>
      <c r="E577" t="inlineStr">
        <is>
          <t>N/A</t>
        </is>
      </c>
      <c r="F577" t="inlineStr"/>
      <c r="G577" t="inlineStr"/>
      <c r="H577" t="inlineStr">
        <is>
          <t>6.54%</t>
        </is>
      </c>
      <c r="I577" t="inlineStr">
        <is>
          <t>6.54%</t>
        </is>
      </c>
    </row>
    <row r="578">
      <c r="A578" s="2" t="n">
        <v>45966</v>
      </c>
      <c r="B578" t="inlineStr">
        <is>
          <t>R21126</t>
        </is>
      </c>
      <c r="C578" t="inlineStr">
        <is>
          <t>GICS_INDUSTRY_GROUP_NAME</t>
        </is>
      </c>
      <c r="D578" t="inlineStr">
        <is>
          <t>Consumer Discretionary Distribution &amp; Retail</t>
        </is>
      </c>
      <c r="E578" t="inlineStr">
        <is>
          <t>N/A</t>
        </is>
      </c>
      <c r="F578" t="inlineStr"/>
      <c r="G578" t="inlineStr"/>
      <c r="H578" t="inlineStr">
        <is>
          <t>6.24%</t>
        </is>
      </c>
      <c r="I578" t="inlineStr">
        <is>
          <t>6.24%</t>
        </is>
      </c>
    </row>
    <row r="579">
      <c r="A579" s="2" t="n">
        <v>45966</v>
      </c>
      <c r="B579" t="inlineStr">
        <is>
          <t>R21126</t>
        </is>
      </c>
      <c r="C579" t="inlineStr">
        <is>
          <t>GICS_INDUSTRY_NAME</t>
        </is>
      </c>
      <c r="D579" t="inlineStr">
        <is>
          <t>Interactive Media &amp; Services</t>
        </is>
      </c>
      <c r="E579" t="inlineStr">
        <is>
          <t>N/A</t>
        </is>
      </c>
      <c r="F579" t="inlineStr"/>
      <c r="G579" t="inlineStr"/>
      <c r="H579" t="inlineStr">
        <is>
          <t>4.75%</t>
        </is>
      </c>
      <c r="I579" t="inlineStr">
        <is>
          <t>4.75%</t>
        </is>
      </c>
    </row>
    <row r="580">
      <c r="A580" s="2" t="n">
        <v>45966</v>
      </c>
      <c r="B580" t="inlineStr">
        <is>
          <t>R21126</t>
        </is>
      </c>
      <c r="C580" t="inlineStr">
        <is>
          <t>GICS_INDUSTRY_NAME</t>
        </is>
      </c>
      <c r="D580" t="inlineStr">
        <is>
          <t>Specialty Retail</t>
        </is>
      </c>
      <c r="E580" t="inlineStr">
        <is>
          <t>N/A</t>
        </is>
      </c>
      <c r="F580" t="inlineStr"/>
      <c r="G580" t="inlineStr"/>
      <c r="H580" t="inlineStr">
        <is>
          <t>4.14%</t>
        </is>
      </c>
      <c r="I580" t="inlineStr">
        <is>
          <t>4.14%</t>
        </is>
      </c>
    </row>
    <row r="581">
      <c r="A581" s="2" t="n">
        <v>45966</v>
      </c>
      <c r="B581" t="inlineStr">
        <is>
          <t>R21126</t>
        </is>
      </c>
      <c r="C581" t="inlineStr">
        <is>
          <t>GICS_INDUSTRY_GROUP_NAME</t>
        </is>
      </c>
      <c r="D581" t="inlineStr">
        <is>
          <t>Consumer Durables &amp; Apparel</t>
        </is>
      </c>
      <c r="E581" t="inlineStr">
        <is>
          <t>N/A</t>
        </is>
      </c>
      <c r="F581" t="inlineStr"/>
      <c r="G581" t="inlineStr"/>
      <c r="H581" t="inlineStr">
        <is>
          <t>4.14%</t>
        </is>
      </c>
      <c r="I581" t="inlineStr">
        <is>
          <t>4.14%</t>
        </is>
      </c>
    </row>
    <row r="582">
      <c r="A582" s="2" t="n">
        <v>45966</v>
      </c>
      <c r="B582" t="inlineStr">
        <is>
          <t>R21126</t>
        </is>
      </c>
      <c r="C582" t="inlineStr">
        <is>
          <t>GICS_INDUSTRY_NAME</t>
        </is>
      </c>
      <c r="D582" t="inlineStr">
        <is>
          <t>Household Durables</t>
        </is>
      </c>
      <c r="E582" t="inlineStr">
        <is>
          <t>N/A</t>
        </is>
      </c>
      <c r="F582" t="inlineStr"/>
      <c r="G582" t="inlineStr"/>
      <c r="H582" t="inlineStr">
        <is>
          <t>4.14%</t>
        </is>
      </c>
      <c r="I582" t="inlineStr">
        <is>
          <t>4.14%</t>
        </is>
      </c>
    </row>
    <row r="583">
      <c r="A583" s="2" t="n">
        <v>45966</v>
      </c>
      <c r="B583" t="inlineStr">
        <is>
          <t>R21126</t>
        </is>
      </c>
      <c r="C583" t="inlineStr">
        <is>
          <t>GICS_INDUSTRY_NAME</t>
        </is>
      </c>
      <c r="D583" t="inlineStr">
        <is>
          <t>Software</t>
        </is>
      </c>
      <c r="E583" t="inlineStr">
        <is>
          <t>N/A</t>
        </is>
      </c>
      <c r="F583" t="inlineStr"/>
      <c r="G583" t="inlineStr"/>
      <c r="H583" t="inlineStr">
        <is>
          <t>3.77%</t>
        </is>
      </c>
      <c r="I583" t="inlineStr">
        <is>
          <t>3.77%</t>
        </is>
      </c>
    </row>
    <row r="584">
      <c r="A584" s="2" t="n">
        <v>45966</v>
      </c>
      <c r="B584" t="inlineStr">
        <is>
          <t>R21126</t>
        </is>
      </c>
      <c r="C584" t="inlineStr">
        <is>
          <t>GICS_INDUSTRY_NAME</t>
        </is>
      </c>
      <c r="D584" t="inlineStr">
        <is>
          <t>Consumer Finance</t>
        </is>
      </c>
      <c r="E584" t="inlineStr">
        <is>
          <t>N/A</t>
        </is>
      </c>
      <c r="F584" t="inlineStr"/>
      <c r="G584" t="inlineStr"/>
      <c r="H584" t="inlineStr">
        <is>
          <t>3.77%</t>
        </is>
      </c>
      <c r="I584" t="inlineStr">
        <is>
          <t>3.77%</t>
        </is>
      </c>
    </row>
    <row r="585">
      <c r="A585" s="2" t="n">
        <v>45966</v>
      </c>
      <c r="B585" t="inlineStr">
        <is>
          <t>R21126</t>
        </is>
      </c>
      <c r="C585" t="inlineStr">
        <is>
          <t>GICS_INDUSTRY_GROUP_NAME</t>
        </is>
      </c>
      <c r="D585" t="inlineStr">
        <is>
          <t>Health Care Equipment &amp; Services</t>
        </is>
      </c>
      <c r="E585" t="inlineStr">
        <is>
          <t>N/A</t>
        </is>
      </c>
      <c r="F585" t="inlineStr"/>
      <c r="G585" t="inlineStr"/>
      <c r="H585" t="inlineStr">
        <is>
          <t>3.34%</t>
        </is>
      </c>
      <c r="I585" t="inlineStr">
        <is>
          <t>3.34%</t>
        </is>
      </c>
    </row>
    <row r="586">
      <c r="A586" s="2" t="n">
        <v>45966</v>
      </c>
      <c r="B586" t="inlineStr">
        <is>
          <t>R21126</t>
        </is>
      </c>
      <c r="C586" t="inlineStr">
        <is>
          <t>GICS_INDUSTRY_NAME</t>
        </is>
      </c>
      <c r="D586" t="inlineStr">
        <is>
          <t>IT Services</t>
        </is>
      </c>
      <c r="E586" t="inlineStr">
        <is>
          <t>N/A</t>
        </is>
      </c>
      <c r="F586" t="inlineStr"/>
      <c r="G586" t="inlineStr"/>
      <c r="H586" t="inlineStr">
        <is>
          <t>3.22%</t>
        </is>
      </c>
      <c r="I586" t="inlineStr">
        <is>
          <t>3.22%</t>
        </is>
      </c>
    </row>
    <row r="587">
      <c r="A587" s="2" t="n">
        <v>45966</v>
      </c>
      <c r="B587" t="inlineStr">
        <is>
          <t>R21126</t>
        </is>
      </c>
      <c r="C587" t="inlineStr">
        <is>
          <t>GICS_INDUSTRY_NAME</t>
        </is>
      </c>
      <c r="D587" t="inlineStr">
        <is>
          <t>Financial Services</t>
        </is>
      </c>
      <c r="E587" t="inlineStr">
        <is>
          <t>N/A</t>
        </is>
      </c>
      <c r="F587" t="inlineStr"/>
      <c r="G587" t="inlineStr"/>
      <c r="H587" t="inlineStr">
        <is>
          <t>3.14%</t>
        </is>
      </c>
      <c r="I587" t="inlineStr">
        <is>
          <t>3.14%</t>
        </is>
      </c>
    </row>
    <row r="588">
      <c r="A588" s="2" t="n">
        <v>45966</v>
      </c>
      <c r="B588" t="inlineStr">
        <is>
          <t>R21126</t>
        </is>
      </c>
      <c r="C588" t="inlineStr">
        <is>
          <t>GICS_INDUSTRY_GROUP_NAME</t>
        </is>
      </c>
      <c r="D588" t="inlineStr">
        <is>
          <t>Energy</t>
        </is>
      </c>
      <c r="E588" t="inlineStr">
        <is>
          <t>N/A</t>
        </is>
      </c>
      <c r="F588" t="inlineStr"/>
      <c r="G588" t="inlineStr"/>
      <c r="H588" t="inlineStr">
        <is>
          <t>2.88%</t>
        </is>
      </c>
      <c r="I588" t="inlineStr">
        <is>
          <t>2.88%</t>
        </is>
      </c>
    </row>
    <row r="589">
      <c r="A589" s="2" t="n">
        <v>45966</v>
      </c>
      <c r="B589" t="inlineStr">
        <is>
          <t>R21126</t>
        </is>
      </c>
      <c r="C589" t="inlineStr">
        <is>
          <t>GICS_INDUSTRY_GROUP_NAME</t>
        </is>
      </c>
      <c r="D589" t="inlineStr">
        <is>
          <t>Commercial &amp; Professional Services</t>
        </is>
      </c>
      <c r="E589" t="inlineStr">
        <is>
          <t>N/A</t>
        </is>
      </c>
      <c r="F589" t="inlineStr"/>
      <c r="G589" t="inlineStr"/>
      <c r="H589" t="inlineStr">
        <is>
          <t>2.76%</t>
        </is>
      </c>
      <c r="I589" t="inlineStr">
        <is>
          <t>2.76%</t>
        </is>
      </c>
    </row>
    <row r="590">
      <c r="A590" s="2" t="n">
        <v>45966</v>
      </c>
      <c r="B590" t="inlineStr">
        <is>
          <t>R21126</t>
        </is>
      </c>
      <c r="C590" t="inlineStr">
        <is>
          <t>GICS_INDUSTRY_NAME</t>
        </is>
      </c>
      <c r="D590" t="inlineStr">
        <is>
          <t>Professional Services</t>
        </is>
      </c>
      <c r="E590" t="inlineStr">
        <is>
          <t>N/A</t>
        </is>
      </c>
      <c r="F590" t="inlineStr"/>
      <c r="G590" t="inlineStr"/>
      <c r="H590" t="inlineStr">
        <is>
          <t>2.30%</t>
        </is>
      </c>
      <c r="I590" t="inlineStr">
        <is>
          <t>2.30%</t>
        </is>
      </c>
    </row>
    <row r="591">
      <c r="A591" s="2" t="n">
        <v>45966</v>
      </c>
      <c r="B591" t="inlineStr">
        <is>
          <t>R21126</t>
        </is>
      </c>
      <c r="C591" t="inlineStr">
        <is>
          <t>GICS_INDUSTRY_GROUP_NAME</t>
        </is>
      </c>
      <c r="D591" t="inlineStr">
        <is>
          <t>Technology Hardware &amp; Equipment</t>
        </is>
      </c>
      <c r="E591" t="inlineStr">
        <is>
          <t>N/A</t>
        </is>
      </c>
      <c r="F591" t="inlineStr"/>
      <c r="G591" t="inlineStr"/>
      <c r="H591" t="inlineStr">
        <is>
          <t>2.19%</t>
        </is>
      </c>
      <c r="I591" t="inlineStr">
        <is>
          <t>2.19%</t>
        </is>
      </c>
    </row>
    <row r="592">
      <c r="A592" s="2" t="n">
        <v>45966</v>
      </c>
      <c r="B592" t="inlineStr">
        <is>
          <t>R21126</t>
        </is>
      </c>
      <c r="C592" t="inlineStr">
        <is>
          <t>GICS_INDUSTRY_NAME</t>
        </is>
      </c>
      <c r="D592" t="inlineStr">
        <is>
          <t>Broadline Retail</t>
        </is>
      </c>
      <c r="E592" t="inlineStr">
        <is>
          <t>N/A</t>
        </is>
      </c>
      <c r="F592" t="inlineStr"/>
      <c r="G592" t="inlineStr"/>
      <c r="H592" t="inlineStr">
        <is>
          <t>2.10%</t>
        </is>
      </c>
      <c r="I592" t="inlineStr">
        <is>
          <t>2.10%</t>
        </is>
      </c>
    </row>
    <row r="593">
      <c r="A593" s="2" t="n">
        <v>45966</v>
      </c>
      <c r="B593" t="inlineStr">
        <is>
          <t>R21126</t>
        </is>
      </c>
      <c r="C593" t="inlineStr">
        <is>
          <t>GICS_INDUSTRY_NAME</t>
        </is>
      </c>
      <c r="D593" t="inlineStr">
        <is>
          <t>Energy Equipment &amp; Services</t>
        </is>
      </c>
      <c r="E593" t="inlineStr">
        <is>
          <t>N/A</t>
        </is>
      </c>
      <c r="F593" t="inlineStr"/>
      <c r="G593" t="inlineStr"/>
      <c r="H593" t="inlineStr">
        <is>
          <t>2.05%</t>
        </is>
      </c>
      <c r="I593" t="inlineStr">
        <is>
          <t>2.05%</t>
        </is>
      </c>
    </row>
    <row r="594">
      <c r="A594" s="2" t="n">
        <v>45966</v>
      </c>
      <c r="B594" t="inlineStr">
        <is>
          <t>R21126</t>
        </is>
      </c>
      <c r="C594" t="inlineStr">
        <is>
          <t>GICS_INDUSTRY_NAME</t>
        </is>
      </c>
      <c r="D594" t="inlineStr">
        <is>
          <t>Entertainment</t>
        </is>
      </c>
      <c r="E594" t="inlineStr">
        <is>
          <t>N/A</t>
        </is>
      </c>
      <c r="F594" t="inlineStr"/>
      <c r="G594" t="inlineStr"/>
      <c r="H594" t="inlineStr">
        <is>
          <t>1.90%</t>
        </is>
      </c>
      <c r="I594" t="inlineStr">
        <is>
          <t>1.90%</t>
        </is>
      </c>
    </row>
    <row r="595">
      <c r="A595" s="2" t="n">
        <v>45966</v>
      </c>
      <c r="B595" t="inlineStr">
        <is>
          <t>R21126</t>
        </is>
      </c>
      <c r="C595" t="inlineStr">
        <is>
          <t>GICS_INDUSTRY_NAME</t>
        </is>
      </c>
      <c r="D595" t="inlineStr">
        <is>
          <t>Aerospace &amp; Defense</t>
        </is>
      </c>
      <c r="E595" t="inlineStr">
        <is>
          <t>N/A</t>
        </is>
      </c>
      <c r="F595" t="inlineStr"/>
      <c r="G595" t="inlineStr"/>
      <c r="H595" t="inlineStr">
        <is>
          <t>1.76%</t>
        </is>
      </c>
      <c r="I595" t="inlineStr">
        <is>
          <t>1.76%</t>
        </is>
      </c>
    </row>
    <row r="596">
      <c r="A596" s="2" t="n">
        <v>45966</v>
      </c>
      <c r="B596" t="inlineStr">
        <is>
          <t>R21126</t>
        </is>
      </c>
      <c r="C596" t="inlineStr">
        <is>
          <t>GICS_INDUSTRY_NAME</t>
        </is>
      </c>
      <c r="D596" t="inlineStr">
        <is>
          <t>Health Care Equipment &amp; Supplies</t>
        </is>
      </c>
      <c r="E596" t="inlineStr">
        <is>
          <t>N/A</t>
        </is>
      </c>
      <c r="F596" t="inlineStr"/>
      <c r="G596" t="inlineStr"/>
      <c r="H596" t="inlineStr">
        <is>
          <t>1.73%</t>
        </is>
      </c>
      <c r="I596" t="inlineStr">
        <is>
          <t>1.73%</t>
        </is>
      </c>
    </row>
    <row r="597">
      <c r="A597" s="2" t="n">
        <v>45966</v>
      </c>
      <c r="B597" t="inlineStr">
        <is>
          <t>R21126</t>
        </is>
      </c>
      <c r="C597" t="inlineStr">
        <is>
          <t>GICS_INDUSTRY_GROUP_NAME</t>
        </is>
      </c>
      <c r="D597" t="inlineStr">
        <is>
          <t>Consumer Services</t>
        </is>
      </c>
      <c r="E597" t="inlineStr">
        <is>
          <t>N/A</t>
        </is>
      </c>
      <c r="F597" t="inlineStr"/>
      <c r="G597" t="inlineStr"/>
      <c r="H597" t="inlineStr">
        <is>
          <t>1.72%</t>
        </is>
      </c>
      <c r="I597" t="inlineStr">
        <is>
          <t>1.71%</t>
        </is>
      </c>
    </row>
    <row r="598">
      <c r="A598" s="2" t="n">
        <v>45966</v>
      </c>
      <c r="B598" t="inlineStr">
        <is>
          <t>R21126</t>
        </is>
      </c>
      <c r="C598" t="inlineStr">
        <is>
          <t>GICS_INDUSTRY_NAME</t>
        </is>
      </c>
      <c r="D598" t="inlineStr">
        <is>
          <t>Hotels, Restaurants &amp; Leisure</t>
        </is>
      </c>
      <c r="E598" t="inlineStr">
        <is>
          <t>N/A</t>
        </is>
      </c>
      <c r="F598" t="inlineStr"/>
      <c r="G598" t="inlineStr"/>
      <c r="H598" t="inlineStr">
        <is>
          <t>1.72%</t>
        </is>
      </c>
      <c r="I598" t="inlineStr">
        <is>
          <t>1.71%</t>
        </is>
      </c>
    </row>
    <row r="599">
      <c r="A599" s="2" t="n">
        <v>45966</v>
      </c>
      <c r="B599" t="inlineStr">
        <is>
          <t>R21126</t>
        </is>
      </c>
      <c r="C599" t="inlineStr">
        <is>
          <t>GICS_INDUSTRY_NAME</t>
        </is>
      </c>
      <c r="D599" t="inlineStr">
        <is>
          <t>Technology Hardware, Storage &amp; Peripherals</t>
        </is>
      </c>
      <c r="E599" t="inlineStr">
        <is>
          <t>N/A</t>
        </is>
      </c>
      <c r="F599" t="inlineStr"/>
      <c r="G599" t="inlineStr"/>
      <c r="H599" t="inlineStr">
        <is>
          <t>1.62%</t>
        </is>
      </c>
      <c r="I599" t="inlineStr">
        <is>
          <t>1.62%</t>
        </is>
      </c>
    </row>
    <row r="600">
      <c r="A600" s="2" t="n">
        <v>45966</v>
      </c>
      <c r="B600" t="inlineStr">
        <is>
          <t>R21126</t>
        </is>
      </c>
      <c r="C600" t="inlineStr">
        <is>
          <t>GICS_INDUSTRY_NAME</t>
        </is>
      </c>
      <c r="D600" t="inlineStr">
        <is>
          <t>Health Care Providers &amp; Services</t>
        </is>
      </c>
      <c r="E600" t="inlineStr">
        <is>
          <t>N/A</t>
        </is>
      </c>
      <c r="F600" t="inlineStr"/>
      <c r="G600" t="inlineStr"/>
      <c r="H600" t="inlineStr">
        <is>
          <t>1.61%</t>
        </is>
      </c>
      <c r="I600" t="inlineStr">
        <is>
          <t>1.61%</t>
        </is>
      </c>
    </row>
    <row r="601">
      <c r="A601" s="2" t="n">
        <v>45966</v>
      </c>
      <c r="B601" t="inlineStr">
        <is>
          <t>R21126</t>
        </is>
      </c>
      <c r="C601" t="inlineStr">
        <is>
          <t>GICS_INDUSTRY_NAME</t>
        </is>
      </c>
      <c r="D601" t="inlineStr">
        <is>
          <t>Construction &amp; Engineering</t>
        </is>
      </c>
      <c r="E601" t="inlineStr">
        <is>
          <t>N/A</t>
        </is>
      </c>
      <c r="F601" t="inlineStr"/>
      <c r="G601" t="inlineStr"/>
      <c r="H601" t="inlineStr">
        <is>
          <t>1.05%</t>
        </is>
      </c>
      <c r="I601" t="inlineStr">
        <is>
          <t>1.05%</t>
        </is>
      </c>
    </row>
    <row r="602">
      <c r="A602" s="2" t="n">
        <v>45966</v>
      </c>
      <c r="B602" t="inlineStr">
        <is>
          <t>R21126</t>
        </is>
      </c>
      <c r="C602" t="inlineStr">
        <is>
          <t>GICS_INDUSTRY_NAME</t>
        </is>
      </c>
      <c r="D602" t="inlineStr">
        <is>
          <t>Electrical Equipment</t>
        </is>
      </c>
      <c r="E602" t="inlineStr">
        <is>
          <t>N/A</t>
        </is>
      </c>
      <c r="F602" t="inlineStr"/>
      <c r="G602" t="inlineStr"/>
      <c r="H602" t="inlineStr">
        <is>
          <t>0.97%</t>
        </is>
      </c>
      <c r="I602" t="inlineStr">
        <is>
          <t>0.97%</t>
        </is>
      </c>
    </row>
    <row r="603">
      <c r="A603" s="2" t="n">
        <v>45966</v>
      </c>
      <c r="B603" t="inlineStr">
        <is>
          <t>R21126</t>
        </is>
      </c>
      <c r="C603" t="inlineStr">
        <is>
          <t>GICS_INDUSTRY_GROUP_NAME</t>
        </is>
      </c>
      <c r="D603" t="inlineStr">
        <is>
          <t>Consumer Staples Distribution &amp; Retail</t>
        </is>
      </c>
      <c r="E603" t="inlineStr">
        <is>
          <t>N/A</t>
        </is>
      </c>
      <c r="F603" t="inlineStr"/>
      <c r="G603" t="inlineStr"/>
      <c r="H603" t="inlineStr">
        <is>
          <t>0.89%</t>
        </is>
      </c>
      <c r="I603" t="inlineStr">
        <is>
          <t>0.89%</t>
        </is>
      </c>
    </row>
    <row r="604">
      <c r="A604" s="2" t="n">
        <v>45966</v>
      </c>
      <c r="B604" t="inlineStr">
        <is>
          <t>R21126</t>
        </is>
      </c>
      <c r="C604" t="inlineStr">
        <is>
          <t>GICS_INDUSTRY_NAME</t>
        </is>
      </c>
      <c r="D604" t="inlineStr">
        <is>
          <t>Consumer Staples Distribution &amp; Retail</t>
        </is>
      </c>
      <c r="E604" t="inlineStr">
        <is>
          <t>N/A</t>
        </is>
      </c>
      <c r="F604" t="inlineStr"/>
      <c r="G604" t="inlineStr"/>
      <c r="H604" t="inlineStr">
        <is>
          <t>0.89%</t>
        </is>
      </c>
      <c r="I604" t="inlineStr">
        <is>
          <t>0.89%</t>
        </is>
      </c>
    </row>
    <row r="605">
      <c r="A605" s="2" t="n">
        <v>45966</v>
      </c>
      <c r="B605" t="inlineStr">
        <is>
          <t>R21126</t>
        </is>
      </c>
      <c r="C605" t="inlineStr">
        <is>
          <t>GICS_INDUSTRY_NAME</t>
        </is>
      </c>
      <c r="D605" t="inlineStr">
        <is>
          <t>Oil, Gas &amp; Consumable Fuels</t>
        </is>
      </c>
      <c r="E605" t="inlineStr">
        <is>
          <t>N/A</t>
        </is>
      </c>
      <c r="F605" t="inlineStr"/>
      <c r="G605" t="inlineStr"/>
      <c r="H605" t="inlineStr">
        <is>
          <t>0.83%</t>
        </is>
      </c>
      <c r="I605" t="inlineStr">
        <is>
          <t>0.83%</t>
        </is>
      </c>
    </row>
    <row r="606">
      <c r="A606" s="2" t="n">
        <v>45966</v>
      </c>
      <c r="B606" t="inlineStr">
        <is>
          <t>R21126</t>
        </is>
      </c>
      <c r="C606" t="inlineStr">
        <is>
          <t>GICS_INDUSTRY_GROUP_NAME</t>
        </is>
      </c>
      <c r="D606" t="inlineStr">
        <is>
          <t>Transportation</t>
        </is>
      </c>
      <c r="E606" t="inlineStr">
        <is>
          <t>N/A</t>
        </is>
      </c>
      <c r="F606" t="inlineStr"/>
      <c r="G606" t="inlineStr"/>
      <c r="H606" t="inlineStr">
        <is>
          <t>0.75%</t>
        </is>
      </c>
      <c r="I606" t="inlineStr">
        <is>
          <t>0.75%</t>
        </is>
      </c>
    </row>
    <row r="607">
      <c r="A607" s="2" t="n">
        <v>45966</v>
      </c>
      <c r="B607" t="inlineStr">
        <is>
          <t>R21126</t>
        </is>
      </c>
      <c r="C607" t="inlineStr">
        <is>
          <t>GICS_INDUSTRY_NAME</t>
        </is>
      </c>
      <c r="D607" t="inlineStr">
        <is>
          <t>Ground Transportation</t>
        </is>
      </c>
      <c r="E607" t="inlineStr">
        <is>
          <t>N/A</t>
        </is>
      </c>
      <c r="F607" t="inlineStr"/>
      <c r="G607" t="inlineStr"/>
      <c r="H607" t="inlineStr">
        <is>
          <t>0.75%</t>
        </is>
      </c>
      <c r="I607" t="inlineStr">
        <is>
          <t>0.75%</t>
        </is>
      </c>
    </row>
    <row r="608">
      <c r="A608" s="2" t="n">
        <v>45966</v>
      </c>
      <c r="B608" t="inlineStr">
        <is>
          <t>R21126</t>
        </is>
      </c>
      <c r="C608" t="inlineStr">
        <is>
          <t>GICS_INDUSTRY_NAME</t>
        </is>
      </c>
      <c r="D608" t="inlineStr">
        <is>
          <t>Communications Equipment</t>
        </is>
      </c>
      <c r="E608" t="inlineStr">
        <is>
          <t>N/A</t>
        </is>
      </c>
      <c r="F608" t="inlineStr"/>
      <c r="G608" t="inlineStr"/>
      <c r="H608" t="inlineStr">
        <is>
          <t>0.57%</t>
        </is>
      </c>
      <c r="I608" t="inlineStr">
        <is>
          <t>0.57%</t>
        </is>
      </c>
    </row>
    <row r="609">
      <c r="A609" s="2" t="n">
        <v>45966</v>
      </c>
      <c r="B609" t="inlineStr">
        <is>
          <t>R21126</t>
        </is>
      </c>
      <c r="C609" t="inlineStr">
        <is>
          <t>GICS_INDUSTRY_GROUP_NAME</t>
        </is>
      </c>
      <c r="D609" t="inlineStr">
        <is>
          <t>Food, Beverage &amp; Tobacco</t>
        </is>
      </c>
      <c r="E609" t="inlineStr">
        <is>
          <t>N/A</t>
        </is>
      </c>
      <c r="F609" t="inlineStr"/>
      <c r="G609" t="inlineStr"/>
      <c r="H609" t="inlineStr">
        <is>
          <t>0.57%</t>
        </is>
      </c>
      <c r="I609" t="inlineStr">
        <is>
          <t>0.57%</t>
        </is>
      </c>
    </row>
    <row r="610">
      <c r="A610" s="2" t="n">
        <v>45966</v>
      </c>
      <c r="B610" t="inlineStr">
        <is>
          <t>R21126</t>
        </is>
      </c>
      <c r="C610" t="inlineStr">
        <is>
          <t>GICS_INDUSTRY_NAME</t>
        </is>
      </c>
      <c r="D610" t="inlineStr">
        <is>
          <t>Beverages</t>
        </is>
      </c>
      <c r="E610" t="inlineStr">
        <is>
          <t>N/A</t>
        </is>
      </c>
      <c r="F610" t="inlineStr"/>
      <c r="G610" t="inlineStr"/>
      <c r="H610" t="inlineStr">
        <is>
          <t>0.57%</t>
        </is>
      </c>
      <c r="I610" t="inlineStr">
        <is>
          <t>0.57%</t>
        </is>
      </c>
    </row>
    <row r="611">
      <c r="A611" s="2" t="n">
        <v>45966</v>
      </c>
      <c r="B611" t="inlineStr">
        <is>
          <t>R21126</t>
        </is>
      </c>
      <c r="C611" t="inlineStr">
        <is>
          <t>GICS_INDUSTRY_NAME</t>
        </is>
      </c>
      <c r="D611" t="inlineStr">
        <is>
          <t>Media</t>
        </is>
      </c>
      <c r="E611" t="inlineStr">
        <is>
          <t>N/A</t>
        </is>
      </c>
      <c r="F611" t="inlineStr"/>
      <c r="G611" t="inlineStr"/>
      <c r="H611" t="inlineStr">
        <is>
          <t>0.54%</t>
        </is>
      </c>
      <c r="I611" t="inlineStr">
        <is>
          <t>0.54%</t>
        </is>
      </c>
    </row>
    <row r="612">
      <c r="A612" s="2" t="n">
        <v>45966</v>
      </c>
      <c r="B612" t="inlineStr">
        <is>
          <t>R21126</t>
        </is>
      </c>
      <c r="C612" t="inlineStr">
        <is>
          <t>GICS_INDUSTRY_GROUP_NAME</t>
        </is>
      </c>
      <c r="D612" t="inlineStr">
        <is>
          <t>Pharmaceuticals, Biotechnology &amp; Life Sciences</t>
        </is>
      </c>
      <c r="E612" t="inlineStr">
        <is>
          <t>N/A</t>
        </is>
      </c>
      <c r="F612" t="inlineStr"/>
      <c r="G612" t="inlineStr"/>
      <c r="H612" t="inlineStr">
        <is>
          <t>0.53%</t>
        </is>
      </c>
      <c r="I612" t="inlineStr">
        <is>
          <t>0.53%</t>
        </is>
      </c>
    </row>
    <row r="613">
      <c r="A613" s="2" t="n">
        <v>45966</v>
      </c>
      <c r="B613" t="inlineStr">
        <is>
          <t>R21126</t>
        </is>
      </c>
      <c r="C613" t="inlineStr">
        <is>
          <t>GICS_INDUSTRY_NAME</t>
        </is>
      </c>
      <c r="D613" t="inlineStr">
        <is>
          <t>Pharmaceuticals</t>
        </is>
      </c>
      <c r="E613" t="inlineStr">
        <is>
          <t>N/A</t>
        </is>
      </c>
      <c r="F613" t="inlineStr"/>
      <c r="G613" t="inlineStr"/>
      <c r="H613" t="inlineStr">
        <is>
          <t>0.53%</t>
        </is>
      </c>
      <c r="I613" t="inlineStr">
        <is>
          <t>0.53%</t>
        </is>
      </c>
    </row>
    <row r="614">
      <c r="A614" s="2" t="n">
        <v>45966</v>
      </c>
      <c r="B614" t="inlineStr">
        <is>
          <t>R21126</t>
        </is>
      </c>
      <c r="C614" t="inlineStr">
        <is>
          <t>GICS_INDUSTRY_NAME</t>
        </is>
      </c>
      <c r="D614" t="inlineStr">
        <is>
          <t>Commercial Services &amp; Supplies</t>
        </is>
      </c>
      <c r="E614" t="inlineStr">
        <is>
          <t>N/A</t>
        </is>
      </c>
      <c r="F614" t="inlineStr"/>
      <c r="G614" t="inlineStr"/>
      <c r="H614" t="inlineStr">
        <is>
          <t>0.47%</t>
        </is>
      </c>
      <c r="I614" t="inlineStr">
        <is>
          <t>0.47%</t>
        </is>
      </c>
    </row>
    <row r="615">
      <c r="A615" s="2" t="n">
        <v>45966</v>
      </c>
      <c r="B615" t="inlineStr">
        <is>
          <t>R21126</t>
        </is>
      </c>
      <c r="C615" t="inlineStr">
        <is>
          <t>GICS_INDUSTRY_GROUP_NAME</t>
        </is>
      </c>
      <c r="D615" t="inlineStr">
        <is>
          <t>Materials</t>
        </is>
      </c>
      <c r="E615" t="inlineStr">
        <is>
          <t>N/A</t>
        </is>
      </c>
      <c r="F615" t="inlineStr"/>
      <c r="G615" t="inlineStr"/>
      <c r="H615" t="inlineStr">
        <is>
          <t>0.45%</t>
        </is>
      </c>
      <c r="I615" t="inlineStr">
        <is>
          <t>0.45%</t>
        </is>
      </c>
    </row>
    <row r="616">
      <c r="A616" s="2" t="n">
        <v>45966</v>
      </c>
      <c r="B616" t="inlineStr">
        <is>
          <t>R21126</t>
        </is>
      </c>
      <c r="C616" t="inlineStr">
        <is>
          <t>GICS_INDUSTRY_NAME</t>
        </is>
      </c>
      <c r="D616" t="inlineStr">
        <is>
          <t>Chemicals</t>
        </is>
      </c>
      <c r="E616" t="inlineStr">
        <is>
          <t>N/A</t>
        </is>
      </c>
      <c r="F616" t="inlineStr"/>
      <c r="G616" t="inlineStr"/>
      <c r="H616" t="inlineStr">
        <is>
          <t>0.45%</t>
        </is>
      </c>
      <c r="I616" t="inlineStr">
        <is>
          <t>0.45%</t>
        </is>
      </c>
    </row>
    <row r="617">
      <c r="A617" s="2" t="n">
        <v>45966</v>
      </c>
      <c r="B617" t="inlineStr">
        <is>
          <t>R21126</t>
        </is>
      </c>
      <c r="C617" t="inlineStr">
        <is>
          <t>GICS_INDUSTRY_NAME</t>
        </is>
      </c>
      <c r="D617" t="inlineStr">
        <is>
          <t>Building Products</t>
        </is>
      </c>
      <c r="E617" t="inlineStr">
        <is>
          <t>N/A</t>
        </is>
      </c>
      <c r="F617" t="inlineStr"/>
      <c r="G617" t="inlineStr"/>
      <c r="H617" t="inlineStr">
        <is>
          <t>0.34%</t>
        </is>
      </c>
      <c r="I617" t="inlineStr">
        <is>
          <t>0.34%</t>
        </is>
      </c>
    </row>
    <row r="618">
      <c r="A618" s="2" t="n">
        <v>45966</v>
      </c>
      <c r="B618" t="inlineStr">
        <is>
          <t>RDVI</t>
        </is>
      </c>
      <c r="C618" t="inlineStr">
        <is>
          <t>GICS_INDUSTRY_GROUP_NAME</t>
        </is>
      </c>
      <c r="D618" t="inlineStr">
        <is>
          <t>Financial Services</t>
        </is>
      </c>
      <c r="E618" t="inlineStr">
        <is>
          <t>N/A</t>
        </is>
      </c>
      <c r="F618" t="inlineStr"/>
      <c r="G618" t="inlineStr"/>
      <c r="H618" t="inlineStr">
        <is>
          <t>15.40%</t>
        </is>
      </c>
      <c r="I618" t="inlineStr">
        <is>
          <t>15.40%</t>
        </is>
      </c>
    </row>
    <row r="619">
      <c r="A619" s="2" t="n">
        <v>45966</v>
      </c>
      <c r="B619" t="inlineStr">
        <is>
          <t>RDVI</t>
        </is>
      </c>
      <c r="C619" t="inlineStr">
        <is>
          <t>GICS_INDUSTRY_GROUP_NAME</t>
        </is>
      </c>
      <c r="D619" t="inlineStr">
        <is>
          <t>Semiconductors &amp; Semiconductor Equipment</t>
        </is>
      </c>
      <c r="E619" t="inlineStr">
        <is>
          <t>N/A</t>
        </is>
      </c>
      <c r="F619" t="inlineStr"/>
      <c r="G619" t="inlineStr"/>
      <c r="H619" t="inlineStr">
        <is>
          <t>14.69%</t>
        </is>
      </c>
      <c r="I619" t="inlineStr">
        <is>
          <t>14.69%</t>
        </is>
      </c>
    </row>
    <row r="620">
      <c r="A620" s="2" t="n">
        <v>45966</v>
      </c>
      <c r="B620" t="inlineStr">
        <is>
          <t>RDVI</t>
        </is>
      </c>
      <c r="C620" t="inlineStr">
        <is>
          <t>GICS_INDUSTRY_NAME</t>
        </is>
      </c>
      <c r="D620" t="inlineStr">
        <is>
          <t>Semiconductors &amp; Semiconductor Equipment</t>
        </is>
      </c>
      <c r="E620" t="inlineStr">
        <is>
          <t>N/A</t>
        </is>
      </c>
      <c r="F620" t="inlineStr"/>
      <c r="G620" t="inlineStr"/>
      <c r="H620" t="inlineStr">
        <is>
          <t>14.69%</t>
        </is>
      </c>
      <c r="I620" t="inlineStr">
        <is>
          <t>14.69%</t>
        </is>
      </c>
    </row>
    <row r="621">
      <c r="A621" s="2" t="n">
        <v>45966</v>
      </c>
      <c r="B621" t="inlineStr">
        <is>
          <t>RDVI</t>
        </is>
      </c>
      <c r="C621" t="inlineStr">
        <is>
          <t>GICS_INDUSTRY_GROUP_NAME</t>
        </is>
      </c>
      <c r="D621" t="inlineStr">
        <is>
          <t>Insurance</t>
        </is>
      </c>
      <c r="E621" t="inlineStr">
        <is>
          <t>N/A</t>
        </is>
      </c>
      <c r="F621" t="inlineStr"/>
      <c r="G621" t="inlineStr"/>
      <c r="H621" t="inlineStr">
        <is>
          <t>11.86%</t>
        </is>
      </c>
      <c r="I621" t="inlineStr">
        <is>
          <t>11.86%</t>
        </is>
      </c>
    </row>
    <row r="622">
      <c r="A622" s="2" t="n">
        <v>45966</v>
      </c>
      <c r="B622" t="inlineStr">
        <is>
          <t>RDVI</t>
        </is>
      </c>
      <c r="C622" t="inlineStr">
        <is>
          <t>GICS_INDUSTRY_NAME</t>
        </is>
      </c>
      <c r="D622" t="inlineStr">
        <is>
          <t>Insurance</t>
        </is>
      </c>
      <c r="E622" t="inlineStr">
        <is>
          <t>N/A</t>
        </is>
      </c>
      <c r="F622" t="inlineStr"/>
      <c r="G622" t="inlineStr"/>
      <c r="H622" t="inlineStr">
        <is>
          <t>11.86%</t>
        </is>
      </c>
      <c r="I622" t="inlineStr">
        <is>
          <t>11.86%</t>
        </is>
      </c>
    </row>
    <row r="623">
      <c r="A623" s="2" t="n">
        <v>45966</v>
      </c>
      <c r="B623" t="inlineStr">
        <is>
          <t>RDVI</t>
        </is>
      </c>
      <c r="C623" t="inlineStr">
        <is>
          <t>GICS_INDUSTRY_GROUP_NAME</t>
        </is>
      </c>
      <c r="D623" t="inlineStr">
        <is>
          <t>Capital Goods</t>
        </is>
      </c>
      <c r="E623" t="inlineStr">
        <is>
          <t>N/A</t>
        </is>
      </c>
      <c r="F623" t="inlineStr"/>
      <c r="G623" t="inlineStr"/>
      <c r="H623" t="inlineStr">
        <is>
          <t>10.67%</t>
        </is>
      </c>
      <c r="I623" t="inlineStr">
        <is>
          <t>10.67%</t>
        </is>
      </c>
    </row>
    <row r="624">
      <c r="A624" s="2" t="n">
        <v>45966</v>
      </c>
      <c r="B624" t="inlineStr">
        <is>
          <t>RDVI</t>
        </is>
      </c>
      <c r="C624" t="inlineStr">
        <is>
          <t>GICS_INDUSTRY_NAME</t>
        </is>
      </c>
      <c r="D624" t="inlineStr">
        <is>
          <t>Capital Markets</t>
        </is>
      </c>
      <c r="E624" t="inlineStr">
        <is>
          <t>N/A</t>
        </is>
      </c>
      <c r="F624" t="inlineStr"/>
      <c r="G624" t="inlineStr"/>
      <c r="H624" t="inlineStr">
        <is>
          <t>8.49%</t>
        </is>
      </c>
      <c r="I624" t="inlineStr">
        <is>
          <t>8.49%</t>
        </is>
      </c>
    </row>
    <row r="625">
      <c r="A625" s="2" t="n">
        <v>45966</v>
      </c>
      <c r="B625" t="inlineStr">
        <is>
          <t>RDVI</t>
        </is>
      </c>
      <c r="C625" t="inlineStr">
        <is>
          <t>GICS_INDUSTRY_GROUP_NAME</t>
        </is>
      </c>
      <c r="D625" t="inlineStr">
        <is>
          <t>Media &amp; Entertainment</t>
        </is>
      </c>
      <c r="E625" t="inlineStr">
        <is>
          <t>N/A</t>
        </is>
      </c>
      <c r="F625" t="inlineStr"/>
      <c r="G625" t="inlineStr"/>
      <c r="H625" t="inlineStr">
        <is>
          <t>7.18%</t>
        </is>
      </c>
      <c r="I625" t="inlineStr">
        <is>
          <t>7.18%</t>
        </is>
      </c>
    </row>
    <row r="626">
      <c r="A626" s="2" t="n">
        <v>45966</v>
      </c>
      <c r="B626" t="inlineStr">
        <is>
          <t>RDVI</t>
        </is>
      </c>
      <c r="C626" t="inlineStr">
        <is>
          <t>GICS_INDUSTRY_GROUP_NAME</t>
        </is>
      </c>
      <c r="D626" t="inlineStr">
        <is>
          <t>Software &amp; Services</t>
        </is>
      </c>
      <c r="E626" t="inlineStr">
        <is>
          <t>N/A</t>
        </is>
      </c>
      <c r="F626" t="inlineStr"/>
      <c r="G626" t="inlineStr"/>
      <c r="H626" t="inlineStr">
        <is>
          <t>6.99%</t>
        </is>
      </c>
      <c r="I626" t="inlineStr">
        <is>
          <t>6.99%</t>
        </is>
      </c>
    </row>
    <row r="627">
      <c r="A627" s="2" t="n">
        <v>45966</v>
      </c>
      <c r="B627" t="inlineStr">
        <is>
          <t>RDVI</t>
        </is>
      </c>
      <c r="C627" t="inlineStr">
        <is>
          <t>GICS_INDUSTRY_GROUP_NAME</t>
        </is>
      </c>
      <c r="D627" t="inlineStr">
        <is>
          <t>Banks</t>
        </is>
      </c>
      <c r="E627" t="inlineStr">
        <is>
          <t>N/A</t>
        </is>
      </c>
      <c r="F627" t="inlineStr"/>
      <c r="G627" t="inlineStr"/>
      <c r="H627" t="inlineStr">
        <is>
          <t>6.75%</t>
        </is>
      </c>
      <c r="I627" t="inlineStr">
        <is>
          <t>6.75%</t>
        </is>
      </c>
    </row>
    <row r="628">
      <c r="A628" s="2" t="n">
        <v>45966</v>
      </c>
      <c r="B628" t="inlineStr">
        <is>
          <t>RDVI</t>
        </is>
      </c>
      <c r="C628" t="inlineStr">
        <is>
          <t>GICS_INDUSTRY_NAME</t>
        </is>
      </c>
      <c r="D628" t="inlineStr">
        <is>
          <t>Banks</t>
        </is>
      </c>
      <c r="E628" t="inlineStr">
        <is>
          <t>N/A</t>
        </is>
      </c>
      <c r="F628" t="inlineStr"/>
      <c r="G628" t="inlineStr"/>
      <c r="H628" t="inlineStr">
        <is>
          <t>6.75%</t>
        </is>
      </c>
      <c r="I628" t="inlineStr">
        <is>
          <t>6.75%</t>
        </is>
      </c>
    </row>
    <row r="629">
      <c r="A629" s="2" t="n">
        <v>45966</v>
      </c>
      <c r="B629" t="inlineStr">
        <is>
          <t>RDVI</t>
        </is>
      </c>
      <c r="C629" t="inlineStr">
        <is>
          <t>GICS_INDUSTRY_NAME</t>
        </is>
      </c>
      <c r="D629" t="inlineStr">
        <is>
          <t>Machinery</t>
        </is>
      </c>
      <c r="E629" t="inlineStr">
        <is>
          <t>N/A</t>
        </is>
      </c>
      <c r="F629" t="inlineStr"/>
      <c r="G629" t="inlineStr"/>
      <c r="H629" t="inlineStr">
        <is>
          <t>6.54%</t>
        </is>
      </c>
      <c r="I629" t="inlineStr">
        <is>
          <t>6.54%</t>
        </is>
      </c>
    </row>
    <row r="630">
      <c r="A630" s="2" t="n">
        <v>45966</v>
      </c>
      <c r="B630" t="inlineStr">
        <is>
          <t>RDVI</t>
        </is>
      </c>
      <c r="C630" t="inlineStr">
        <is>
          <t>GICS_INDUSTRY_GROUP_NAME</t>
        </is>
      </c>
      <c r="D630" t="inlineStr">
        <is>
          <t>Consumer Discretionary Distribution &amp; Retail</t>
        </is>
      </c>
      <c r="E630" t="inlineStr">
        <is>
          <t>N/A</t>
        </is>
      </c>
      <c r="F630" t="inlineStr"/>
      <c r="G630" t="inlineStr"/>
      <c r="H630" t="inlineStr">
        <is>
          <t>6.24%</t>
        </is>
      </c>
      <c r="I630" t="inlineStr">
        <is>
          <t>6.24%</t>
        </is>
      </c>
    </row>
    <row r="631">
      <c r="A631" s="2" t="n">
        <v>45966</v>
      </c>
      <c r="B631" t="inlineStr">
        <is>
          <t>RDVI</t>
        </is>
      </c>
      <c r="C631" t="inlineStr">
        <is>
          <t>GICS_INDUSTRY_NAME</t>
        </is>
      </c>
      <c r="D631" t="inlineStr">
        <is>
          <t>Interactive Media &amp; Services</t>
        </is>
      </c>
      <c r="E631" t="inlineStr">
        <is>
          <t>N/A</t>
        </is>
      </c>
      <c r="F631" t="inlineStr"/>
      <c r="G631" t="inlineStr"/>
      <c r="H631" t="inlineStr">
        <is>
          <t>4.75%</t>
        </is>
      </c>
      <c r="I631" t="inlineStr">
        <is>
          <t>4.75%</t>
        </is>
      </c>
    </row>
    <row r="632">
      <c r="A632" s="2" t="n">
        <v>45966</v>
      </c>
      <c r="B632" t="inlineStr">
        <is>
          <t>RDVI</t>
        </is>
      </c>
      <c r="C632" t="inlineStr">
        <is>
          <t>GICS_INDUSTRY_NAME</t>
        </is>
      </c>
      <c r="D632" t="inlineStr">
        <is>
          <t>Specialty Retail</t>
        </is>
      </c>
      <c r="E632" t="inlineStr">
        <is>
          <t>N/A</t>
        </is>
      </c>
      <c r="F632" t="inlineStr"/>
      <c r="G632" t="inlineStr"/>
      <c r="H632" t="inlineStr">
        <is>
          <t>4.14%</t>
        </is>
      </c>
      <c r="I632" t="inlineStr">
        <is>
          <t>4.14%</t>
        </is>
      </c>
    </row>
    <row r="633">
      <c r="A633" s="2" t="n">
        <v>45966</v>
      </c>
      <c r="B633" t="inlineStr">
        <is>
          <t>RDVI</t>
        </is>
      </c>
      <c r="C633" t="inlineStr">
        <is>
          <t>GICS_INDUSTRY_GROUP_NAME</t>
        </is>
      </c>
      <c r="D633" t="inlineStr">
        <is>
          <t>Consumer Durables &amp; Apparel</t>
        </is>
      </c>
      <c r="E633" t="inlineStr">
        <is>
          <t>N/A</t>
        </is>
      </c>
      <c r="F633" t="inlineStr"/>
      <c r="G633" t="inlineStr"/>
      <c r="H633" t="inlineStr">
        <is>
          <t>4.14%</t>
        </is>
      </c>
      <c r="I633" t="inlineStr">
        <is>
          <t>4.14%</t>
        </is>
      </c>
    </row>
    <row r="634">
      <c r="A634" s="2" t="n">
        <v>45966</v>
      </c>
      <c r="B634" t="inlineStr">
        <is>
          <t>RDVI</t>
        </is>
      </c>
      <c r="C634" t="inlineStr">
        <is>
          <t>GICS_INDUSTRY_NAME</t>
        </is>
      </c>
      <c r="D634" t="inlineStr">
        <is>
          <t>Household Durables</t>
        </is>
      </c>
      <c r="E634" t="inlineStr">
        <is>
          <t>N/A</t>
        </is>
      </c>
      <c r="F634" t="inlineStr"/>
      <c r="G634" t="inlineStr"/>
      <c r="H634" t="inlineStr">
        <is>
          <t>4.14%</t>
        </is>
      </c>
      <c r="I634" t="inlineStr">
        <is>
          <t>4.14%</t>
        </is>
      </c>
    </row>
    <row r="635">
      <c r="A635" s="2" t="n">
        <v>45966</v>
      </c>
      <c r="B635" t="inlineStr">
        <is>
          <t>RDVI</t>
        </is>
      </c>
      <c r="C635" t="inlineStr">
        <is>
          <t>GICS_INDUSTRY_NAME</t>
        </is>
      </c>
      <c r="D635" t="inlineStr">
        <is>
          <t>Software</t>
        </is>
      </c>
      <c r="E635" t="inlineStr">
        <is>
          <t>N/A</t>
        </is>
      </c>
      <c r="F635" t="inlineStr"/>
      <c r="G635" t="inlineStr"/>
      <c r="H635" t="inlineStr">
        <is>
          <t>3.77%</t>
        </is>
      </c>
      <c r="I635" t="inlineStr">
        <is>
          <t>3.77%</t>
        </is>
      </c>
    </row>
    <row r="636">
      <c r="A636" s="2" t="n">
        <v>45966</v>
      </c>
      <c r="B636" t="inlineStr">
        <is>
          <t>RDVI</t>
        </is>
      </c>
      <c r="C636" t="inlineStr">
        <is>
          <t>GICS_INDUSTRY_NAME</t>
        </is>
      </c>
      <c r="D636" t="inlineStr">
        <is>
          <t>Consumer Finance</t>
        </is>
      </c>
      <c r="E636" t="inlineStr">
        <is>
          <t>N/A</t>
        </is>
      </c>
      <c r="F636" t="inlineStr"/>
      <c r="G636" t="inlineStr"/>
      <c r="H636" t="inlineStr">
        <is>
          <t>3.77%</t>
        </is>
      </c>
      <c r="I636" t="inlineStr">
        <is>
          <t>3.77%</t>
        </is>
      </c>
    </row>
    <row r="637">
      <c r="A637" s="2" t="n">
        <v>45966</v>
      </c>
      <c r="B637" t="inlineStr">
        <is>
          <t>RDVI</t>
        </is>
      </c>
      <c r="C637" t="inlineStr">
        <is>
          <t>GICS_INDUSTRY_GROUP_NAME</t>
        </is>
      </c>
      <c r="D637" t="inlineStr">
        <is>
          <t>Health Care Equipment &amp; Services</t>
        </is>
      </c>
      <c r="E637" t="inlineStr">
        <is>
          <t>N/A</t>
        </is>
      </c>
      <c r="F637" t="inlineStr"/>
      <c r="G637" t="inlineStr"/>
      <c r="H637" t="inlineStr">
        <is>
          <t>3.34%</t>
        </is>
      </c>
      <c r="I637" t="inlineStr">
        <is>
          <t>3.34%</t>
        </is>
      </c>
    </row>
    <row r="638">
      <c r="A638" s="2" t="n">
        <v>45966</v>
      </c>
      <c r="B638" t="inlineStr">
        <is>
          <t>RDVI</t>
        </is>
      </c>
      <c r="C638" t="inlineStr">
        <is>
          <t>GICS_INDUSTRY_NAME</t>
        </is>
      </c>
      <c r="D638" t="inlineStr">
        <is>
          <t>IT Services</t>
        </is>
      </c>
      <c r="E638" t="inlineStr">
        <is>
          <t>N/A</t>
        </is>
      </c>
      <c r="F638" t="inlineStr"/>
      <c r="G638" t="inlineStr"/>
      <c r="H638" t="inlineStr">
        <is>
          <t>3.22%</t>
        </is>
      </c>
      <c r="I638" t="inlineStr">
        <is>
          <t>3.22%</t>
        </is>
      </c>
    </row>
    <row r="639">
      <c r="A639" s="2" t="n">
        <v>45966</v>
      </c>
      <c r="B639" t="inlineStr">
        <is>
          <t>RDVI</t>
        </is>
      </c>
      <c r="C639" t="inlineStr">
        <is>
          <t>GICS_INDUSTRY_NAME</t>
        </is>
      </c>
      <c r="D639" t="inlineStr">
        <is>
          <t>Financial Services</t>
        </is>
      </c>
      <c r="E639" t="inlineStr">
        <is>
          <t>N/A</t>
        </is>
      </c>
      <c r="F639" t="inlineStr"/>
      <c r="G639" t="inlineStr"/>
      <c r="H639" t="inlineStr">
        <is>
          <t>3.14%</t>
        </is>
      </c>
      <c r="I639" t="inlineStr">
        <is>
          <t>3.14%</t>
        </is>
      </c>
    </row>
    <row r="640">
      <c r="A640" s="2" t="n">
        <v>45966</v>
      </c>
      <c r="B640" t="inlineStr">
        <is>
          <t>RDVI</t>
        </is>
      </c>
      <c r="C640" t="inlineStr">
        <is>
          <t>GICS_INDUSTRY_GROUP_NAME</t>
        </is>
      </c>
      <c r="D640" t="inlineStr">
        <is>
          <t>Energy</t>
        </is>
      </c>
      <c r="E640" t="inlineStr">
        <is>
          <t>N/A</t>
        </is>
      </c>
      <c r="F640" t="inlineStr"/>
      <c r="G640" t="inlineStr"/>
      <c r="H640" t="inlineStr">
        <is>
          <t>2.88%</t>
        </is>
      </c>
      <c r="I640" t="inlineStr">
        <is>
          <t>2.88%</t>
        </is>
      </c>
    </row>
    <row r="641">
      <c r="A641" s="2" t="n">
        <v>45966</v>
      </c>
      <c r="B641" t="inlineStr">
        <is>
          <t>RDVI</t>
        </is>
      </c>
      <c r="C641" t="inlineStr">
        <is>
          <t>GICS_INDUSTRY_GROUP_NAME</t>
        </is>
      </c>
      <c r="D641" t="inlineStr">
        <is>
          <t>Commercial &amp; Professional Services</t>
        </is>
      </c>
      <c r="E641" t="inlineStr">
        <is>
          <t>N/A</t>
        </is>
      </c>
      <c r="F641" t="inlineStr"/>
      <c r="G641" t="inlineStr"/>
      <c r="H641" t="inlineStr">
        <is>
          <t>2.76%</t>
        </is>
      </c>
      <c r="I641" t="inlineStr">
        <is>
          <t>2.76%</t>
        </is>
      </c>
    </row>
    <row r="642">
      <c r="A642" s="2" t="n">
        <v>45966</v>
      </c>
      <c r="B642" t="inlineStr">
        <is>
          <t>RDVI</t>
        </is>
      </c>
      <c r="C642" t="inlineStr">
        <is>
          <t>GICS_INDUSTRY_NAME</t>
        </is>
      </c>
      <c r="D642" t="inlineStr">
        <is>
          <t>Professional Services</t>
        </is>
      </c>
      <c r="E642" t="inlineStr">
        <is>
          <t>N/A</t>
        </is>
      </c>
      <c r="F642" t="inlineStr"/>
      <c r="G642" t="inlineStr"/>
      <c r="H642" t="inlineStr">
        <is>
          <t>2.30%</t>
        </is>
      </c>
      <c r="I642" t="inlineStr">
        <is>
          <t>2.30%</t>
        </is>
      </c>
    </row>
    <row r="643">
      <c r="A643" s="2" t="n">
        <v>45966</v>
      </c>
      <c r="B643" t="inlineStr">
        <is>
          <t>RDVI</t>
        </is>
      </c>
      <c r="C643" t="inlineStr">
        <is>
          <t>GICS_INDUSTRY_GROUP_NAME</t>
        </is>
      </c>
      <c r="D643" t="inlineStr">
        <is>
          <t>Technology Hardware &amp; Equipment</t>
        </is>
      </c>
      <c r="E643" t="inlineStr">
        <is>
          <t>N/A</t>
        </is>
      </c>
      <c r="F643" t="inlineStr"/>
      <c r="G643" t="inlineStr"/>
      <c r="H643" t="inlineStr">
        <is>
          <t>2.19%</t>
        </is>
      </c>
      <c r="I643" t="inlineStr">
        <is>
          <t>2.19%</t>
        </is>
      </c>
    </row>
    <row r="644">
      <c r="A644" s="2" t="n">
        <v>45966</v>
      </c>
      <c r="B644" t="inlineStr">
        <is>
          <t>RDVI</t>
        </is>
      </c>
      <c r="C644" t="inlineStr">
        <is>
          <t>GICS_INDUSTRY_NAME</t>
        </is>
      </c>
      <c r="D644" t="inlineStr">
        <is>
          <t>Broadline Retail</t>
        </is>
      </c>
      <c r="E644" t="inlineStr">
        <is>
          <t>N/A</t>
        </is>
      </c>
      <c r="F644" t="inlineStr"/>
      <c r="G644" t="inlineStr"/>
      <c r="H644" t="inlineStr">
        <is>
          <t>2.10%</t>
        </is>
      </c>
      <c r="I644" t="inlineStr">
        <is>
          <t>2.10%</t>
        </is>
      </c>
    </row>
    <row r="645">
      <c r="A645" s="2" t="n">
        <v>45966</v>
      </c>
      <c r="B645" t="inlineStr">
        <is>
          <t>RDVI</t>
        </is>
      </c>
      <c r="C645" t="inlineStr">
        <is>
          <t>GICS_INDUSTRY_NAME</t>
        </is>
      </c>
      <c r="D645" t="inlineStr">
        <is>
          <t>Energy Equipment &amp; Services</t>
        </is>
      </c>
      <c r="E645" t="inlineStr">
        <is>
          <t>N/A</t>
        </is>
      </c>
      <c r="F645" t="inlineStr"/>
      <c r="G645" t="inlineStr"/>
      <c r="H645" t="inlineStr">
        <is>
          <t>2.05%</t>
        </is>
      </c>
      <c r="I645" t="inlineStr">
        <is>
          <t>2.05%</t>
        </is>
      </c>
    </row>
    <row r="646">
      <c r="A646" s="2" t="n">
        <v>45966</v>
      </c>
      <c r="B646" t="inlineStr">
        <is>
          <t>RDVI</t>
        </is>
      </c>
      <c r="C646" t="inlineStr">
        <is>
          <t>GICS_INDUSTRY_NAME</t>
        </is>
      </c>
      <c r="D646" t="inlineStr">
        <is>
          <t>Entertainment</t>
        </is>
      </c>
      <c r="E646" t="inlineStr">
        <is>
          <t>N/A</t>
        </is>
      </c>
      <c r="F646" t="inlineStr"/>
      <c r="G646" t="inlineStr"/>
      <c r="H646" t="inlineStr">
        <is>
          <t>1.90%</t>
        </is>
      </c>
      <c r="I646" t="inlineStr">
        <is>
          <t>1.90%</t>
        </is>
      </c>
    </row>
    <row r="647">
      <c r="A647" s="2" t="n">
        <v>45966</v>
      </c>
      <c r="B647" t="inlineStr">
        <is>
          <t>RDVI</t>
        </is>
      </c>
      <c r="C647" t="inlineStr">
        <is>
          <t>GICS_INDUSTRY_NAME</t>
        </is>
      </c>
      <c r="D647" t="inlineStr">
        <is>
          <t>Aerospace &amp; Defense</t>
        </is>
      </c>
      <c r="E647" t="inlineStr">
        <is>
          <t>N/A</t>
        </is>
      </c>
      <c r="F647" t="inlineStr"/>
      <c r="G647" t="inlineStr"/>
      <c r="H647" t="inlineStr">
        <is>
          <t>1.76%</t>
        </is>
      </c>
      <c r="I647" t="inlineStr">
        <is>
          <t>1.76%</t>
        </is>
      </c>
    </row>
    <row r="648">
      <c r="A648" s="2" t="n">
        <v>45966</v>
      </c>
      <c r="B648" t="inlineStr">
        <is>
          <t>RDVI</t>
        </is>
      </c>
      <c r="C648" t="inlineStr">
        <is>
          <t>GICS_INDUSTRY_NAME</t>
        </is>
      </c>
      <c r="D648" t="inlineStr">
        <is>
          <t>Health Care Equipment &amp; Supplies</t>
        </is>
      </c>
      <c r="E648" t="inlineStr">
        <is>
          <t>N/A</t>
        </is>
      </c>
      <c r="F648" t="inlineStr"/>
      <c r="G648" t="inlineStr"/>
      <c r="H648" t="inlineStr">
        <is>
          <t>1.73%</t>
        </is>
      </c>
      <c r="I648" t="inlineStr">
        <is>
          <t>1.73%</t>
        </is>
      </c>
    </row>
    <row r="649">
      <c r="A649" s="2" t="n">
        <v>45966</v>
      </c>
      <c r="B649" t="inlineStr">
        <is>
          <t>RDVI</t>
        </is>
      </c>
      <c r="C649" t="inlineStr">
        <is>
          <t>GICS_INDUSTRY_GROUP_NAME</t>
        </is>
      </c>
      <c r="D649" t="inlineStr">
        <is>
          <t>Consumer Services</t>
        </is>
      </c>
      <c r="E649" t="inlineStr">
        <is>
          <t>N/A</t>
        </is>
      </c>
      <c r="F649" t="inlineStr"/>
      <c r="G649" t="inlineStr"/>
      <c r="H649" t="inlineStr">
        <is>
          <t>1.71%</t>
        </is>
      </c>
      <c r="I649" t="inlineStr">
        <is>
          <t>1.71%</t>
        </is>
      </c>
    </row>
    <row r="650">
      <c r="A650" s="2" t="n">
        <v>45966</v>
      </c>
      <c r="B650" t="inlineStr">
        <is>
          <t>RDVI</t>
        </is>
      </c>
      <c r="C650" t="inlineStr">
        <is>
          <t>GICS_INDUSTRY_NAME</t>
        </is>
      </c>
      <c r="D650" t="inlineStr">
        <is>
          <t>Hotels, Restaurants &amp; Leisure</t>
        </is>
      </c>
      <c r="E650" t="inlineStr">
        <is>
          <t>N/A</t>
        </is>
      </c>
      <c r="F650" t="inlineStr"/>
      <c r="G650" t="inlineStr"/>
      <c r="H650" t="inlineStr">
        <is>
          <t>1.71%</t>
        </is>
      </c>
      <c r="I650" t="inlineStr">
        <is>
          <t>1.71%</t>
        </is>
      </c>
    </row>
    <row r="651">
      <c r="A651" s="2" t="n">
        <v>45966</v>
      </c>
      <c r="B651" t="inlineStr">
        <is>
          <t>RDVI</t>
        </is>
      </c>
      <c r="C651" t="inlineStr">
        <is>
          <t>GICS_INDUSTRY_NAME</t>
        </is>
      </c>
      <c r="D651" t="inlineStr">
        <is>
          <t>Technology Hardware, Storage &amp; Peripherals</t>
        </is>
      </c>
      <c r="E651" t="inlineStr">
        <is>
          <t>N/A</t>
        </is>
      </c>
      <c r="F651" t="inlineStr"/>
      <c r="G651" t="inlineStr"/>
      <c r="H651" t="inlineStr">
        <is>
          <t>1.62%</t>
        </is>
      </c>
      <c r="I651" t="inlineStr">
        <is>
          <t>1.62%</t>
        </is>
      </c>
    </row>
    <row r="652">
      <c r="A652" s="2" t="n">
        <v>45966</v>
      </c>
      <c r="B652" t="inlineStr">
        <is>
          <t>RDVI</t>
        </is>
      </c>
      <c r="C652" t="inlineStr">
        <is>
          <t>GICS_INDUSTRY_NAME</t>
        </is>
      </c>
      <c r="D652" t="inlineStr">
        <is>
          <t>Health Care Providers &amp; Services</t>
        </is>
      </c>
      <c r="E652" t="inlineStr">
        <is>
          <t>N/A</t>
        </is>
      </c>
      <c r="F652" t="inlineStr"/>
      <c r="G652" t="inlineStr"/>
      <c r="H652" t="inlineStr">
        <is>
          <t>1.61%</t>
        </is>
      </c>
      <c r="I652" t="inlineStr">
        <is>
          <t>1.61%</t>
        </is>
      </c>
    </row>
    <row r="653">
      <c r="A653" s="2" t="n">
        <v>45966</v>
      </c>
      <c r="B653" t="inlineStr">
        <is>
          <t>RDVI</t>
        </is>
      </c>
      <c r="C653" t="inlineStr">
        <is>
          <t>GICS_INDUSTRY_NAME</t>
        </is>
      </c>
      <c r="D653" t="inlineStr">
        <is>
          <t>Construction &amp; Engineering</t>
        </is>
      </c>
      <c r="E653" t="inlineStr">
        <is>
          <t>N/A</t>
        </is>
      </c>
      <c r="F653" t="inlineStr"/>
      <c r="G653" t="inlineStr"/>
      <c r="H653" t="inlineStr">
        <is>
          <t>1.05%</t>
        </is>
      </c>
      <c r="I653" t="inlineStr">
        <is>
          <t>1.05%</t>
        </is>
      </c>
    </row>
    <row r="654">
      <c r="A654" s="2" t="n">
        <v>45966</v>
      </c>
      <c r="B654" t="inlineStr">
        <is>
          <t>RDVI</t>
        </is>
      </c>
      <c r="C654" t="inlineStr">
        <is>
          <t>GICS_INDUSTRY_NAME</t>
        </is>
      </c>
      <c r="D654" t="inlineStr">
        <is>
          <t>Electrical Equipment</t>
        </is>
      </c>
      <c r="E654" t="inlineStr">
        <is>
          <t>N/A</t>
        </is>
      </c>
      <c r="F654" t="inlineStr"/>
      <c r="G654" t="inlineStr"/>
      <c r="H654" t="inlineStr">
        <is>
          <t>0.97%</t>
        </is>
      </c>
      <c r="I654" t="inlineStr">
        <is>
          <t>0.97%</t>
        </is>
      </c>
    </row>
    <row r="655">
      <c r="A655" s="2" t="n">
        <v>45966</v>
      </c>
      <c r="B655" t="inlineStr">
        <is>
          <t>RDVI</t>
        </is>
      </c>
      <c r="C655" t="inlineStr">
        <is>
          <t>GICS_INDUSTRY_GROUP_NAME</t>
        </is>
      </c>
      <c r="D655" t="inlineStr">
        <is>
          <t>Consumer Staples Distribution &amp; Retail</t>
        </is>
      </c>
      <c r="E655" t="inlineStr">
        <is>
          <t>N/A</t>
        </is>
      </c>
      <c r="F655" t="inlineStr"/>
      <c r="G655" t="inlineStr"/>
      <c r="H655" t="inlineStr">
        <is>
          <t>0.89%</t>
        </is>
      </c>
      <c r="I655" t="inlineStr">
        <is>
          <t>0.89%</t>
        </is>
      </c>
    </row>
    <row r="656">
      <c r="A656" s="2" t="n">
        <v>45966</v>
      </c>
      <c r="B656" t="inlineStr">
        <is>
          <t>RDVI</t>
        </is>
      </c>
      <c r="C656" t="inlineStr">
        <is>
          <t>GICS_INDUSTRY_NAME</t>
        </is>
      </c>
      <c r="D656" t="inlineStr">
        <is>
          <t>Consumer Staples Distribution &amp; Retail</t>
        </is>
      </c>
      <c r="E656" t="inlineStr">
        <is>
          <t>N/A</t>
        </is>
      </c>
      <c r="F656" t="inlineStr"/>
      <c r="G656" t="inlineStr"/>
      <c r="H656" t="inlineStr">
        <is>
          <t>0.89%</t>
        </is>
      </c>
      <c r="I656" t="inlineStr">
        <is>
          <t>0.89%</t>
        </is>
      </c>
    </row>
    <row r="657">
      <c r="A657" s="2" t="n">
        <v>45966</v>
      </c>
      <c r="B657" t="inlineStr">
        <is>
          <t>RDVI</t>
        </is>
      </c>
      <c r="C657" t="inlineStr">
        <is>
          <t>GICS_INDUSTRY_NAME</t>
        </is>
      </c>
      <c r="D657" t="inlineStr">
        <is>
          <t>Oil, Gas &amp; Consumable Fuels</t>
        </is>
      </c>
      <c r="E657" t="inlineStr">
        <is>
          <t>N/A</t>
        </is>
      </c>
      <c r="F657" t="inlineStr"/>
      <c r="G657" t="inlineStr"/>
      <c r="H657" t="inlineStr">
        <is>
          <t>0.83%</t>
        </is>
      </c>
      <c r="I657" t="inlineStr">
        <is>
          <t>0.83%</t>
        </is>
      </c>
    </row>
    <row r="658">
      <c r="A658" s="2" t="n">
        <v>45966</v>
      </c>
      <c r="B658" t="inlineStr">
        <is>
          <t>RDVI</t>
        </is>
      </c>
      <c r="C658" t="inlineStr">
        <is>
          <t>GICS_INDUSTRY_GROUP_NAME</t>
        </is>
      </c>
      <c r="D658" t="inlineStr">
        <is>
          <t>Transportation</t>
        </is>
      </c>
      <c r="E658" t="inlineStr">
        <is>
          <t>N/A</t>
        </is>
      </c>
      <c r="F658" t="inlineStr"/>
      <c r="G658" t="inlineStr"/>
      <c r="H658" t="inlineStr">
        <is>
          <t>0.75%</t>
        </is>
      </c>
      <c r="I658" t="inlineStr">
        <is>
          <t>0.75%</t>
        </is>
      </c>
    </row>
    <row r="659">
      <c r="A659" s="2" t="n">
        <v>45966</v>
      </c>
      <c r="B659" t="inlineStr">
        <is>
          <t>RDVI</t>
        </is>
      </c>
      <c r="C659" t="inlineStr">
        <is>
          <t>GICS_INDUSTRY_NAME</t>
        </is>
      </c>
      <c r="D659" t="inlineStr">
        <is>
          <t>Ground Transportation</t>
        </is>
      </c>
      <c r="E659" t="inlineStr">
        <is>
          <t>N/A</t>
        </is>
      </c>
      <c r="F659" t="inlineStr"/>
      <c r="G659" t="inlineStr"/>
      <c r="H659" t="inlineStr">
        <is>
          <t>0.75%</t>
        </is>
      </c>
      <c r="I659" t="inlineStr">
        <is>
          <t>0.75%</t>
        </is>
      </c>
    </row>
    <row r="660">
      <c r="A660" s="2" t="n">
        <v>45966</v>
      </c>
      <c r="B660" t="inlineStr">
        <is>
          <t>RDVI</t>
        </is>
      </c>
      <c r="C660" t="inlineStr">
        <is>
          <t>GICS_INDUSTRY_NAME</t>
        </is>
      </c>
      <c r="D660" t="inlineStr">
        <is>
          <t>Communications Equipment</t>
        </is>
      </c>
      <c r="E660" t="inlineStr">
        <is>
          <t>N/A</t>
        </is>
      </c>
      <c r="F660" t="inlineStr"/>
      <c r="G660" t="inlineStr"/>
      <c r="H660" t="inlineStr">
        <is>
          <t>0.57%</t>
        </is>
      </c>
      <c r="I660" t="inlineStr">
        <is>
          <t>0.57%</t>
        </is>
      </c>
    </row>
    <row r="661">
      <c r="A661" s="2" t="n">
        <v>45966</v>
      </c>
      <c r="B661" t="inlineStr">
        <is>
          <t>RDVI</t>
        </is>
      </c>
      <c r="C661" t="inlineStr">
        <is>
          <t>GICS_INDUSTRY_GROUP_NAME</t>
        </is>
      </c>
      <c r="D661" t="inlineStr">
        <is>
          <t>Food, Beverage &amp; Tobacco</t>
        </is>
      </c>
      <c r="E661" t="inlineStr">
        <is>
          <t>N/A</t>
        </is>
      </c>
      <c r="F661" t="inlineStr"/>
      <c r="G661" t="inlineStr"/>
      <c r="H661" t="inlineStr">
        <is>
          <t>0.57%</t>
        </is>
      </c>
      <c r="I661" t="inlineStr">
        <is>
          <t>0.57%</t>
        </is>
      </c>
    </row>
    <row r="662">
      <c r="A662" s="2" t="n">
        <v>45966</v>
      </c>
      <c r="B662" t="inlineStr">
        <is>
          <t>RDVI</t>
        </is>
      </c>
      <c r="C662" t="inlineStr">
        <is>
          <t>GICS_INDUSTRY_NAME</t>
        </is>
      </c>
      <c r="D662" t="inlineStr">
        <is>
          <t>Beverages</t>
        </is>
      </c>
      <c r="E662" t="inlineStr">
        <is>
          <t>N/A</t>
        </is>
      </c>
      <c r="F662" t="inlineStr"/>
      <c r="G662" t="inlineStr"/>
      <c r="H662" t="inlineStr">
        <is>
          <t>0.57%</t>
        </is>
      </c>
      <c r="I662" t="inlineStr">
        <is>
          <t>0.57%</t>
        </is>
      </c>
    </row>
    <row r="663">
      <c r="A663" s="2" t="n">
        <v>45966</v>
      </c>
      <c r="B663" t="inlineStr">
        <is>
          <t>RDVI</t>
        </is>
      </c>
      <c r="C663" t="inlineStr">
        <is>
          <t>GICS_INDUSTRY_NAME</t>
        </is>
      </c>
      <c r="D663" t="inlineStr">
        <is>
          <t>Media</t>
        </is>
      </c>
      <c r="E663" t="inlineStr">
        <is>
          <t>N/A</t>
        </is>
      </c>
      <c r="F663" t="inlineStr"/>
      <c r="G663" t="inlineStr"/>
      <c r="H663" t="inlineStr">
        <is>
          <t>0.54%</t>
        </is>
      </c>
      <c r="I663" t="inlineStr">
        <is>
          <t>0.54%</t>
        </is>
      </c>
    </row>
    <row r="664">
      <c r="A664" s="2" t="n">
        <v>45966</v>
      </c>
      <c r="B664" t="inlineStr">
        <is>
          <t>RDVI</t>
        </is>
      </c>
      <c r="C664" t="inlineStr">
        <is>
          <t>GICS_INDUSTRY_GROUP_NAME</t>
        </is>
      </c>
      <c r="D664" t="inlineStr">
        <is>
          <t>Pharmaceuticals, Biotechnology &amp; Life Sciences</t>
        </is>
      </c>
      <c r="E664" t="inlineStr">
        <is>
          <t>N/A</t>
        </is>
      </c>
      <c r="F664" t="inlineStr"/>
      <c r="G664" t="inlineStr"/>
      <c r="H664" t="inlineStr">
        <is>
          <t>0.53%</t>
        </is>
      </c>
      <c r="I664" t="inlineStr">
        <is>
          <t>0.53%</t>
        </is>
      </c>
    </row>
    <row r="665">
      <c r="A665" s="2" t="n">
        <v>45966</v>
      </c>
      <c r="B665" t="inlineStr">
        <is>
          <t>RDVI</t>
        </is>
      </c>
      <c r="C665" t="inlineStr">
        <is>
          <t>GICS_INDUSTRY_NAME</t>
        </is>
      </c>
      <c r="D665" t="inlineStr">
        <is>
          <t>Pharmaceuticals</t>
        </is>
      </c>
      <c r="E665" t="inlineStr">
        <is>
          <t>N/A</t>
        </is>
      </c>
      <c r="F665" t="inlineStr"/>
      <c r="G665" t="inlineStr"/>
      <c r="H665" t="inlineStr">
        <is>
          <t>0.53%</t>
        </is>
      </c>
      <c r="I665" t="inlineStr">
        <is>
          <t>0.53%</t>
        </is>
      </c>
    </row>
    <row r="666">
      <c r="A666" s="2" t="n">
        <v>45966</v>
      </c>
      <c r="B666" t="inlineStr">
        <is>
          <t>RDVI</t>
        </is>
      </c>
      <c r="C666" t="inlineStr">
        <is>
          <t>GICS_INDUSTRY_NAME</t>
        </is>
      </c>
      <c r="D666" t="inlineStr">
        <is>
          <t>Commercial Services &amp; Supplies</t>
        </is>
      </c>
      <c r="E666" t="inlineStr">
        <is>
          <t>N/A</t>
        </is>
      </c>
      <c r="F666" t="inlineStr"/>
      <c r="G666" t="inlineStr"/>
      <c r="H666" t="inlineStr">
        <is>
          <t>0.47%</t>
        </is>
      </c>
      <c r="I666" t="inlineStr">
        <is>
          <t>0.47%</t>
        </is>
      </c>
    </row>
    <row r="667">
      <c r="A667" s="2" t="n">
        <v>45966</v>
      </c>
      <c r="B667" t="inlineStr">
        <is>
          <t>RDVI</t>
        </is>
      </c>
      <c r="C667" t="inlineStr">
        <is>
          <t>GICS_INDUSTRY_GROUP_NAME</t>
        </is>
      </c>
      <c r="D667" t="inlineStr">
        <is>
          <t>Materials</t>
        </is>
      </c>
      <c r="E667" t="inlineStr">
        <is>
          <t>N/A</t>
        </is>
      </c>
      <c r="F667" t="inlineStr"/>
      <c r="G667" t="inlineStr"/>
      <c r="H667" t="inlineStr">
        <is>
          <t>0.45%</t>
        </is>
      </c>
      <c r="I667" t="inlineStr">
        <is>
          <t>0.45%</t>
        </is>
      </c>
    </row>
    <row r="668">
      <c r="A668" s="2" t="n">
        <v>45966</v>
      </c>
      <c r="B668" t="inlineStr">
        <is>
          <t>RDVI</t>
        </is>
      </c>
      <c r="C668" t="inlineStr">
        <is>
          <t>GICS_INDUSTRY_NAME</t>
        </is>
      </c>
      <c r="D668" t="inlineStr">
        <is>
          <t>Chemicals</t>
        </is>
      </c>
      <c r="E668" t="inlineStr">
        <is>
          <t>N/A</t>
        </is>
      </c>
      <c r="F668" t="inlineStr"/>
      <c r="G668" t="inlineStr"/>
      <c r="H668" t="inlineStr">
        <is>
          <t>0.45%</t>
        </is>
      </c>
      <c r="I668" t="inlineStr">
        <is>
          <t>0.45%</t>
        </is>
      </c>
    </row>
    <row r="669">
      <c r="A669" s="2" t="n">
        <v>45966</v>
      </c>
      <c r="B669" t="inlineStr">
        <is>
          <t>RDVI</t>
        </is>
      </c>
      <c r="C669" t="inlineStr">
        <is>
          <t>GICS_INDUSTRY_NAME</t>
        </is>
      </c>
      <c r="D669" t="inlineStr">
        <is>
          <t>Building Products</t>
        </is>
      </c>
      <c r="E669" t="inlineStr">
        <is>
          <t>N/A</t>
        </is>
      </c>
      <c r="F669" t="inlineStr"/>
      <c r="G669" t="inlineStr"/>
      <c r="H669" t="inlineStr">
        <is>
          <t>0.34%</t>
        </is>
      </c>
      <c r="I669" t="inlineStr">
        <is>
          <t>0.34%</t>
        </is>
      </c>
    </row>
    <row r="670">
      <c r="A670" s="2" t="n">
        <v>45966</v>
      </c>
      <c r="B670" t="inlineStr">
        <is>
          <t>SDVD</t>
        </is>
      </c>
      <c r="C670" t="inlineStr">
        <is>
          <t>GICS_INDUSTRY_GROUP_NAME</t>
        </is>
      </c>
      <c r="D670" t="inlineStr">
        <is>
          <t>Capital Goods</t>
        </is>
      </c>
      <c r="E670" t="inlineStr">
        <is>
          <t>N/A</t>
        </is>
      </c>
      <c r="F670" t="b">
        <v>1</v>
      </c>
      <c r="G670" t="b">
        <v>1</v>
      </c>
      <c r="H670" t="inlineStr">
        <is>
          <t>25.01%</t>
        </is>
      </c>
      <c r="I670" t="inlineStr">
        <is>
          <t>25.01%</t>
        </is>
      </c>
    </row>
    <row r="671">
      <c r="A671" s="2" t="n">
        <v>45966</v>
      </c>
      <c r="B671" t="inlineStr">
        <is>
          <t>SDVD</t>
        </is>
      </c>
      <c r="C671" t="inlineStr">
        <is>
          <t>GICS_INDUSTRY_GROUP_NAME</t>
        </is>
      </c>
      <c r="D671" t="inlineStr">
        <is>
          <t>Banks</t>
        </is>
      </c>
      <c r="E671" t="inlineStr">
        <is>
          <t>N/A</t>
        </is>
      </c>
      <c r="F671" t="inlineStr"/>
      <c r="G671" t="inlineStr"/>
      <c r="H671" t="inlineStr">
        <is>
          <t>14.28%</t>
        </is>
      </c>
      <c r="I671" t="inlineStr">
        <is>
          <t>14.28%</t>
        </is>
      </c>
    </row>
    <row r="672">
      <c r="A672" s="2" t="n">
        <v>45966</v>
      </c>
      <c r="B672" t="inlineStr">
        <is>
          <t>SDVD</t>
        </is>
      </c>
      <c r="C672" t="inlineStr">
        <is>
          <t>GICS_INDUSTRY_NAME</t>
        </is>
      </c>
      <c r="D672" t="inlineStr">
        <is>
          <t>Banks</t>
        </is>
      </c>
      <c r="E672" t="inlineStr">
        <is>
          <t>N/A</t>
        </is>
      </c>
      <c r="F672" t="inlineStr"/>
      <c r="G672" t="inlineStr"/>
      <c r="H672" t="inlineStr">
        <is>
          <t>14.28%</t>
        </is>
      </c>
      <c r="I672" t="inlineStr">
        <is>
          <t>14.28%</t>
        </is>
      </c>
    </row>
    <row r="673">
      <c r="A673" s="2" t="n">
        <v>45966</v>
      </c>
      <c r="B673" t="inlineStr">
        <is>
          <t>SDVD</t>
        </is>
      </c>
      <c r="C673" t="inlineStr">
        <is>
          <t>GICS_INDUSTRY_NAME</t>
        </is>
      </c>
      <c r="D673" t="inlineStr">
        <is>
          <t>Machinery</t>
        </is>
      </c>
      <c r="E673" t="inlineStr">
        <is>
          <t>N/A</t>
        </is>
      </c>
      <c r="F673" t="inlineStr"/>
      <c r="G673" t="inlineStr"/>
      <c r="H673" t="inlineStr">
        <is>
          <t>11.07%</t>
        </is>
      </c>
      <c r="I673" t="inlineStr">
        <is>
          <t>11.07%</t>
        </is>
      </c>
    </row>
    <row r="674">
      <c r="A674" s="2" t="n">
        <v>45966</v>
      </c>
      <c r="B674" t="inlineStr">
        <is>
          <t>SDVD</t>
        </is>
      </c>
      <c r="C674" t="inlineStr">
        <is>
          <t>GICS_INDUSTRY_GROUP_NAME</t>
        </is>
      </c>
      <c r="D674" t="inlineStr">
        <is>
          <t>Insurance</t>
        </is>
      </c>
      <c r="E674" t="inlineStr">
        <is>
          <t>N/A</t>
        </is>
      </c>
      <c r="F674" t="inlineStr"/>
      <c r="G674" t="inlineStr"/>
      <c r="H674" t="inlineStr">
        <is>
          <t>8.56%</t>
        </is>
      </c>
      <c r="I674" t="inlineStr">
        <is>
          <t>8.56%</t>
        </is>
      </c>
    </row>
    <row r="675">
      <c r="A675" s="2" t="n">
        <v>45966</v>
      </c>
      <c r="B675" t="inlineStr">
        <is>
          <t>SDVD</t>
        </is>
      </c>
      <c r="C675" t="inlineStr">
        <is>
          <t>GICS_INDUSTRY_NAME</t>
        </is>
      </c>
      <c r="D675" t="inlineStr">
        <is>
          <t>Insurance</t>
        </is>
      </c>
      <c r="E675" t="inlineStr">
        <is>
          <t>N/A</t>
        </is>
      </c>
      <c r="F675" t="inlineStr"/>
      <c r="G675" t="inlineStr"/>
      <c r="H675" t="inlineStr">
        <is>
          <t>8.56%</t>
        </is>
      </c>
      <c r="I675" t="inlineStr">
        <is>
          <t>8.56%</t>
        </is>
      </c>
    </row>
    <row r="676">
      <c r="A676" s="2" t="n">
        <v>45966</v>
      </c>
      <c r="B676" t="inlineStr">
        <is>
          <t>SDVD</t>
        </is>
      </c>
      <c r="C676" t="inlineStr">
        <is>
          <t>GICS_INDUSTRY_GROUP_NAME</t>
        </is>
      </c>
      <c r="D676" t="inlineStr">
        <is>
          <t>Financial Services</t>
        </is>
      </c>
      <c r="E676" t="inlineStr">
        <is>
          <t>N/A</t>
        </is>
      </c>
      <c r="F676" t="inlineStr"/>
      <c r="G676" t="inlineStr"/>
      <c r="H676" t="inlineStr">
        <is>
          <t>8.20%</t>
        </is>
      </c>
      <c r="I676" t="inlineStr">
        <is>
          <t>8.20%</t>
        </is>
      </c>
    </row>
    <row r="677">
      <c r="A677" s="2" t="n">
        <v>45966</v>
      </c>
      <c r="B677" t="inlineStr">
        <is>
          <t>SDVD</t>
        </is>
      </c>
      <c r="C677" t="inlineStr">
        <is>
          <t>GICS_INDUSTRY_GROUP_NAME</t>
        </is>
      </c>
      <c r="D677" t="inlineStr">
        <is>
          <t>Commercial &amp; Professional Services</t>
        </is>
      </c>
      <c r="E677" t="inlineStr">
        <is>
          <t>N/A</t>
        </is>
      </c>
      <c r="F677" t="inlineStr"/>
      <c r="G677" t="inlineStr"/>
      <c r="H677" t="inlineStr">
        <is>
          <t>7.18%</t>
        </is>
      </c>
      <c r="I677" t="inlineStr">
        <is>
          <t>7.18%</t>
        </is>
      </c>
    </row>
    <row r="678">
      <c r="A678" s="2" t="n">
        <v>45966</v>
      </c>
      <c r="B678" t="inlineStr">
        <is>
          <t>SDVD</t>
        </is>
      </c>
      <c r="C678" t="inlineStr">
        <is>
          <t>GICS_INDUSTRY_GROUP_NAME</t>
        </is>
      </c>
      <c r="D678" t="inlineStr">
        <is>
          <t>Consumer Durables &amp; Apparel</t>
        </is>
      </c>
      <c r="E678" t="inlineStr">
        <is>
          <t>N/A</t>
        </is>
      </c>
      <c r="F678" t="inlineStr"/>
      <c r="G678" t="inlineStr"/>
      <c r="H678" t="inlineStr">
        <is>
          <t>5.73%</t>
        </is>
      </c>
      <c r="I678" t="inlineStr">
        <is>
          <t>5.73%</t>
        </is>
      </c>
    </row>
    <row r="679">
      <c r="A679" s="2" t="n">
        <v>45966</v>
      </c>
      <c r="B679" t="inlineStr">
        <is>
          <t>SDVD</t>
        </is>
      </c>
      <c r="C679" t="inlineStr">
        <is>
          <t>GICS_INDUSTRY_NAME</t>
        </is>
      </c>
      <c r="D679" t="inlineStr">
        <is>
          <t>Professional Services</t>
        </is>
      </c>
      <c r="E679" t="inlineStr">
        <is>
          <t>N/A</t>
        </is>
      </c>
      <c r="F679" t="inlineStr"/>
      <c r="G679" t="inlineStr"/>
      <c r="H679" t="inlineStr">
        <is>
          <t>4.50%</t>
        </is>
      </c>
      <c r="I679" t="inlineStr">
        <is>
          <t>4.50%</t>
        </is>
      </c>
    </row>
    <row r="680">
      <c r="A680" s="2" t="n">
        <v>45966</v>
      </c>
      <c r="B680" t="inlineStr">
        <is>
          <t>SDVD</t>
        </is>
      </c>
      <c r="C680" t="inlineStr">
        <is>
          <t>GICS_INDUSTRY_NAME</t>
        </is>
      </c>
      <c r="D680" t="inlineStr">
        <is>
          <t>Capital Markets</t>
        </is>
      </c>
      <c r="E680" t="inlineStr">
        <is>
          <t>N/A</t>
        </is>
      </c>
      <c r="F680" t="inlineStr"/>
      <c r="G680" t="inlineStr"/>
      <c r="H680" t="inlineStr">
        <is>
          <t>4.43%</t>
        </is>
      </c>
      <c r="I680" t="inlineStr">
        <is>
          <t>4.43%</t>
        </is>
      </c>
    </row>
    <row r="681">
      <c r="A681" s="2" t="n">
        <v>45966</v>
      </c>
      <c r="B681" t="inlineStr">
        <is>
          <t>SDVD</t>
        </is>
      </c>
      <c r="C681" t="inlineStr">
        <is>
          <t>GICS_INDUSTRY_NAME</t>
        </is>
      </c>
      <c r="D681" t="inlineStr">
        <is>
          <t>Construction &amp; Engineering</t>
        </is>
      </c>
      <c r="E681" t="inlineStr">
        <is>
          <t>N/A</t>
        </is>
      </c>
      <c r="F681" t="inlineStr"/>
      <c r="G681" t="inlineStr"/>
      <c r="H681" t="inlineStr">
        <is>
          <t>4.42%</t>
        </is>
      </c>
      <c r="I681" t="inlineStr">
        <is>
          <t>4.42%</t>
        </is>
      </c>
    </row>
    <row r="682">
      <c r="A682" s="2" t="n">
        <v>45966</v>
      </c>
      <c r="B682" t="inlineStr">
        <is>
          <t>SDVD</t>
        </is>
      </c>
      <c r="C682" t="inlineStr">
        <is>
          <t>GICS_INDUSTRY_NAME</t>
        </is>
      </c>
      <c r="D682" t="inlineStr">
        <is>
          <t>Building Products</t>
        </is>
      </c>
      <c r="E682" t="inlineStr">
        <is>
          <t>N/A</t>
        </is>
      </c>
      <c r="F682" t="inlineStr"/>
      <c r="G682" t="inlineStr"/>
      <c r="H682" t="inlineStr">
        <is>
          <t>4.40%</t>
        </is>
      </c>
      <c r="I682" t="inlineStr">
        <is>
          <t>4.40%</t>
        </is>
      </c>
    </row>
    <row r="683">
      <c r="A683" s="2" t="n">
        <v>45966</v>
      </c>
      <c r="B683" t="inlineStr">
        <is>
          <t>SDVD</t>
        </is>
      </c>
      <c r="C683" t="inlineStr">
        <is>
          <t>GICS_INDUSTRY_GROUP_NAME</t>
        </is>
      </c>
      <c r="D683" t="inlineStr">
        <is>
          <t>Materials</t>
        </is>
      </c>
      <c r="E683" t="inlineStr">
        <is>
          <t>N/A</t>
        </is>
      </c>
      <c r="F683" t="inlineStr"/>
      <c r="G683" t="inlineStr"/>
      <c r="H683" t="inlineStr">
        <is>
          <t>3.80%</t>
        </is>
      </c>
      <c r="I683" t="inlineStr">
        <is>
          <t>3.80%</t>
        </is>
      </c>
    </row>
    <row r="684">
      <c r="A684" s="2" t="n">
        <v>45966</v>
      </c>
      <c r="B684" t="inlineStr">
        <is>
          <t>SDVD</t>
        </is>
      </c>
      <c r="C684" t="inlineStr">
        <is>
          <t>GICS_INDUSTRY_GROUP_NAME</t>
        </is>
      </c>
      <c r="D684" t="inlineStr">
        <is>
          <t>Energy</t>
        </is>
      </c>
      <c r="E684" t="inlineStr">
        <is>
          <t>N/A</t>
        </is>
      </c>
      <c r="F684" t="inlineStr"/>
      <c r="G684" t="inlineStr"/>
      <c r="H684" t="inlineStr">
        <is>
          <t>3.64%</t>
        </is>
      </c>
      <c r="I684" t="inlineStr">
        <is>
          <t>3.64%</t>
        </is>
      </c>
    </row>
    <row r="685">
      <c r="A685" s="2" t="n">
        <v>45966</v>
      </c>
      <c r="B685" t="inlineStr">
        <is>
          <t>SDVD</t>
        </is>
      </c>
      <c r="C685" t="inlineStr">
        <is>
          <t>GICS_INDUSTRY_GROUP_NAME</t>
        </is>
      </c>
      <c r="D685" t="inlineStr">
        <is>
          <t>Software &amp; Services</t>
        </is>
      </c>
      <c r="E685" t="inlineStr">
        <is>
          <t>N/A</t>
        </is>
      </c>
      <c r="F685" t="inlineStr"/>
      <c r="G685" t="inlineStr"/>
      <c r="H685" t="inlineStr">
        <is>
          <t>3.42%</t>
        </is>
      </c>
      <c r="I685" t="inlineStr">
        <is>
          <t>3.42%</t>
        </is>
      </c>
    </row>
    <row r="686">
      <c r="A686" s="2" t="n">
        <v>45966</v>
      </c>
      <c r="B686" t="inlineStr">
        <is>
          <t>SDVD</t>
        </is>
      </c>
      <c r="C686" t="inlineStr">
        <is>
          <t>GICS_INDUSTRY_GROUP_NAME</t>
        </is>
      </c>
      <c r="D686" t="inlineStr">
        <is>
          <t>Food, Beverage &amp; Tobacco</t>
        </is>
      </c>
      <c r="E686" t="inlineStr">
        <is>
          <t>N/A</t>
        </is>
      </c>
      <c r="F686" t="inlineStr"/>
      <c r="G686" t="inlineStr"/>
      <c r="H686" t="inlineStr">
        <is>
          <t>3.33%</t>
        </is>
      </c>
      <c r="I686" t="inlineStr">
        <is>
          <t>3.33%</t>
        </is>
      </c>
    </row>
    <row r="687">
      <c r="A687" s="2" t="n">
        <v>45966</v>
      </c>
      <c r="B687" t="inlineStr">
        <is>
          <t>SDVD</t>
        </is>
      </c>
      <c r="C687" t="inlineStr">
        <is>
          <t>GICS_INDUSTRY_NAME</t>
        </is>
      </c>
      <c r="D687" t="inlineStr">
        <is>
          <t>Software</t>
        </is>
      </c>
      <c r="E687" t="inlineStr">
        <is>
          <t>N/A</t>
        </is>
      </c>
      <c r="F687" t="inlineStr"/>
      <c r="G687" t="inlineStr"/>
      <c r="H687" t="inlineStr">
        <is>
          <t>3.22%</t>
        </is>
      </c>
      <c r="I687" t="inlineStr">
        <is>
          <t>3.22%</t>
        </is>
      </c>
    </row>
    <row r="688">
      <c r="A688" s="2" t="n">
        <v>45966</v>
      </c>
      <c r="B688" t="inlineStr">
        <is>
          <t>SDVD</t>
        </is>
      </c>
      <c r="C688" t="inlineStr">
        <is>
          <t>GICS_INDUSTRY_NAME</t>
        </is>
      </c>
      <c r="D688" t="inlineStr">
        <is>
          <t>Household Durables</t>
        </is>
      </c>
      <c r="E688" t="inlineStr">
        <is>
          <t>N/A</t>
        </is>
      </c>
      <c r="F688" t="inlineStr"/>
      <c r="G688" t="inlineStr"/>
      <c r="H688" t="inlineStr">
        <is>
          <t>3.06%</t>
        </is>
      </c>
      <c r="I688" t="inlineStr">
        <is>
          <t>3.06%</t>
        </is>
      </c>
    </row>
    <row r="689">
      <c r="A689" s="2" t="n">
        <v>45966</v>
      </c>
      <c r="B689" t="inlineStr">
        <is>
          <t>SDVD</t>
        </is>
      </c>
      <c r="C689" t="inlineStr">
        <is>
          <t>GICS_INDUSTRY_GROUP_NAME</t>
        </is>
      </c>
      <c r="D689" t="inlineStr">
        <is>
          <t>Consumer Services</t>
        </is>
      </c>
      <c r="E689" t="inlineStr">
        <is>
          <t>N/A</t>
        </is>
      </c>
      <c r="F689" t="inlineStr"/>
      <c r="G689" t="inlineStr"/>
      <c r="H689" t="inlineStr">
        <is>
          <t>2.98%</t>
        </is>
      </c>
      <c r="I689" t="inlineStr">
        <is>
          <t>2.98%</t>
        </is>
      </c>
    </row>
    <row r="690">
      <c r="A690" s="2" t="n">
        <v>45966</v>
      </c>
      <c r="B690" t="inlineStr">
        <is>
          <t>SDVD</t>
        </is>
      </c>
      <c r="C690" t="inlineStr">
        <is>
          <t>GICS_INDUSTRY_GROUP_NAME</t>
        </is>
      </c>
      <c r="D690" t="inlineStr">
        <is>
          <t>Health Care Equipment &amp; Services</t>
        </is>
      </c>
      <c r="E690" t="inlineStr">
        <is>
          <t>N/A</t>
        </is>
      </c>
      <c r="F690" t="inlineStr"/>
      <c r="G690" t="inlineStr"/>
      <c r="H690" t="inlineStr">
        <is>
          <t>2.89%</t>
        </is>
      </c>
      <c r="I690" t="inlineStr">
        <is>
          <t>2.89%</t>
        </is>
      </c>
    </row>
    <row r="691">
      <c r="A691" s="2" t="n">
        <v>45966</v>
      </c>
      <c r="B691" t="inlineStr">
        <is>
          <t>SDVD</t>
        </is>
      </c>
      <c r="C691" t="inlineStr">
        <is>
          <t>GICS_INDUSTRY_NAME</t>
        </is>
      </c>
      <c r="D691" t="inlineStr">
        <is>
          <t>Financial Services</t>
        </is>
      </c>
      <c r="E691" t="inlineStr">
        <is>
          <t>N/A</t>
        </is>
      </c>
      <c r="F691" t="inlineStr"/>
      <c r="G691" t="inlineStr"/>
      <c r="H691" t="inlineStr">
        <is>
          <t>2.73%</t>
        </is>
      </c>
      <c r="I691" t="inlineStr">
        <is>
          <t>2.73%</t>
        </is>
      </c>
    </row>
    <row r="692">
      <c r="A692" s="2" t="n">
        <v>45966</v>
      </c>
      <c r="B692" t="inlineStr">
        <is>
          <t>SDVD</t>
        </is>
      </c>
      <c r="C692" t="inlineStr">
        <is>
          <t>GICS_INDUSTRY_NAME</t>
        </is>
      </c>
      <c r="D692" t="inlineStr">
        <is>
          <t>Commercial Services &amp; Supplies</t>
        </is>
      </c>
      <c r="E692" t="inlineStr">
        <is>
          <t>N/A</t>
        </is>
      </c>
      <c r="F692" t="inlineStr"/>
      <c r="G692" t="inlineStr"/>
      <c r="H692" t="inlineStr">
        <is>
          <t>2.68%</t>
        </is>
      </c>
      <c r="I692" t="inlineStr">
        <is>
          <t>2.68%</t>
        </is>
      </c>
    </row>
    <row r="693">
      <c r="A693" s="2" t="n">
        <v>45966</v>
      </c>
      <c r="B693" t="inlineStr">
        <is>
          <t>SDVD</t>
        </is>
      </c>
      <c r="C693" t="inlineStr">
        <is>
          <t>GICS_INDUSTRY_NAME</t>
        </is>
      </c>
      <c r="D693" t="inlineStr">
        <is>
          <t>Textiles, Apparel &amp; Luxury Goods</t>
        </is>
      </c>
      <c r="E693" t="inlineStr">
        <is>
          <t>N/A</t>
        </is>
      </c>
      <c r="F693" t="inlineStr"/>
      <c r="G693" t="inlineStr"/>
      <c r="H693" t="inlineStr">
        <is>
          <t>2.67%</t>
        </is>
      </c>
      <c r="I693" t="inlineStr">
        <is>
          <t>2.67%</t>
        </is>
      </c>
    </row>
    <row r="694">
      <c r="A694" s="2" t="n">
        <v>45966</v>
      </c>
      <c r="B694" t="inlineStr">
        <is>
          <t>SDVD</t>
        </is>
      </c>
      <c r="C694" t="inlineStr">
        <is>
          <t>GICS_INDUSTRY_NAME</t>
        </is>
      </c>
      <c r="D694" t="inlineStr">
        <is>
          <t>Energy Equipment &amp; Services</t>
        </is>
      </c>
      <c r="E694" t="inlineStr">
        <is>
          <t>N/A</t>
        </is>
      </c>
      <c r="F694" t="inlineStr"/>
      <c r="G694" t="inlineStr"/>
      <c r="H694" t="inlineStr">
        <is>
          <t>2.65%</t>
        </is>
      </c>
      <c r="I694" t="inlineStr">
        <is>
          <t>2.65%</t>
        </is>
      </c>
    </row>
    <row r="695">
      <c r="A695" s="2" t="n">
        <v>45966</v>
      </c>
      <c r="B695" t="inlineStr">
        <is>
          <t>SDVD</t>
        </is>
      </c>
      <c r="C695" t="inlineStr">
        <is>
          <t>GICS_INDUSTRY_NAME</t>
        </is>
      </c>
      <c r="D695" t="inlineStr">
        <is>
          <t>Electrical Equipment</t>
        </is>
      </c>
      <c r="E695" t="inlineStr">
        <is>
          <t>N/A</t>
        </is>
      </c>
      <c r="F695" t="inlineStr"/>
      <c r="G695" t="inlineStr"/>
      <c r="H695" t="inlineStr">
        <is>
          <t>2.61%</t>
        </is>
      </c>
      <c r="I695" t="inlineStr">
        <is>
          <t>2.61%</t>
        </is>
      </c>
    </row>
    <row r="696">
      <c r="A696" s="2" t="n">
        <v>45966</v>
      </c>
      <c r="B696" t="inlineStr">
        <is>
          <t>SDVD</t>
        </is>
      </c>
      <c r="C696" t="inlineStr">
        <is>
          <t>GICS_INDUSTRY_NAME</t>
        </is>
      </c>
      <c r="D696" t="inlineStr">
        <is>
          <t>Diversified Consumer Services</t>
        </is>
      </c>
      <c r="E696" t="inlineStr">
        <is>
          <t>N/A</t>
        </is>
      </c>
      <c r="F696" t="inlineStr"/>
      <c r="G696" t="inlineStr"/>
      <c r="H696" t="inlineStr">
        <is>
          <t>2.60%</t>
        </is>
      </c>
      <c r="I696" t="inlineStr">
        <is>
          <t>2.60%</t>
        </is>
      </c>
    </row>
    <row r="697">
      <c r="A697" s="2" t="n">
        <v>45966</v>
      </c>
      <c r="B697" t="inlineStr">
        <is>
          <t>SDVD</t>
        </is>
      </c>
      <c r="C697" t="inlineStr">
        <is>
          <t>GICS_INDUSTRY_GROUP_NAME</t>
        </is>
      </c>
      <c r="D697" t="inlineStr">
        <is>
          <t>Consumer Discretionary Distribution &amp; Retail</t>
        </is>
      </c>
      <c r="E697" t="inlineStr">
        <is>
          <t>N/A</t>
        </is>
      </c>
      <c r="F697" t="inlineStr"/>
      <c r="G697" t="inlineStr"/>
      <c r="H697" t="inlineStr">
        <is>
          <t>2.60%</t>
        </is>
      </c>
      <c r="I697" t="inlineStr">
        <is>
          <t>2.60%</t>
        </is>
      </c>
    </row>
    <row r="698">
      <c r="A698" s="2" t="n">
        <v>45966</v>
      </c>
      <c r="B698" t="inlineStr">
        <is>
          <t>SDVD</t>
        </is>
      </c>
      <c r="C698" t="inlineStr">
        <is>
          <t>GICS_INDUSTRY_NAME</t>
        </is>
      </c>
      <c r="D698" t="inlineStr">
        <is>
          <t>Food Products</t>
        </is>
      </c>
      <c r="E698" t="inlineStr">
        <is>
          <t>N/A</t>
        </is>
      </c>
      <c r="F698" t="inlineStr"/>
      <c r="G698" t="inlineStr"/>
      <c r="H698" t="inlineStr">
        <is>
          <t>2.20%</t>
        </is>
      </c>
      <c r="I698" t="inlineStr">
        <is>
          <t>2.20%</t>
        </is>
      </c>
    </row>
    <row r="699">
      <c r="A699" s="2" t="n">
        <v>45966</v>
      </c>
      <c r="B699" t="inlineStr">
        <is>
          <t>SDVD</t>
        </is>
      </c>
      <c r="C699" t="inlineStr">
        <is>
          <t>GICS_INDUSTRY_NAME</t>
        </is>
      </c>
      <c r="D699" t="inlineStr">
        <is>
          <t>Health Care Providers &amp; Services</t>
        </is>
      </c>
      <c r="E699" t="inlineStr">
        <is>
          <t>N/A</t>
        </is>
      </c>
      <c r="F699" t="inlineStr"/>
      <c r="G699" t="inlineStr"/>
      <c r="H699" t="inlineStr">
        <is>
          <t>2.12%</t>
        </is>
      </c>
      <c r="I699" t="inlineStr">
        <is>
          <t>2.12%</t>
        </is>
      </c>
    </row>
    <row r="700">
      <c r="A700" s="2" t="n">
        <v>45966</v>
      </c>
      <c r="B700" t="inlineStr">
        <is>
          <t>SDVD</t>
        </is>
      </c>
      <c r="C700" t="inlineStr">
        <is>
          <t>GICS_INDUSTRY_GROUP_NAME</t>
        </is>
      </c>
      <c r="D700" t="inlineStr">
        <is>
          <t>Media &amp; Entertainment</t>
        </is>
      </c>
      <c r="E700" t="inlineStr">
        <is>
          <t>N/A</t>
        </is>
      </c>
      <c r="F700" t="inlineStr"/>
      <c r="G700" t="inlineStr"/>
      <c r="H700" t="inlineStr">
        <is>
          <t>2.02%</t>
        </is>
      </c>
      <c r="I700" t="inlineStr">
        <is>
          <t>2.02%</t>
        </is>
      </c>
    </row>
    <row r="701">
      <c r="A701" s="2" t="n">
        <v>45966</v>
      </c>
      <c r="B701" t="inlineStr">
        <is>
          <t>SDVD</t>
        </is>
      </c>
      <c r="C701" t="inlineStr">
        <is>
          <t>GICS_INDUSTRY_NAME</t>
        </is>
      </c>
      <c r="D701" t="inlineStr">
        <is>
          <t>Media</t>
        </is>
      </c>
      <c r="E701" t="inlineStr">
        <is>
          <t>N/A</t>
        </is>
      </c>
      <c r="F701" t="inlineStr"/>
      <c r="G701" t="inlineStr"/>
      <c r="H701" t="inlineStr">
        <is>
          <t>2.02%</t>
        </is>
      </c>
      <c r="I701" t="inlineStr">
        <is>
          <t>2.02%</t>
        </is>
      </c>
    </row>
    <row r="702">
      <c r="A702" s="2" t="n">
        <v>45966</v>
      </c>
      <c r="B702" t="inlineStr">
        <is>
          <t>SDVD</t>
        </is>
      </c>
      <c r="C702" t="inlineStr">
        <is>
          <t>GICS_INDUSTRY_NAME</t>
        </is>
      </c>
      <c r="D702" t="inlineStr">
        <is>
          <t>Specialty Retail</t>
        </is>
      </c>
      <c r="E702" t="inlineStr">
        <is>
          <t>N/A</t>
        </is>
      </c>
      <c r="F702" t="inlineStr"/>
      <c r="G702" t="inlineStr"/>
      <c r="H702" t="inlineStr">
        <is>
          <t>2.00%</t>
        </is>
      </c>
      <c r="I702" t="inlineStr">
        <is>
          <t>2.00%</t>
        </is>
      </c>
    </row>
    <row r="703">
      <c r="A703" s="2" t="n">
        <v>45966</v>
      </c>
      <c r="B703" t="inlineStr">
        <is>
          <t>SDVD</t>
        </is>
      </c>
      <c r="C703" t="inlineStr">
        <is>
          <t>GICS_INDUSTRY_NAME</t>
        </is>
      </c>
      <c r="D703" t="inlineStr">
        <is>
          <t>Chemicals</t>
        </is>
      </c>
      <c r="E703" t="inlineStr">
        <is>
          <t>N/A</t>
        </is>
      </c>
      <c r="F703" t="inlineStr"/>
      <c r="G703" t="inlineStr"/>
      <c r="H703" t="inlineStr">
        <is>
          <t>1.73%</t>
        </is>
      </c>
      <c r="I703" t="inlineStr">
        <is>
          <t>1.73%</t>
        </is>
      </c>
    </row>
    <row r="704">
      <c r="A704" s="2" t="n">
        <v>45966</v>
      </c>
      <c r="B704" t="inlineStr">
        <is>
          <t>SDVD</t>
        </is>
      </c>
      <c r="C704" t="inlineStr">
        <is>
          <t>GICS_INDUSTRY_NAME</t>
        </is>
      </c>
      <c r="D704" t="inlineStr">
        <is>
          <t>Aerospace &amp; Defense</t>
        </is>
      </c>
      <c r="E704" t="inlineStr">
        <is>
          <t>N/A</t>
        </is>
      </c>
      <c r="F704" t="inlineStr"/>
      <c r="G704" t="inlineStr"/>
      <c r="H704" t="inlineStr">
        <is>
          <t>1.67%</t>
        </is>
      </c>
      <c r="I704" t="inlineStr">
        <is>
          <t>1.67%</t>
        </is>
      </c>
    </row>
    <row r="705">
      <c r="A705" s="2" t="n">
        <v>45966</v>
      </c>
      <c r="B705" t="inlineStr">
        <is>
          <t>SDVD</t>
        </is>
      </c>
      <c r="C705" t="inlineStr">
        <is>
          <t>GICS_INDUSTRY_GROUP_NAME</t>
        </is>
      </c>
      <c r="D705" t="inlineStr">
        <is>
          <t>Technology Hardware &amp; Equipment</t>
        </is>
      </c>
      <c r="E705" t="inlineStr">
        <is>
          <t>N/A</t>
        </is>
      </c>
      <c r="F705" t="inlineStr"/>
      <c r="G705" t="inlineStr"/>
      <c r="H705" t="inlineStr">
        <is>
          <t>1.42%</t>
        </is>
      </c>
      <c r="I705" t="inlineStr">
        <is>
          <t>1.42%</t>
        </is>
      </c>
    </row>
    <row r="706">
      <c r="A706" s="2" t="n">
        <v>45966</v>
      </c>
      <c r="B706" t="inlineStr">
        <is>
          <t>SDVD</t>
        </is>
      </c>
      <c r="C706" t="inlineStr">
        <is>
          <t>GICS_INDUSTRY_NAME</t>
        </is>
      </c>
      <c r="D706" t="inlineStr">
        <is>
          <t>Metals &amp; Mining</t>
        </is>
      </c>
      <c r="E706" t="inlineStr">
        <is>
          <t>N/A</t>
        </is>
      </c>
      <c r="F706" t="inlineStr"/>
      <c r="G706" t="inlineStr"/>
      <c r="H706" t="inlineStr">
        <is>
          <t>1.41%</t>
        </is>
      </c>
      <c r="I706" t="inlineStr">
        <is>
          <t>1.41%</t>
        </is>
      </c>
    </row>
    <row r="707">
      <c r="A707" s="2" t="n">
        <v>45966</v>
      </c>
      <c r="B707" t="inlineStr">
        <is>
          <t>SDVD</t>
        </is>
      </c>
      <c r="C707" t="inlineStr">
        <is>
          <t>GICS_INDUSTRY_GROUP_NAME</t>
        </is>
      </c>
      <c r="D707" t="inlineStr">
        <is>
          <t>Household &amp; Personal Products</t>
        </is>
      </c>
      <c r="E707" t="inlineStr">
        <is>
          <t>N/A</t>
        </is>
      </c>
      <c r="F707" t="inlineStr"/>
      <c r="G707" t="inlineStr"/>
      <c r="H707" t="inlineStr">
        <is>
          <t>1.09%</t>
        </is>
      </c>
      <c r="I707" t="inlineStr">
        <is>
          <t>1.09%</t>
        </is>
      </c>
    </row>
    <row r="708">
      <c r="A708" s="2" t="n">
        <v>45966</v>
      </c>
      <c r="B708" t="inlineStr">
        <is>
          <t>SDVD</t>
        </is>
      </c>
      <c r="C708" t="inlineStr">
        <is>
          <t>GICS_INDUSTRY_NAME</t>
        </is>
      </c>
      <c r="D708" t="inlineStr">
        <is>
          <t>Consumer Finance</t>
        </is>
      </c>
      <c r="E708" t="inlineStr">
        <is>
          <t>N/A</t>
        </is>
      </c>
      <c r="F708" t="inlineStr"/>
      <c r="G708" t="inlineStr"/>
      <c r="H708" t="inlineStr">
        <is>
          <t>1.05%</t>
        </is>
      </c>
      <c r="I708" t="inlineStr">
        <is>
          <t>1.05%</t>
        </is>
      </c>
    </row>
    <row r="709">
      <c r="A709" s="2" t="n">
        <v>45966</v>
      </c>
      <c r="B709" t="inlineStr">
        <is>
          <t>SDVD</t>
        </is>
      </c>
      <c r="C709" t="inlineStr">
        <is>
          <t>GICS_INDUSTRY_GROUP_NAME</t>
        </is>
      </c>
      <c r="D709" t="inlineStr">
        <is>
          <t>Consumer Staples Distribution &amp; Retail</t>
        </is>
      </c>
      <c r="E709" t="inlineStr">
        <is>
          <t>N/A</t>
        </is>
      </c>
      <c r="F709" t="inlineStr"/>
      <c r="G709" t="inlineStr"/>
      <c r="H709" t="inlineStr">
        <is>
          <t>1.01%</t>
        </is>
      </c>
      <c r="I709" t="inlineStr">
        <is>
          <t>1.01%</t>
        </is>
      </c>
    </row>
    <row r="710">
      <c r="A710" s="2" t="n">
        <v>45966</v>
      </c>
      <c r="B710" t="inlineStr">
        <is>
          <t>SDVD</t>
        </is>
      </c>
      <c r="C710" t="inlineStr">
        <is>
          <t>GICS_INDUSTRY_NAME</t>
        </is>
      </c>
      <c r="D710" t="inlineStr">
        <is>
          <t>Consumer Staples Distribution &amp; Retail</t>
        </is>
      </c>
      <c r="E710" t="inlineStr">
        <is>
          <t>N/A</t>
        </is>
      </c>
      <c r="F710" t="inlineStr"/>
      <c r="G710" t="inlineStr"/>
      <c r="H710" t="inlineStr">
        <is>
          <t>1.01%</t>
        </is>
      </c>
      <c r="I710" t="inlineStr">
        <is>
          <t>1.01%</t>
        </is>
      </c>
    </row>
    <row r="711">
      <c r="A711" s="2" t="n">
        <v>45966</v>
      </c>
      <c r="B711" t="inlineStr">
        <is>
          <t>SDVD</t>
        </is>
      </c>
      <c r="C711" t="inlineStr">
        <is>
          <t>GICS_INDUSTRY_NAME</t>
        </is>
      </c>
      <c r="D711" t="inlineStr">
        <is>
          <t>Oil, Gas &amp; Consumable Fuels</t>
        </is>
      </c>
      <c r="E711" t="inlineStr">
        <is>
          <t>N/A</t>
        </is>
      </c>
      <c r="F711" t="inlineStr"/>
      <c r="G711" t="inlineStr"/>
      <c r="H711" t="inlineStr">
        <is>
          <t>0.99%</t>
        </is>
      </c>
      <c r="I711" t="inlineStr">
        <is>
          <t>0.99%</t>
        </is>
      </c>
    </row>
    <row r="712">
      <c r="A712" s="2" t="n">
        <v>45966</v>
      </c>
      <c r="B712" t="inlineStr">
        <is>
          <t>SDVD</t>
        </is>
      </c>
      <c r="C712" t="inlineStr">
        <is>
          <t>GICS_INDUSTRY_NAME</t>
        </is>
      </c>
      <c r="D712" t="inlineStr">
        <is>
          <t>Electronic Equipment, Instruments &amp; Components</t>
        </is>
      </c>
      <c r="E712" t="inlineStr">
        <is>
          <t>N/A</t>
        </is>
      </c>
      <c r="F712" t="inlineStr"/>
      <c r="G712" t="inlineStr"/>
      <c r="H712" t="inlineStr">
        <is>
          <t>0.95%</t>
        </is>
      </c>
      <c r="I712" t="inlineStr">
        <is>
          <t>0.95%</t>
        </is>
      </c>
    </row>
    <row r="713">
      <c r="A713" s="2" t="n">
        <v>45966</v>
      </c>
      <c r="B713" t="inlineStr">
        <is>
          <t>SDVD</t>
        </is>
      </c>
      <c r="C713" t="inlineStr">
        <is>
          <t>GICS_INDUSTRY_NAME</t>
        </is>
      </c>
      <c r="D713" t="inlineStr">
        <is>
          <t>Beverages</t>
        </is>
      </c>
      <c r="E713" t="inlineStr">
        <is>
          <t>N/A</t>
        </is>
      </c>
      <c r="F713" t="inlineStr"/>
      <c r="G713" t="inlineStr"/>
      <c r="H713" t="inlineStr">
        <is>
          <t>0.90%</t>
        </is>
      </c>
      <c r="I713" t="inlineStr">
        <is>
          <t>0.90%</t>
        </is>
      </c>
    </row>
    <row r="714">
      <c r="A714" s="2" t="n">
        <v>45966</v>
      </c>
      <c r="B714" t="inlineStr">
        <is>
          <t>SDVD</t>
        </is>
      </c>
      <c r="C714" t="inlineStr">
        <is>
          <t>GICS_INDUSTRY_GROUP_NAME</t>
        </is>
      </c>
      <c r="D714" t="inlineStr">
        <is>
          <t>Utilities</t>
        </is>
      </c>
      <c r="E714" t="inlineStr">
        <is>
          <t>N/A</t>
        </is>
      </c>
      <c r="F714" t="inlineStr"/>
      <c r="G714" t="inlineStr"/>
      <c r="H714" t="inlineStr">
        <is>
          <t>0.86%</t>
        </is>
      </c>
      <c r="I714" t="inlineStr">
        <is>
          <t>0.86%</t>
        </is>
      </c>
    </row>
    <row r="715">
      <c r="A715" s="2" t="n">
        <v>45966</v>
      </c>
      <c r="B715" t="inlineStr">
        <is>
          <t>SDVD</t>
        </is>
      </c>
      <c r="C715" t="inlineStr">
        <is>
          <t>GICS_INDUSTRY_NAME</t>
        </is>
      </c>
      <c r="D715" t="inlineStr">
        <is>
          <t>Electric Utilities</t>
        </is>
      </c>
      <c r="E715" t="inlineStr">
        <is>
          <t>N/A</t>
        </is>
      </c>
      <c r="F715" t="inlineStr"/>
      <c r="G715" t="inlineStr"/>
      <c r="H715" t="inlineStr">
        <is>
          <t>0.86%</t>
        </is>
      </c>
      <c r="I715" t="inlineStr">
        <is>
          <t>0.86%</t>
        </is>
      </c>
    </row>
    <row r="716">
      <c r="A716" s="2" t="n">
        <v>45966</v>
      </c>
      <c r="B716" t="inlineStr">
        <is>
          <t>SDVD</t>
        </is>
      </c>
      <c r="C716" t="inlineStr">
        <is>
          <t>GICS_INDUSTRY_NAME</t>
        </is>
      </c>
      <c r="D716" t="inlineStr">
        <is>
          <t>Trading Companies &amp; Distributors</t>
        </is>
      </c>
      <c r="E716" t="inlineStr">
        <is>
          <t>N/A</t>
        </is>
      </c>
      <c r="F716" t="inlineStr"/>
      <c r="G716" t="inlineStr"/>
      <c r="H716" t="inlineStr">
        <is>
          <t>0.85%</t>
        </is>
      </c>
      <c r="I716" t="inlineStr">
        <is>
          <t>0.85%</t>
        </is>
      </c>
    </row>
    <row r="717">
      <c r="A717" s="2" t="n">
        <v>45966</v>
      </c>
      <c r="B717" t="inlineStr">
        <is>
          <t>SDVD</t>
        </is>
      </c>
      <c r="C717" t="inlineStr">
        <is>
          <t>GICS_INDUSTRY_GROUP_NAME</t>
        </is>
      </c>
      <c r="D717" t="inlineStr">
        <is>
          <t>Semiconductors &amp; Semiconductor Equipment</t>
        </is>
      </c>
      <c r="E717" t="inlineStr">
        <is>
          <t>N/A</t>
        </is>
      </c>
      <c r="F717" t="inlineStr"/>
      <c r="G717" t="inlineStr"/>
      <c r="H717" t="inlineStr">
        <is>
          <t>0.82%</t>
        </is>
      </c>
      <c r="I717" t="inlineStr">
        <is>
          <t>0.82%</t>
        </is>
      </c>
    </row>
    <row r="718">
      <c r="A718" s="2" t="n">
        <v>45966</v>
      </c>
      <c r="B718" t="inlineStr">
        <is>
          <t>SDVD</t>
        </is>
      </c>
      <c r="C718" t="inlineStr">
        <is>
          <t>GICS_INDUSTRY_NAME</t>
        </is>
      </c>
      <c r="D718" t="inlineStr">
        <is>
          <t>Semiconductors &amp; Semiconductor Equipment</t>
        </is>
      </c>
      <c r="E718" t="inlineStr">
        <is>
          <t>N/A</t>
        </is>
      </c>
      <c r="F718" t="inlineStr"/>
      <c r="G718" t="inlineStr"/>
      <c r="H718" t="inlineStr">
        <is>
          <t>0.82%</t>
        </is>
      </c>
      <c r="I718" t="inlineStr">
        <is>
          <t>0.82%</t>
        </is>
      </c>
    </row>
    <row r="719">
      <c r="A719" s="2" t="n">
        <v>45966</v>
      </c>
      <c r="B719" t="inlineStr">
        <is>
          <t>SDVD</t>
        </is>
      </c>
      <c r="C719" t="inlineStr">
        <is>
          <t>GICS_INDUSTRY_NAME</t>
        </is>
      </c>
      <c r="D719" t="inlineStr">
        <is>
          <t>Health Care Equipment &amp; Supplies</t>
        </is>
      </c>
      <c r="E719" t="inlineStr">
        <is>
          <t>N/A</t>
        </is>
      </c>
      <c r="F719" t="inlineStr"/>
      <c r="G719" t="inlineStr"/>
      <c r="H719" t="inlineStr">
        <is>
          <t>0.77%</t>
        </is>
      </c>
      <c r="I719" t="inlineStr">
        <is>
          <t>0.77%</t>
        </is>
      </c>
    </row>
    <row r="720">
      <c r="A720" s="2" t="n">
        <v>45966</v>
      </c>
      <c r="B720" t="inlineStr">
        <is>
          <t>SDVD</t>
        </is>
      </c>
      <c r="C720" t="inlineStr">
        <is>
          <t>GICS_INDUSTRY_GROUP_NAME</t>
        </is>
      </c>
      <c r="D720" t="inlineStr">
        <is>
          <t>Automobiles &amp; Components</t>
        </is>
      </c>
      <c r="E720" t="inlineStr">
        <is>
          <t>N/A</t>
        </is>
      </c>
      <c r="F720" t="inlineStr"/>
      <c r="G720" t="inlineStr"/>
      <c r="H720" t="inlineStr">
        <is>
          <t>0.65%</t>
        </is>
      </c>
      <c r="I720" t="inlineStr">
        <is>
          <t>0.65%</t>
        </is>
      </c>
    </row>
    <row r="721">
      <c r="A721" s="2" t="n">
        <v>45966</v>
      </c>
      <c r="B721" t="inlineStr">
        <is>
          <t>SDVD</t>
        </is>
      </c>
      <c r="C721" t="inlineStr">
        <is>
          <t>GICS_INDUSTRY_NAME</t>
        </is>
      </c>
      <c r="D721" t="inlineStr">
        <is>
          <t>Automobile Components</t>
        </is>
      </c>
      <c r="E721" t="inlineStr">
        <is>
          <t>N/A</t>
        </is>
      </c>
      <c r="F721" t="inlineStr"/>
      <c r="G721" t="inlineStr"/>
      <c r="H721" t="inlineStr">
        <is>
          <t>0.65%</t>
        </is>
      </c>
      <c r="I721" t="inlineStr">
        <is>
          <t>0.65%</t>
        </is>
      </c>
    </row>
    <row r="722">
      <c r="A722" s="2" t="n">
        <v>45966</v>
      </c>
      <c r="B722" t="inlineStr">
        <is>
          <t>SDVD</t>
        </is>
      </c>
      <c r="C722" t="inlineStr">
        <is>
          <t>GICS_INDUSTRY_NAME</t>
        </is>
      </c>
      <c r="D722" t="inlineStr">
        <is>
          <t>Broadline Retail</t>
        </is>
      </c>
      <c r="E722" t="inlineStr">
        <is>
          <t>N/A</t>
        </is>
      </c>
      <c r="F722" t="inlineStr"/>
      <c r="G722" t="inlineStr"/>
      <c r="H722" t="inlineStr">
        <is>
          <t>0.60%</t>
        </is>
      </c>
      <c r="I722" t="inlineStr">
        <is>
          <t>0.60%</t>
        </is>
      </c>
    </row>
    <row r="723">
      <c r="A723" s="2" t="n">
        <v>45966</v>
      </c>
      <c r="B723" t="inlineStr">
        <is>
          <t>SDVD</t>
        </is>
      </c>
      <c r="C723" t="inlineStr">
        <is>
          <t>GICS_INDUSTRY_NAME</t>
        </is>
      </c>
      <c r="D723" t="inlineStr">
        <is>
          <t>Personal Care Products</t>
        </is>
      </c>
      <c r="E723" t="inlineStr">
        <is>
          <t>N/A</t>
        </is>
      </c>
      <c r="F723" t="inlineStr"/>
      <c r="G723" t="inlineStr"/>
      <c r="H723" t="inlineStr">
        <is>
          <t>0.58%</t>
        </is>
      </c>
      <c r="I723" t="inlineStr">
        <is>
          <t>0.58%</t>
        </is>
      </c>
    </row>
    <row r="724">
      <c r="A724" s="2" t="n">
        <v>45966</v>
      </c>
      <c r="B724" t="inlineStr">
        <is>
          <t>SDVD</t>
        </is>
      </c>
      <c r="C724" t="inlineStr">
        <is>
          <t>GICS_INDUSTRY_NAME</t>
        </is>
      </c>
      <c r="D724" t="inlineStr">
        <is>
          <t>Household Products</t>
        </is>
      </c>
      <c r="E724" t="inlineStr">
        <is>
          <t>N/A</t>
        </is>
      </c>
      <c r="F724" t="inlineStr"/>
      <c r="G724" t="inlineStr"/>
      <c r="H724" t="inlineStr">
        <is>
          <t>0.51%</t>
        </is>
      </c>
      <c r="I724" t="inlineStr">
        <is>
          <t>0.51%</t>
        </is>
      </c>
    </row>
    <row r="725">
      <c r="A725" s="2" t="n">
        <v>45966</v>
      </c>
      <c r="B725" t="inlineStr">
        <is>
          <t>SDVD</t>
        </is>
      </c>
      <c r="C725" t="inlineStr">
        <is>
          <t>GICS_INDUSTRY_NAME</t>
        </is>
      </c>
      <c r="D725" t="inlineStr">
        <is>
          <t>Technology Hardware, Storage &amp; Peripherals</t>
        </is>
      </c>
      <c r="E725" t="inlineStr">
        <is>
          <t>N/A</t>
        </is>
      </c>
      <c r="F725" t="inlineStr"/>
      <c r="G725" t="inlineStr"/>
      <c r="H725" t="inlineStr">
        <is>
          <t>0.47%</t>
        </is>
      </c>
      <c r="I725" t="inlineStr">
        <is>
          <t>0.47%</t>
        </is>
      </c>
    </row>
    <row r="726">
      <c r="A726" s="2" t="n">
        <v>45966</v>
      </c>
      <c r="B726" t="inlineStr">
        <is>
          <t>SDVD</t>
        </is>
      </c>
      <c r="C726" t="inlineStr">
        <is>
          <t>GICS_INDUSTRY_NAME</t>
        </is>
      </c>
      <c r="D726" t="inlineStr">
        <is>
          <t>Hotels, Restaurants &amp; Leisure</t>
        </is>
      </c>
      <c r="E726" t="inlineStr">
        <is>
          <t>N/A</t>
        </is>
      </c>
      <c r="F726" t="inlineStr"/>
      <c r="G726" t="inlineStr"/>
      <c r="H726" t="inlineStr">
        <is>
          <t>0.38%</t>
        </is>
      </c>
      <c r="I726" t="inlineStr">
        <is>
          <t>0.38%</t>
        </is>
      </c>
    </row>
    <row r="727">
      <c r="A727" s="2" t="n">
        <v>45966</v>
      </c>
      <c r="B727" t="inlineStr">
        <is>
          <t>SDVD</t>
        </is>
      </c>
      <c r="C727" t="inlineStr">
        <is>
          <t>GICS_INDUSTRY_GROUP_NAME</t>
        </is>
      </c>
      <c r="D727" t="inlineStr">
        <is>
          <t>Telecommunication Services</t>
        </is>
      </c>
      <c r="E727" t="inlineStr">
        <is>
          <t>N/A</t>
        </is>
      </c>
      <c r="F727" t="inlineStr"/>
      <c r="G727" t="inlineStr"/>
      <c r="H727" t="inlineStr">
        <is>
          <t>0.35%</t>
        </is>
      </c>
      <c r="I727" t="inlineStr">
        <is>
          <t>0.35%</t>
        </is>
      </c>
    </row>
    <row r="728">
      <c r="A728" s="2" t="n">
        <v>45966</v>
      </c>
      <c r="B728" t="inlineStr">
        <is>
          <t>SDVD</t>
        </is>
      </c>
      <c r="C728" t="inlineStr">
        <is>
          <t>GICS_INDUSTRY_NAME</t>
        </is>
      </c>
      <c r="D728" t="inlineStr">
        <is>
          <t>Diversified Telecommunication Services</t>
        </is>
      </c>
      <c r="E728" t="inlineStr">
        <is>
          <t>N/A</t>
        </is>
      </c>
      <c r="F728" t="inlineStr"/>
      <c r="G728" t="inlineStr"/>
      <c r="H728" t="inlineStr">
        <is>
          <t>0.35%</t>
        </is>
      </c>
      <c r="I728" t="inlineStr">
        <is>
          <t>0.35%</t>
        </is>
      </c>
    </row>
    <row r="729">
      <c r="A729" s="2" t="n">
        <v>45966</v>
      </c>
      <c r="B729" t="inlineStr">
        <is>
          <t>SDVD</t>
        </is>
      </c>
      <c r="C729" t="inlineStr">
        <is>
          <t>GICS_INDUSTRY_NAME</t>
        </is>
      </c>
      <c r="D729" t="inlineStr">
        <is>
          <t>Containers &amp; Packaging</t>
        </is>
      </c>
      <c r="E729" t="inlineStr">
        <is>
          <t>N/A</t>
        </is>
      </c>
      <c r="F729" t="inlineStr"/>
      <c r="G729" t="inlineStr"/>
      <c r="H729" t="inlineStr">
        <is>
          <t>0.35%</t>
        </is>
      </c>
      <c r="I729" t="inlineStr">
        <is>
          <t>0.35%</t>
        </is>
      </c>
    </row>
    <row r="730">
      <c r="A730" s="2" t="n">
        <v>45966</v>
      </c>
      <c r="B730" t="inlineStr">
        <is>
          <t>SDVD</t>
        </is>
      </c>
      <c r="C730" t="inlineStr">
        <is>
          <t>GICS_INDUSTRY_NAME</t>
        </is>
      </c>
      <c r="D730" t="inlineStr">
        <is>
          <t>Tobacco</t>
        </is>
      </c>
      <c r="E730" t="inlineStr">
        <is>
          <t>N/A</t>
        </is>
      </c>
      <c r="F730" t="inlineStr"/>
      <c r="G730" t="inlineStr"/>
      <c r="H730" t="inlineStr">
        <is>
          <t>0.23%</t>
        </is>
      </c>
      <c r="I730" t="inlineStr">
        <is>
          <t>0.23%</t>
        </is>
      </c>
    </row>
    <row r="731">
      <c r="A731" s="2" t="n">
        <v>45966</v>
      </c>
      <c r="B731" t="inlineStr">
        <is>
          <t>SDVD</t>
        </is>
      </c>
      <c r="C731" t="inlineStr">
        <is>
          <t>GICS_INDUSTRY_NAME</t>
        </is>
      </c>
      <c r="D731" t="inlineStr">
        <is>
          <t>Construction Materials</t>
        </is>
      </c>
      <c r="E731" t="inlineStr">
        <is>
          <t>N/A</t>
        </is>
      </c>
      <c r="F731" t="inlineStr"/>
      <c r="G731" t="inlineStr"/>
      <c r="H731" t="inlineStr">
        <is>
          <t>0.22%</t>
        </is>
      </c>
      <c r="I731" t="inlineStr">
        <is>
          <t>0.22%</t>
        </is>
      </c>
    </row>
    <row r="732">
      <c r="A732" s="2" t="n">
        <v>45966</v>
      </c>
      <c r="B732" t="inlineStr">
        <is>
          <t>SDVD</t>
        </is>
      </c>
      <c r="C732" t="inlineStr">
        <is>
          <t>GICS_INDUSTRY_NAME</t>
        </is>
      </c>
      <c r="D732" t="inlineStr">
        <is>
          <t>IT Services</t>
        </is>
      </c>
      <c r="E732" t="inlineStr">
        <is>
          <t>N/A</t>
        </is>
      </c>
      <c r="F732" t="inlineStr"/>
      <c r="G732" t="inlineStr"/>
      <c r="H732" t="inlineStr">
        <is>
          <t>0.20%</t>
        </is>
      </c>
      <c r="I732" t="inlineStr">
        <is>
          <t>0.20%</t>
        </is>
      </c>
    </row>
    <row r="733">
      <c r="A733" s="2" t="n">
        <v>45966</v>
      </c>
      <c r="B733" t="inlineStr">
        <is>
          <t>SDVD</t>
        </is>
      </c>
      <c r="C733" t="inlineStr">
        <is>
          <t>GICS_INDUSTRY_GROUP_NAME</t>
        </is>
      </c>
      <c r="D733" t="inlineStr">
        <is>
          <t>Transportation</t>
        </is>
      </c>
      <c r="E733" t="inlineStr">
        <is>
          <t>N/A</t>
        </is>
      </c>
      <c r="F733" t="inlineStr"/>
      <c r="G733" t="inlineStr"/>
      <c r="H733" t="inlineStr">
        <is>
          <t>0.15%</t>
        </is>
      </c>
      <c r="I733" t="inlineStr">
        <is>
          <t>0.15%</t>
        </is>
      </c>
    </row>
    <row r="734">
      <c r="A734" s="2" t="n">
        <v>45966</v>
      </c>
      <c r="B734" t="inlineStr">
        <is>
          <t>SDVD</t>
        </is>
      </c>
      <c r="C734" t="inlineStr">
        <is>
          <t>GICS_INDUSTRY_NAME</t>
        </is>
      </c>
      <c r="D734" t="inlineStr">
        <is>
          <t>Air Freight &amp; Logistics</t>
        </is>
      </c>
      <c r="E734" t="inlineStr">
        <is>
          <t>N/A</t>
        </is>
      </c>
      <c r="F734" t="inlineStr"/>
      <c r="G734" t="inlineStr"/>
      <c r="H734" t="inlineStr">
        <is>
          <t>0.15%</t>
        </is>
      </c>
      <c r="I734" t="inlineStr">
        <is>
          <t>0.15%</t>
        </is>
      </c>
    </row>
    <row r="735">
      <c r="A735" s="2" t="n">
        <v>45966</v>
      </c>
      <c r="B735" t="inlineStr">
        <is>
          <t>SDVD</t>
        </is>
      </c>
      <c r="C735" t="inlineStr">
        <is>
          <t>GICS_INDUSTRY_NAME</t>
        </is>
      </c>
      <c r="D735" t="inlineStr">
        <is>
          <t>Paper &amp; Forest Products</t>
        </is>
      </c>
      <c r="E735" t="inlineStr">
        <is>
          <t>N/A</t>
        </is>
      </c>
      <c r="F735" t="inlineStr"/>
      <c r="G735" t="inlineStr"/>
      <c r="H735" t="inlineStr">
        <is>
          <t>0.09%</t>
        </is>
      </c>
      <c r="I735" t="inlineStr">
        <is>
          <t>0.09%</t>
        </is>
      </c>
    </row>
    <row r="736">
      <c r="A736" s="2" t="n">
        <v>45966</v>
      </c>
      <c r="B736" t="inlineStr">
        <is>
          <t>TDVI</t>
        </is>
      </c>
      <c r="C736" t="inlineStr">
        <is>
          <t>GICS_INDUSTRY_GROUP_NAME</t>
        </is>
      </c>
      <c r="D736" t="inlineStr">
        <is>
          <t>Semiconductors &amp; Semiconductor Equipment</t>
        </is>
      </c>
      <c r="E736" t="inlineStr">
        <is>
          <t>N/A</t>
        </is>
      </c>
      <c r="F736" t="b">
        <v>1</v>
      </c>
      <c r="G736" t="b">
        <v>1</v>
      </c>
      <c r="H736" t="inlineStr">
        <is>
          <t>37.86%</t>
        </is>
      </c>
      <c r="I736" t="inlineStr">
        <is>
          <t>37.86%</t>
        </is>
      </c>
    </row>
    <row r="737">
      <c r="A737" s="2" t="n">
        <v>45966</v>
      </c>
      <c r="B737" t="inlineStr">
        <is>
          <t>TDVI</t>
        </is>
      </c>
      <c r="C737" t="inlineStr">
        <is>
          <t>GICS_INDUSTRY_NAME</t>
        </is>
      </c>
      <c r="D737" t="inlineStr">
        <is>
          <t>Semiconductors &amp; Semiconductor Equipment</t>
        </is>
      </c>
      <c r="E737" t="inlineStr">
        <is>
          <t>N/A</t>
        </is>
      </c>
      <c r="F737" t="b">
        <v>1</v>
      </c>
      <c r="G737" t="b">
        <v>1</v>
      </c>
      <c r="H737" t="inlineStr">
        <is>
          <t>37.86%</t>
        </is>
      </c>
      <c r="I737" t="inlineStr">
        <is>
          <t>37.86%</t>
        </is>
      </c>
    </row>
    <row r="738">
      <c r="A738" s="2" t="n">
        <v>45966</v>
      </c>
      <c r="B738" t="inlineStr">
        <is>
          <t>TDVI</t>
        </is>
      </c>
      <c r="C738" t="inlineStr">
        <is>
          <t>GICS_INDUSTRY_GROUP_NAME</t>
        </is>
      </c>
      <c r="D738" t="inlineStr">
        <is>
          <t>Software &amp; Services</t>
        </is>
      </c>
      <c r="E738" t="inlineStr">
        <is>
          <t>N/A</t>
        </is>
      </c>
      <c r="F738" t="b">
        <v>1</v>
      </c>
      <c r="G738" t="b">
        <v>1</v>
      </c>
      <c r="H738" t="inlineStr">
        <is>
          <t>31.06%</t>
        </is>
      </c>
      <c r="I738" t="inlineStr">
        <is>
          <t>31.06%</t>
        </is>
      </c>
    </row>
    <row r="739">
      <c r="A739" s="2" t="n">
        <v>45966</v>
      </c>
      <c r="B739" t="inlineStr">
        <is>
          <t>TDVI</t>
        </is>
      </c>
      <c r="C739" t="inlineStr">
        <is>
          <t>GICS_INDUSTRY_NAME</t>
        </is>
      </c>
      <c r="D739" t="inlineStr">
        <is>
          <t>Software</t>
        </is>
      </c>
      <c r="E739" t="inlineStr">
        <is>
          <t>N/A</t>
        </is>
      </c>
      <c r="F739" t="inlineStr"/>
      <c r="G739" t="inlineStr"/>
      <c r="H739" t="inlineStr">
        <is>
          <t>20.44%</t>
        </is>
      </c>
      <c r="I739" t="inlineStr">
        <is>
          <t>20.44%</t>
        </is>
      </c>
    </row>
    <row r="740">
      <c r="A740" s="2" t="n">
        <v>45966</v>
      </c>
      <c r="B740" t="inlineStr">
        <is>
          <t>TDVI</t>
        </is>
      </c>
      <c r="C740" t="inlineStr">
        <is>
          <t>GICS_INDUSTRY_GROUP_NAME</t>
        </is>
      </c>
      <c r="D740" t="inlineStr">
        <is>
          <t>Technology Hardware &amp; Equipment</t>
        </is>
      </c>
      <c r="E740" t="inlineStr">
        <is>
          <t>N/A</t>
        </is>
      </c>
      <c r="F740" t="inlineStr"/>
      <c r="G740" t="inlineStr"/>
      <c r="H740" t="inlineStr">
        <is>
          <t>16.17%</t>
        </is>
      </c>
      <c r="I740" t="inlineStr">
        <is>
          <t>16.17%</t>
        </is>
      </c>
    </row>
    <row r="741">
      <c r="A741" s="2" t="n">
        <v>45966</v>
      </c>
      <c r="B741" t="inlineStr">
        <is>
          <t>TDVI</t>
        </is>
      </c>
      <c r="C741" t="inlineStr">
        <is>
          <t>GICS_INDUSTRY_GROUP_NAME</t>
        </is>
      </c>
      <c r="D741" t="inlineStr">
        <is>
          <t>Telecommunication Services</t>
        </is>
      </c>
      <c r="E741" t="inlineStr">
        <is>
          <t>N/A</t>
        </is>
      </c>
      <c r="F741" t="inlineStr"/>
      <c r="G741" t="inlineStr"/>
      <c r="H741" t="inlineStr">
        <is>
          <t>10.69%</t>
        </is>
      </c>
      <c r="I741" t="inlineStr">
        <is>
          <t>10.69%</t>
        </is>
      </c>
    </row>
    <row r="742">
      <c r="A742" s="2" t="n">
        <v>45966</v>
      </c>
      <c r="B742" t="inlineStr">
        <is>
          <t>TDVI</t>
        </is>
      </c>
      <c r="C742" t="inlineStr">
        <is>
          <t>GICS_INDUSTRY_NAME</t>
        </is>
      </c>
      <c r="D742" t="inlineStr">
        <is>
          <t>IT Services</t>
        </is>
      </c>
      <c r="E742" t="inlineStr">
        <is>
          <t>N/A</t>
        </is>
      </c>
      <c r="F742" t="inlineStr"/>
      <c r="G742" t="inlineStr"/>
      <c r="H742" t="inlineStr">
        <is>
          <t>10.62%</t>
        </is>
      </c>
      <c r="I742" t="inlineStr">
        <is>
          <t>10.62%</t>
        </is>
      </c>
    </row>
    <row r="743">
      <c r="A743" s="2" t="n">
        <v>45966</v>
      </c>
      <c r="B743" t="inlineStr">
        <is>
          <t>TDVI</t>
        </is>
      </c>
      <c r="C743" t="inlineStr">
        <is>
          <t>GICS_INDUSTRY_NAME</t>
        </is>
      </c>
      <c r="D743" t="inlineStr">
        <is>
          <t>Diversified Telecommunication Services</t>
        </is>
      </c>
      <c r="E743" t="inlineStr">
        <is>
          <t>N/A</t>
        </is>
      </c>
      <c r="F743" t="inlineStr"/>
      <c r="G743" t="inlineStr"/>
      <c r="H743" t="inlineStr">
        <is>
          <t>6.10%</t>
        </is>
      </c>
      <c r="I743" t="inlineStr">
        <is>
          <t>6.10%</t>
        </is>
      </c>
    </row>
    <row r="744">
      <c r="A744" s="2" t="n">
        <v>45966</v>
      </c>
      <c r="B744" t="inlineStr">
        <is>
          <t>TDVI</t>
        </is>
      </c>
      <c r="C744" t="inlineStr">
        <is>
          <t>GICS_INDUSTRY_NAME</t>
        </is>
      </c>
      <c r="D744" t="inlineStr">
        <is>
          <t>Technology Hardware, Storage &amp; Peripherals</t>
        </is>
      </c>
      <c r="E744" t="inlineStr">
        <is>
          <t>N/A</t>
        </is>
      </c>
      <c r="F744" t="inlineStr"/>
      <c r="G744" t="inlineStr"/>
      <c r="H744" t="inlineStr">
        <is>
          <t>5.72%</t>
        </is>
      </c>
      <c r="I744" t="inlineStr">
        <is>
          <t>5.72%</t>
        </is>
      </c>
    </row>
    <row r="745">
      <c r="A745" s="2" t="n">
        <v>45966</v>
      </c>
      <c r="B745" t="inlineStr">
        <is>
          <t>TDVI</t>
        </is>
      </c>
      <c r="C745" t="inlineStr">
        <is>
          <t>GICS_INDUSTRY_NAME</t>
        </is>
      </c>
      <c r="D745" t="inlineStr">
        <is>
          <t>Electronic Equipment, Instruments &amp; Components</t>
        </is>
      </c>
      <c r="E745" t="inlineStr">
        <is>
          <t>N/A</t>
        </is>
      </c>
      <c r="F745" t="inlineStr"/>
      <c r="G745" t="inlineStr"/>
      <c r="H745" t="inlineStr">
        <is>
          <t>5.30%</t>
        </is>
      </c>
      <c r="I745" t="inlineStr">
        <is>
          <t>5.30%</t>
        </is>
      </c>
    </row>
    <row r="746">
      <c r="A746" s="2" t="n">
        <v>45966</v>
      </c>
      <c r="B746" t="inlineStr">
        <is>
          <t>TDVI</t>
        </is>
      </c>
      <c r="C746" t="inlineStr">
        <is>
          <t>GICS_INDUSTRY_NAME</t>
        </is>
      </c>
      <c r="D746" t="inlineStr">
        <is>
          <t>Communications Equipment</t>
        </is>
      </c>
      <c r="E746" t="inlineStr">
        <is>
          <t>N/A</t>
        </is>
      </c>
      <c r="F746" t="inlineStr"/>
      <c r="G746" t="inlineStr"/>
      <c r="H746" t="inlineStr">
        <is>
          <t>5.14%</t>
        </is>
      </c>
      <c r="I746" t="inlineStr">
        <is>
          <t>5.14%</t>
        </is>
      </c>
    </row>
    <row r="747">
      <c r="A747" s="2" t="n">
        <v>45966</v>
      </c>
      <c r="B747" t="inlineStr">
        <is>
          <t>TDVI</t>
        </is>
      </c>
      <c r="C747" t="inlineStr">
        <is>
          <t>GICS_INDUSTRY_NAME</t>
        </is>
      </c>
      <c r="D747" t="inlineStr">
        <is>
          <t>Wireless Telecommunication Services</t>
        </is>
      </c>
      <c r="E747" t="inlineStr">
        <is>
          <t>N/A</t>
        </is>
      </c>
      <c r="F747" t="inlineStr"/>
      <c r="G747" t="inlineStr"/>
      <c r="H747" t="inlineStr">
        <is>
          <t>4.60%</t>
        </is>
      </c>
      <c r="I747" t="inlineStr">
        <is>
          <t>4.60%</t>
        </is>
      </c>
    </row>
    <row r="748">
      <c r="A748" s="2" t="n">
        <v>45966</v>
      </c>
      <c r="B748" t="inlineStr">
        <is>
          <t>TDVI</t>
        </is>
      </c>
      <c r="C748" t="inlineStr">
        <is>
          <t>GICS_INDUSTRY_GROUP_NAME</t>
        </is>
      </c>
      <c r="D748" t="inlineStr">
        <is>
          <t>Commercial &amp; Professional Services</t>
        </is>
      </c>
      <c r="E748" t="inlineStr">
        <is>
          <t>N/A</t>
        </is>
      </c>
      <c r="F748" t="inlineStr"/>
      <c r="G748" t="inlineStr"/>
      <c r="H748" t="inlineStr">
        <is>
          <t>2.25%</t>
        </is>
      </c>
      <c r="I748" t="inlineStr">
        <is>
          <t>2.25%</t>
        </is>
      </c>
    </row>
    <row r="749">
      <c r="A749" s="2" t="n">
        <v>45966</v>
      </c>
      <c r="B749" t="inlineStr">
        <is>
          <t>TDVI</t>
        </is>
      </c>
      <c r="C749" t="inlineStr">
        <is>
          <t>GICS_INDUSTRY_NAME</t>
        </is>
      </c>
      <c r="D749" t="inlineStr">
        <is>
          <t>Professional Services</t>
        </is>
      </c>
      <c r="E749" t="inlineStr">
        <is>
          <t>N/A</t>
        </is>
      </c>
      <c r="F749" t="inlineStr"/>
      <c r="G749" t="inlineStr"/>
      <c r="H749" t="inlineStr">
        <is>
          <t>2.25%</t>
        </is>
      </c>
      <c r="I749" t="inlineStr">
        <is>
          <t>2.25%</t>
        </is>
      </c>
    </row>
    <row r="750">
      <c r="A750" s="2" t="n">
        <v>45966</v>
      </c>
      <c r="B750" t="inlineStr">
        <is>
          <t>TDVI</t>
        </is>
      </c>
      <c r="C750" t="inlineStr">
        <is>
          <t>GICS_INDUSTRY_GROUP_NAME</t>
        </is>
      </c>
      <c r="D750" t="inlineStr">
        <is>
          <t>Media &amp; Entertainment</t>
        </is>
      </c>
      <c r="E750" t="inlineStr">
        <is>
          <t>N/A</t>
        </is>
      </c>
      <c r="F750" t="inlineStr"/>
      <c r="G750" t="inlineStr"/>
      <c r="H750" t="inlineStr">
        <is>
          <t>1.96%</t>
        </is>
      </c>
      <c r="I750" t="inlineStr">
        <is>
          <t>1.96%</t>
        </is>
      </c>
    </row>
    <row r="751">
      <c r="A751" s="2" t="n">
        <v>45966</v>
      </c>
      <c r="B751" t="inlineStr">
        <is>
          <t>TDVI</t>
        </is>
      </c>
      <c r="C751" t="inlineStr">
        <is>
          <t>GICS_INDUSTRY_NAME</t>
        </is>
      </c>
      <c r="D751" t="inlineStr">
        <is>
          <t>Media</t>
        </is>
      </c>
      <c r="E751" t="inlineStr">
        <is>
          <t>N/A</t>
        </is>
      </c>
      <c r="F751" t="inlineStr"/>
      <c r="G751" t="inlineStr"/>
      <c r="H751" t="inlineStr">
        <is>
          <t>1.54%</t>
        </is>
      </c>
      <c r="I751" t="inlineStr">
        <is>
          <t>1.54%</t>
        </is>
      </c>
    </row>
    <row r="752">
      <c r="A752" s="2" t="n">
        <v>45966</v>
      </c>
      <c r="B752" t="inlineStr">
        <is>
          <t>TDVI</t>
        </is>
      </c>
      <c r="C752" t="inlineStr">
        <is>
          <t>GICS_INDUSTRY_NAME</t>
        </is>
      </c>
      <c r="D752" t="inlineStr">
        <is>
          <t>Interactive Media &amp; Services</t>
        </is>
      </c>
      <c r="E752" t="inlineStr">
        <is>
          <t>N/A</t>
        </is>
      </c>
      <c r="F752" t="inlineStr"/>
      <c r="G752" t="inlineStr"/>
      <c r="H752" t="inlineStr">
        <is>
          <t>0.42%</t>
        </is>
      </c>
      <c r="I752" t="inlineStr">
        <is>
          <t>0.42%</t>
        </is>
      </c>
    </row>
    <row r="753">
      <c r="A753" s="2" t="n">
        <v>45966</v>
      </c>
      <c r="B753" t="inlineStr">
        <is>
          <t>TR2B1</t>
        </is>
      </c>
      <c r="C753" t="inlineStr">
        <is>
          <t>GICS_INDUSTRY_GROUP_NAME</t>
        </is>
      </c>
      <c r="D753" t="inlineStr">
        <is>
          <t>Semiconductors &amp; Semiconductor Equipment</t>
        </is>
      </c>
      <c r="E753" t="inlineStr">
        <is>
          <t>N/A</t>
        </is>
      </c>
      <c r="F753" t="inlineStr"/>
      <c r="G753" t="inlineStr"/>
      <c r="H753" t="inlineStr">
        <is>
          <t>15.87%</t>
        </is>
      </c>
      <c r="I753" t="inlineStr">
        <is>
          <t>14.90%</t>
        </is>
      </c>
    </row>
    <row r="754">
      <c r="A754" s="2" t="n">
        <v>45966</v>
      </c>
      <c r="B754" t="inlineStr">
        <is>
          <t>TR2B1</t>
        </is>
      </c>
      <c r="C754" t="inlineStr">
        <is>
          <t>GICS_INDUSTRY_NAME</t>
        </is>
      </c>
      <c r="D754" t="inlineStr">
        <is>
          <t>Semiconductors &amp; Semiconductor Equipment</t>
        </is>
      </c>
      <c r="E754" t="inlineStr">
        <is>
          <t>N/A</t>
        </is>
      </c>
      <c r="F754" t="inlineStr"/>
      <c r="G754" t="inlineStr"/>
      <c r="H754" t="inlineStr">
        <is>
          <t>15.87%</t>
        </is>
      </c>
      <c r="I754" t="inlineStr">
        <is>
          <t>14.90%</t>
        </is>
      </c>
    </row>
    <row r="755">
      <c r="A755" s="2" t="n">
        <v>45966</v>
      </c>
      <c r="B755" t="inlineStr">
        <is>
          <t>TR2B1</t>
        </is>
      </c>
      <c r="C755" t="inlineStr">
        <is>
          <t>GICS_INDUSTRY_GROUP_NAME</t>
        </is>
      </c>
      <c r="D755" t="inlineStr">
        <is>
          <t>Software &amp; Services</t>
        </is>
      </c>
      <c r="E755" t="inlineStr">
        <is>
          <t>N/A</t>
        </is>
      </c>
      <c r="F755" t="inlineStr"/>
      <c r="G755" t="inlineStr"/>
      <c r="H755" t="inlineStr">
        <is>
          <t>10.17%</t>
        </is>
      </c>
      <c r="I755" t="inlineStr">
        <is>
          <t>11.58%</t>
        </is>
      </c>
    </row>
    <row r="756">
      <c r="A756" s="2" t="n">
        <v>45966</v>
      </c>
      <c r="B756" t="inlineStr">
        <is>
          <t>TR2B1</t>
        </is>
      </c>
      <c r="C756" t="inlineStr">
        <is>
          <t>GICS_INDUSTRY_GROUP_NAME</t>
        </is>
      </c>
      <c r="D756" t="inlineStr">
        <is>
          <t>Technology Hardware &amp; Equipment</t>
        </is>
      </c>
      <c r="E756" t="inlineStr">
        <is>
          <t>N/A</t>
        </is>
      </c>
      <c r="F756" t="inlineStr"/>
      <c r="G756" t="inlineStr"/>
      <c r="H756" t="inlineStr">
        <is>
          <t>9.48%</t>
        </is>
      </c>
      <c r="I756" t="inlineStr">
        <is>
          <t>9.02%</t>
        </is>
      </c>
    </row>
    <row r="757">
      <c r="A757" s="2" t="n">
        <v>45966</v>
      </c>
      <c r="B757" t="inlineStr">
        <is>
          <t>TR2B1</t>
        </is>
      </c>
      <c r="C757" t="inlineStr">
        <is>
          <t>GICS_INDUSTRY_GROUP_NAME</t>
        </is>
      </c>
      <c r="D757" t="inlineStr">
        <is>
          <t>Media &amp; Entertainment</t>
        </is>
      </c>
      <c r="E757" t="inlineStr">
        <is>
          <t>N/A</t>
        </is>
      </c>
      <c r="F757" t="inlineStr"/>
      <c r="G757" t="inlineStr"/>
      <c r="H757" t="inlineStr">
        <is>
          <t>9.40%</t>
        </is>
      </c>
      <c r="I757" t="inlineStr">
        <is>
          <t>9.40%</t>
        </is>
      </c>
    </row>
    <row r="758">
      <c r="A758" s="2" t="n">
        <v>45966</v>
      </c>
      <c r="B758" t="inlineStr">
        <is>
          <t>TR2B1</t>
        </is>
      </c>
      <c r="C758" t="inlineStr">
        <is>
          <t>GICS_INDUSTRY_NAME</t>
        </is>
      </c>
      <c r="D758" t="inlineStr">
        <is>
          <t>Software</t>
        </is>
      </c>
      <c r="E758" t="inlineStr">
        <is>
          <t>N/A</t>
        </is>
      </c>
      <c r="F758" t="inlineStr"/>
      <c r="G758" t="inlineStr"/>
      <c r="H758" t="inlineStr">
        <is>
          <t>8.96%</t>
        </is>
      </c>
      <c r="I758" t="inlineStr">
        <is>
          <t>10.45%</t>
        </is>
      </c>
    </row>
    <row r="759">
      <c r="A759" s="2" t="n">
        <v>45966</v>
      </c>
      <c r="B759" t="inlineStr">
        <is>
          <t>TR2B1</t>
        </is>
      </c>
      <c r="C759" t="inlineStr">
        <is>
          <t>GICS_INDUSTRY_NAME</t>
        </is>
      </c>
      <c r="D759" t="inlineStr">
        <is>
          <t>Interactive Media &amp; Services</t>
        </is>
      </c>
      <c r="E759" t="inlineStr">
        <is>
          <t>N/A</t>
        </is>
      </c>
      <c r="F759" t="inlineStr"/>
      <c r="G759" t="inlineStr"/>
      <c r="H759" t="inlineStr">
        <is>
          <t>7.99%</t>
        </is>
      </c>
      <c r="I759" t="inlineStr">
        <is>
          <t>7.99%</t>
        </is>
      </c>
    </row>
    <row r="760">
      <c r="A760" s="2" t="n">
        <v>45966</v>
      </c>
      <c r="B760" t="inlineStr">
        <is>
          <t>TR2B1</t>
        </is>
      </c>
      <c r="C760" t="inlineStr">
        <is>
          <t>GICS_INDUSTRY_NAME</t>
        </is>
      </c>
      <c r="D760" t="inlineStr">
        <is>
          <t>Technology Hardware, Storage &amp; Peripherals</t>
        </is>
      </c>
      <c r="E760" t="inlineStr">
        <is>
          <t>N/A</t>
        </is>
      </c>
      <c r="F760" t="inlineStr"/>
      <c r="G760" t="inlineStr"/>
      <c r="H760" t="inlineStr">
        <is>
          <t>7.46%</t>
        </is>
      </c>
      <c r="I760" t="inlineStr">
        <is>
          <t>7.01%</t>
        </is>
      </c>
    </row>
    <row r="761">
      <c r="A761" s="2" t="n">
        <v>45966</v>
      </c>
      <c r="B761" t="inlineStr">
        <is>
          <t>TR2B1</t>
        </is>
      </c>
      <c r="C761" t="inlineStr">
        <is>
          <t>GICS_INDUSTRY_GROUP_NAME</t>
        </is>
      </c>
      <c r="D761" t="inlineStr">
        <is>
          <t>Financial Services</t>
        </is>
      </c>
      <c r="E761" t="inlineStr">
        <is>
          <t>N/A</t>
        </is>
      </c>
      <c r="F761" t="inlineStr"/>
      <c r="G761" t="inlineStr"/>
      <c r="H761" t="inlineStr">
        <is>
          <t>6.64%</t>
        </is>
      </c>
      <c r="I761" t="inlineStr">
        <is>
          <t>7.82%</t>
        </is>
      </c>
    </row>
    <row r="762">
      <c r="A762" s="2" t="n">
        <v>45966</v>
      </c>
      <c r="B762" t="inlineStr">
        <is>
          <t>TR2B1</t>
        </is>
      </c>
      <c r="C762" t="inlineStr">
        <is>
          <t>GICS_INDUSTRY_GROUP_NAME</t>
        </is>
      </c>
      <c r="D762" t="inlineStr">
        <is>
          <t>Capital Goods</t>
        </is>
      </c>
      <c r="E762" t="inlineStr">
        <is>
          <t>N/A</t>
        </is>
      </c>
      <c r="F762" t="inlineStr"/>
      <c r="G762" t="inlineStr"/>
      <c r="H762" t="inlineStr">
        <is>
          <t>6.29%</t>
        </is>
      </c>
      <c r="I762" t="inlineStr">
        <is>
          <t>6.29%</t>
        </is>
      </c>
    </row>
    <row r="763">
      <c r="A763" s="2" t="n">
        <v>45966</v>
      </c>
      <c r="B763" t="inlineStr">
        <is>
          <t>TR2B1</t>
        </is>
      </c>
      <c r="C763" t="inlineStr">
        <is>
          <t>GICS_INDUSTRY_GROUP_NAME</t>
        </is>
      </c>
      <c r="D763" t="inlineStr">
        <is>
          <t>Consumer Discretionary Distribution &amp; Retail</t>
        </is>
      </c>
      <c r="E763" t="inlineStr">
        <is>
          <t>N/A</t>
        </is>
      </c>
      <c r="F763" t="inlineStr"/>
      <c r="G763" t="inlineStr"/>
      <c r="H763" t="inlineStr">
        <is>
          <t>5.78%</t>
        </is>
      </c>
      <c r="I763" t="inlineStr">
        <is>
          <t>5.78%</t>
        </is>
      </c>
    </row>
    <row r="764">
      <c r="A764" s="2" t="n">
        <v>45966</v>
      </c>
      <c r="B764" t="inlineStr">
        <is>
          <t>TR2B1</t>
        </is>
      </c>
      <c r="C764" t="inlineStr">
        <is>
          <t>GICS_INDUSTRY_GROUP_NAME</t>
        </is>
      </c>
      <c r="D764" t="inlineStr">
        <is>
          <t>Pharmaceuticals, Biotechnology &amp; Life Sciences</t>
        </is>
      </c>
      <c r="E764" t="inlineStr">
        <is>
          <t>N/A</t>
        </is>
      </c>
      <c r="F764" t="inlineStr"/>
      <c r="G764" t="inlineStr"/>
      <c r="H764" t="inlineStr">
        <is>
          <t>4.96%</t>
        </is>
      </c>
      <c r="I764" t="inlineStr">
        <is>
          <t>5.66%</t>
        </is>
      </c>
    </row>
    <row r="765">
      <c r="A765" s="2" t="n">
        <v>45966</v>
      </c>
      <c r="B765" t="inlineStr">
        <is>
          <t>TR2B1</t>
        </is>
      </c>
      <c r="C765" t="inlineStr">
        <is>
          <t>GICS_INDUSTRY_NAME</t>
        </is>
      </c>
      <c r="D765" t="inlineStr">
        <is>
          <t>Broadline Retail</t>
        </is>
      </c>
      <c r="E765" t="inlineStr">
        <is>
          <t>N/A</t>
        </is>
      </c>
      <c r="F765" t="inlineStr"/>
      <c r="G765" t="inlineStr"/>
      <c r="H765" t="inlineStr">
        <is>
          <t>4.50%</t>
        </is>
      </c>
      <c r="I765" t="inlineStr">
        <is>
          <t>4.50%</t>
        </is>
      </c>
    </row>
    <row r="766">
      <c r="A766" s="2" t="n">
        <v>45966</v>
      </c>
      <c r="B766" t="inlineStr">
        <is>
          <t>TR2B1</t>
        </is>
      </c>
      <c r="C766" t="inlineStr">
        <is>
          <t>GICS_INDUSTRY_GROUP_NAME</t>
        </is>
      </c>
      <c r="D766" t="inlineStr">
        <is>
          <t>Banks</t>
        </is>
      </c>
      <c r="E766" t="inlineStr">
        <is>
          <t>N/A</t>
        </is>
      </c>
      <c r="F766" t="inlineStr"/>
      <c r="G766" t="inlineStr"/>
      <c r="H766" t="inlineStr">
        <is>
          <t>4.47%</t>
        </is>
      </c>
      <c r="I766" t="inlineStr">
        <is>
          <t>3.69%</t>
        </is>
      </c>
    </row>
    <row r="767">
      <c r="A767" s="2" t="n">
        <v>45966</v>
      </c>
      <c r="B767" t="inlineStr">
        <is>
          <t>TR2B1</t>
        </is>
      </c>
      <c r="C767" t="inlineStr">
        <is>
          <t>GICS_INDUSTRY_NAME</t>
        </is>
      </c>
      <c r="D767" t="inlineStr">
        <is>
          <t>Banks</t>
        </is>
      </c>
      <c r="E767" t="inlineStr">
        <is>
          <t>N/A</t>
        </is>
      </c>
      <c r="F767" t="inlineStr"/>
      <c r="G767" t="inlineStr"/>
      <c r="H767" t="inlineStr">
        <is>
          <t>4.47%</t>
        </is>
      </c>
      <c r="I767" t="inlineStr">
        <is>
          <t>3.69%</t>
        </is>
      </c>
    </row>
    <row r="768">
      <c r="A768" s="2" t="n">
        <v>45966</v>
      </c>
      <c r="B768" t="inlineStr">
        <is>
          <t>TR2B1</t>
        </is>
      </c>
      <c r="C768" t="inlineStr">
        <is>
          <t>GICS_INDUSTRY_GROUP_NAME</t>
        </is>
      </c>
      <c r="D768" t="inlineStr">
        <is>
          <t>Health Care Equipment &amp; Services</t>
        </is>
      </c>
      <c r="E768" t="inlineStr">
        <is>
          <t>N/A</t>
        </is>
      </c>
      <c r="F768" t="inlineStr"/>
      <c r="G768" t="inlineStr"/>
      <c r="H768" t="inlineStr">
        <is>
          <t>4.04%</t>
        </is>
      </c>
      <c r="I768" t="inlineStr">
        <is>
          <t>3.36%</t>
        </is>
      </c>
    </row>
    <row r="769">
      <c r="A769" s="2" t="n">
        <v>45966</v>
      </c>
      <c r="B769" t="inlineStr">
        <is>
          <t>TR2B1</t>
        </is>
      </c>
      <c r="C769" t="inlineStr">
        <is>
          <t>GICS_INDUSTRY_NAME</t>
        </is>
      </c>
      <c r="D769" t="inlineStr">
        <is>
          <t>Financial Services</t>
        </is>
      </c>
      <c r="E769" t="inlineStr">
        <is>
          <t>N/A</t>
        </is>
      </c>
      <c r="F769" t="inlineStr"/>
      <c r="G769" t="inlineStr"/>
      <c r="H769" t="inlineStr">
        <is>
          <t>3.34%</t>
        </is>
      </c>
      <c r="I769" t="inlineStr">
        <is>
          <t>5.03%</t>
        </is>
      </c>
    </row>
    <row r="770">
      <c r="A770" s="2" t="n">
        <v>45966</v>
      </c>
      <c r="B770" t="inlineStr">
        <is>
          <t>TR2B1</t>
        </is>
      </c>
      <c r="C770" t="inlineStr">
        <is>
          <t>GICS_INDUSTRY_NAME</t>
        </is>
      </c>
      <c r="D770" t="inlineStr">
        <is>
          <t>Aerospace &amp; Defense</t>
        </is>
      </c>
      <c r="E770" t="inlineStr">
        <is>
          <t>N/A</t>
        </is>
      </c>
      <c r="F770" t="inlineStr"/>
      <c r="G770" t="inlineStr"/>
      <c r="H770" t="inlineStr">
        <is>
          <t>3.09%</t>
        </is>
      </c>
      <c r="I770" t="inlineStr">
        <is>
          <t>3.09%</t>
        </is>
      </c>
    </row>
    <row r="771">
      <c r="A771" s="2" t="n">
        <v>45966</v>
      </c>
      <c r="B771" t="inlineStr">
        <is>
          <t>TR2B1</t>
        </is>
      </c>
      <c r="C771" t="inlineStr">
        <is>
          <t>GICS_INDUSTRY_GROUP_NAME</t>
        </is>
      </c>
      <c r="D771" t="inlineStr">
        <is>
          <t>Energy</t>
        </is>
      </c>
      <c r="E771" t="inlineStr">
        <is>
          <t>N/A</t>
        </is>
      </c>
      <c r="F771" t="inlineStr"/>
      <c r="G771" t="inlineStr"/>
      <c r="H771" t="inlineStr">
        <is>
          <t>2.79%</t>
        </is>
      </c>
      <c r="I771" t="inlineStr">
        <is>
          <t>2.79%</t>
        </is>
      </c>
    </row>
    <row r="772">
      <c r="A772" s="2" t="n">
        <v>45966</v>
      </c>
      <c r="B772" t="inlineStr">
        <is>
          <t>TR2B1</t>
        </is>
      </c>
      <c r="C772" t="inlineStr">
        <is>
          <t>GICS_INDUSTRY_NAME</t>
        </is>
      </c>
      <c r="D772" t="inlineStr">
        <is>
          <t>Oil, Gas &amp; Consumable Fuels</t>
        </is>
      </c>
      <c r="E772" t="inlineStr">
        <is>
          <t>N/A</t>
        </is>
      </c>
      <c r="F772" t="inlineStr"/>
      <c r="G772" t="inlineStr"/>
      <c r="H772" t="inlineStr">
        <is>
          <t>2.79%</t>
        </is>
      </c>
      <c r="I772" t="inlineStr">
        <is>
          <t>2.79%</t>
        </is>
      </c>
    </row>
    <row r="773">
      <c r="A773" s="2" t="n">
        <v>45966</v>
      </c>
      <c r="B773" t="inlineStr">
        <is>
          <t>TR2B1</t>
        </is>
      </c>
      <c r="C773" t="inlineStr">
        <is>
          <t>GICS_INDUSTRY_NAME</t>
        </is>
      </c>
      <c r="D773" t="inlineStr">
        <is>
          <t>Capital Markets</t>
        </is>
      </c>
      <c r="E773" t="inlineStr">
        <is>
          <t>N/A</t>
        </is>
      </c>
      <c r="F773" t="inlineStr"/>
      <c r="G773" t="inlineStr"/>
      <c r="H773" t="inlineStr">
        <is>
          <t>2.68%</t>
        </is>
      </c>
      <c r="I773" t="inlineStr">
        <is>
          <t>2.28%</t>
        </is>
      </c>
    </row>
    <row r="774">
      <c r="A774" s="2" t="n">
        <v>45966</v>
      </c>
      <c r="B774" t="inlineStr">
        <is>
          <t>TR2B1</t>
        </is>
      </c>
      <c r="C774" t="inlineStr">
        <is>
          <t>GICS_INDUSTRY_GROUP_NAME</t>
        </is>
      </c>
      <c r="D774" t="inlineStr">
        <is>
          <t>Automobiles &amp; Components</t>
        </is>
      </c>
      <c r="E774" t="inlineStr">
        <is>
          <t>N/A</t>
        </is>
      </c>
      <c r="F774" t="inlineStr"/>
      <c r="G774" t="inlineStr"/>
      <c r="H774" t="inlineStr">
        <is>
          <t>2.45%</t>
        </is>
      </c>
      <c r="I774" t="inlineStr">
        <is>
          <t>2.45%</t>
        </is>
      </c>
    </row>
    <row r="775">
      <c r="A775" s="2" t="n">
        <v>45966</v>
      </c>
      <c r="B775" t="inlineStr">
        <is>
          <t>TR2B1</t>
        </is>
      </c>
      <c r="C775" t="inlineStr">
        <is>
          <t>GICS_INDUSTRY_NAME</t>
        </is>
      </c>
      <c r="D775" t="inlineStr">
        <is>
          <t>Automobiles</t>
        </is>
      </c>
      <c r="E775" t="inlineStr">
        <is>
          <t>N/A</t>
        </is>
      </c>
      <c r="F775" t="inlineStr"/>
      <c r="G775" t="inlineStr"/>
      <c r="H775" t="inlineStr">
        <is>
          <t>2.45%</t>
        </is>
      </c>
      <c r="I775" t="inlineStr">
        <is>
          <t>2.45%</t>
        </is>
      </c>
    </row>
    <row r="776">
      <c r="A776" s="2" t="n">
        <v>45966</v>
      </c>
      <c r="B776" t="inlineStr">
        <is>
          <t>TR2B1</t>
        </is>
      </c>
      <c r="C776" t="inlineStr">
        <is>
          <t>GICS_INDUSTRY_NAME</t>
        </is>
      </c>
      <c r="D776" t="inlineStr">
        <is>
          <t>Pharmaceuticals</t>
        </is>
      </c>
      <c r="E776" t="inlineStr">
        <is>
          <t>N/A</t>
        </is>
      </c>
      <c r="F776" t="inlineStr"/>
      <c r="G776" t="inlineStr"/>
      <c r="H776" t="inlineStr">
        <is>
          <t>2.27%</t>
        </is>
      </c>
      <c r="I776" t="inlineStr">
        <is>
          <t>3.42%</t>
        </is>
      </c>
    </row>
    <row r="777">
      <c r="A777" s="2" t="n">
        <v>45966</v>
      </c>
      <c r="B777" t="inlineStr">
        <is>
          <t>TR2B1</t>
        </is>
      </c>
      <c r="C777" t="inlineStr">
        <is>
          <t>GICS_INDUSTRY_GROUP_NAME</t>
        </is>
      </c>
      <c r="D777" t="inlineStr">
        <is>
          <t>Utilities</t>
        </is>
      </c>
      <c r="E777" t="inlineStr">
        <is>
          <t>N/A</t>
        </is>
      </c>
      <c r="F777" t="inlineStr"/>
      <c r="G777" t="inlineStr"/>
      <c r="H777" t="inlineStr">
        <is>
          <t>2.26%</t>
        </is>
      </c>
      <c r="I777" t="inlineStr">
        <is>
          <t>2.26%</t>
        </is>
      </c>
    </row>
    <row r="778">
      <c r="A778" s="2" t="n">
        <v>45966</v>
      </c>
      <c r="B778" t="inlineStr">
        <is>
          <t>TR2B1</t>
        </is>
      </c>
      <c r="C778" t="inlineStr">
        <is>
          <t>GICS_INDUSTRY_NAME</t>
        </is>
      </c>
      <c r="D778" t="inlineStr">
        <is>
          <t>Electric Utilities</t>
        </is>
      </c>
      <c r="E778" t="inlineStr">
        <is>
          <t>N/A</t>
        </is>
      </c>
      <c r="F778" t="inlineStr"/>
      <c r="G778" t="inlineStr"/>
      <c r="H778" t="inlineStr">
        <is>
          <t>2.26%</t>
        </is>
      </c>
      <c r="I778" t="inlineStr">
        <is>
          <t>2.26%</t>
        </is>
      </c>
    </row>
    <row r="779">
      <c r="A779" s="2" t="n">
        <v>45966</v>
      </c>
      <c r="B779" t="inlineStr">
        <is>
          <t>TR2B1</t>
        </is>
      </c>
      <c r="C779" t="inlineStr">
        <is>
          <t>GICS_INDUSTRY_GROUP_NAME</t>
        </is>
      </c>
      <c r="D779" t="inlineStr">
        <is>
          <t>Insurance</t>
        </is>
      </c>
      <c r="E779" t="inlineStr">
        <is>
          <t>N/A</t>
        </is>
      </c>
      <c r="F779" t="inlineStr"/>
      <c r="G779" t="inlineStr"/>
      <c r="H779" t="inlineStr">
        <is>
          <t>2.17%</t>
        </is>
      </c>
      <c r="I779" t="inlineStr">
        <is>
          <t>1.79%</t>
        </is>
      </c>
    </row>
    <row r="780">
      <c r="A780" s="2" t="n">
        <v>45966</v>
      </c>
      <c r="B780" t="inlineStr">
        <is>
          <t>TR2B1</t>
        </is>
      </c>
      <c r="C780" t="inlineStr">
        <is>
          <t>GICS_INDUSTRY_NAME</t>
        </is>
      </c>
      <c r="D780" t="inlineStr">
        <is>
          <t>Insurance</t>
        </is>
      </c>
      <c r="E780" t="inlineStr">
        <is>
          <t>N/A</t>
        </is>
      </c>
      <c r="F780" t="inlineStr"/>
      <c r="G780" t="inlineStr"/>
      <c r="H780" t="inlineStr">
        <is>
          <t>2.17%</t>
        </is>
      </c>
      <c r="I780" t="inlineStr">
        <is>
          <t>1.79%</t>
        </is>
      </c>
    </row>
    <row r="781">
      <c r="A781" s="2" t="n">
        <v>45966</v>
      </c>
      <c r="B781" t="inlineStr">
        <is>
          <t>TR2B1</t>
        </is>
      </c>
      <c r="C781" t="inlineStr">
        <is>
          <t>GICS_INDUSTRY_GROUP_NAME</t>
        </is>
      </c>
      <c r="D781" t="inlineStr">
        <is>
          <t>Food, Beverage &amp; Tobacco</t>
        </is>
      </c>
      <c r="E781" t="inlineStr">
        <is>
          <t>N/A</t>
        </is>
      </c>
      <c r="F781" t="inlineStr"/>
      <c r="G781" t="inlineStr"/>
      <c r="H781" t="inlineStr">
        <is>
          <t>2.15%</t>
        </is>
      </c>
      <c r="I781" t="inlineStr">
        <is>
          <t>2.15%</t>
        </is>
      </c>
    </row>
    <row r="782">
      <c r="A782" s="2" t="n">
        <v>45966</v>
      </c>
      <c r="B782" t="inlineStr">
        <is>
          <t>TR2B1</t>
        </is>
      </c>
      <c r="C782" t="inlineStr">
        <is>
          <t>GICS_INDUSTRY_NAME</t>
        </is>
      </c>
      <c r="D782" t="inlineStr">
        <is>
          <t>Health Care Equipment &amp; Supplies</t>
        </is>
      </c>
      <c r="E782" t="inlineStr">
        <is>
          <t>N/A</t>
        </is>
      </c>
      <c r="F782" t="inlineStr"/>
      <c r="G782" t="inlineStr"/>
      <c r="H782" t="inlineStr">
        <is>
          <t>2.13%</t>
        </is>
      </c>
      <c r="I782" t="inlineStr">
        <is>
          <t>1.77%</t>
        </is>
      </c>
    </row>
    <row r="783">
      <c r="A783" s="2" t="n">
        <v>45966</v>
      </c>
      <c r="B783" t="inlineStr">
        <is>
          <t>TR2B1</t>
        </is>
      </c>
      <c r="C783" t="inlineStr">
        <is>
          <t>GICS_INDUSTRY_NAME</t>
        </is>
      </c>
      <c r="D783" t="inlineStr">
        <is>
          <t>Communications Equipment</t>
        </is>
      </c>
      <c r="E783" t="inlineStr">
        <is>
          <t>N/A</t>
        </is>
      </c>
      <c r="F783" t="inlineStr"/>
      <c r="G783" t="inlineStr"/>
      <c r="H783" t="inlineStr">
        <is>
          <t>2.02%</t>
        </is>
      </c>
      <c r="I783" t="inlineStr">
        <is>
          <t>2.01%</t>
        </is>
      </c>
    </row>
    <row r="784">
      <c r="A784" s="2" t="n">
        <v>45966</v>
      </c>
      <c r="B784" t="inlineStr">
        <is>
          <t>TR2B1</t>
        </is>
      </c>
      <c r="C784" t="inlineStr">
        <is>
          <t>GICS_INDUSTRY_NAME</t>
        </is>
      </c>
      <c r="D784" t="inlineStr">
        <is>
          <t>Health Care Providers &amp; Services</t>
        </is>
      </c>
      <c r="E784" t="inlineStr">
        <is>
          <t>N/A</t>
        </is>
      </c>
      <c r="F784" t="inlineStr"/>
      <c r="G784" t="inlineStr"/>
      <c r="H784" t="inlineStr">
        <is>
          <t>1.91%</t>
        </is>
      </c>
      <c r="I784" t="inlineStr">
        <is>
          <t>1.59%</t>
        </is>
      </c>
    </row>
    <row r="785">
      <c r="A785" s="2" t="n">
        <v>45966</v>
      </c>
      <c r="B785" t="inlineStr">
        <is>
          <t>TR2B1</t>
        </is>
      </c>
      <c r="C785" t="inlineStr">
        <is>
          <t>GICS_INDUSTRY_NAME</t>
        </is>
      </c>
      <c r="D785" t="inlineStr">
        <is>
          <t>Biotechnology</t>
        </is>
      </c>
      <c r="E785" t="inlineStr">
        <is>
          <t>N/A</t>
        </is>
      </c>
      <c r="F785" t="inlineStr"/>
      <c r="G785" t="inlineStr"/>
      <c r="H785" t="inlineStr">
        <is>
          <t>1.79%</t>
        </is>
      </c>
      <c r="I785" t="inlineStr">
        <is>
          <t>1.49%</t>
        </is>
      </c>
    </row>
    <row r="786">
      <c r="A786" s="2" t="n">
        <v>45966</v>
      </c>
      <c r="B786" t="inlineStr">
        <is>
          <t>TR2B1</t>
        </is>
      </c>
      <c r="C786" t="inlineStr">
        <is>
          <t>GICS_INDUSTRY_GROUP_NAME</t>
        </is>
      </c>
      <c r="D786" t="inlineStr">
        <is>
          <t>Consumer Staples Distribution &amp; Retail</t>
        </is>
      </c>
      <c r="E786" t="inlineStr">
        <is>
          <t>N/A</t>
        </is>
      </c>
      <c r="F786" t="inlineStr"/>
      <c r="G786" t="inlineStr"/>
      <c r="H786" t="inlineStr">
        <is>
          <t>1.74%</t>
        </is>
      </c>
      <c r="I786" t="inlineStr">
        <is>
          <t>1.75%</t>
        </is>
      </c>
    </row>
    <row r="787">
      <c r="A787" s="2" t="n">
        <v>45966</v>
      </c>
      <c r="B787" t="inlineStr">
        <is>
          <t>TR2B1</t>
        </is>
      </c>
      <c r="C787" t="inlineStr">
        <is>
          <t>GICS_INDUSTRY_NAME</t>
        </is>
      </c>
      <c r="D787" t="inlineStr">
        <is>
          <t>Consumer Staples Distribution &amp; Retail</t>
        </is>
      </c>
      <c r="E787" t="inlineStr">
        <is>
          <t>N/A</t>
        </is>
      </c>
      <c r="F787" t="inlineStr"/>
      <c r="G787" t="inlineStr"/>
      <c r="H787" t="inlineStr">
        <is>
          <t>1.74%</t>
        </is>
      </c>
      <c r="I787" t="inlineStr">
        <is>
          <t>1.75%</t>
        </is>
      </c>
    </row>
    <row r="788">
      <c r="A788" s="2" t="n">
        <v>45966</v>
      </c>
      <c r="B788" t="inlineStr">
        <is>
          <t>TR2B1</t>
        </is>
      </c>
      <c r="C788" t="inlineStr">
        <is>
          <t>GICS_INDUSTRY_GROUP_NAME</t>
        </is>
      </c>
      <c r="D788" t="inlineStr">
        <is>
          <t>Materials</t>
        </is>
      </c>
      <c r="E788" t="inlineStr">
        <is>
          <t>N/A</t>
        </is>
      </c>
      <c r="F788" t="inlineStr"/>
      <c r="G788" t="inlineStr"/>
      <c r="H788" t="inlineStr">
        <is>
          <t>1.68%</t>
        </is>
      </c>
      <c r="I788" t="inlineStr">
        <is>
          <t>1.68%</t>
        </is>
      </c>
    </row>
    <row r="789">
      <c r="A789" s="2" t="n">
        <v>45966</v>
      </c>
      <c r="B789" t="inlineStr">
        <is>
          <t>TR2B1</t>
        </is>
      </c>
      <c r="C789" t="inlineStr">
        <is>
          <t>GICS_INDUSTRY_NAME</t>
        </is>
      </c>
      <c r="D789" t="inlineStr">
        <is>
          <t>Chemicals</t>
        </is>
      </c>
      <c r="E789" t="inlineStr">
        <is>
          <t>N/A</t>
        </is>
      </c>
      <c r="F789" t="inlineStr"/>
      <c r="G789" t="inlineStr"/>
      <c r="H789" t="inlineStr">
        <is>
          <t>1.68%</t>
        </is>
      </c>
      <c r="I789" t="inlineStr">
        <is>
          <t>1.68%</t>
        </is>
      </c>
    </row>
    <row r="790">
      <c r="A790" s="2" t="n">
        <v>45966</v>
      </c>
      <c r="B790" t="inlineStr">
        <is>
          <t>TR2B1</t>
        </is>
      </c>
      <c r="C790" t="inlineStr">
        <is>
          <t>GICS_INDUSTRY_GROUP_NAME</t>
        </is>
      </c>
      <c r="D790" t="inlineStr">
        <is>
          <t>Consumer Services</t>
        </is>
      </c>
      <c r="E790" t="inlineStr">
        <is>
          <t>N/A</t>
        </is>
      </c>
      <c r="F790" t="inlineStr"/>
      <c r="G790" t="inlineStr"/>
      <c r="H790" t="inlineStr">
        <is>
          <t>1.67%</t>
        </is>
      </c>
      <c r="I790" t="inlineStr">
        <is>
          <t>1.67%</t>
        </is>
      </c>
    </row>
    <row r="791">
      <c r="A791" s="2" t="n">
        <v>45966</v>
      </c>
      <c r="B791" t="inlineStr">
        <is>
          <t>TR2B1</t>
        </is>
      </c>
      <c r="C791" t="inlineStr">
        <is>
          <t>GICS_INDUSTRY_NAME</t>
        </is>
      </c>
      <c r="D791" t="inlineStr">
        <is>
          <t>Hotels, Restaurants &amp; Leisure</t>
        </is>
      </c>
      <c r="E791" t="inlineStr">
        <is>
          <t>N/A</t>
        </is>
      </c>
      <c r="F791" t="inlineStr"/>
      <c r="G791" t="inlineStr"/>
      <c r="H791" t="inlineStr">
        <is>
          <t>1.67%</t>
        </is>
      </c>
      <c r="I791" t="inlineStr">
        <is>
          <t>1.67%</t>
        </is>
      </c>
    </row>
    <row r="792">
      <c r="A792" s="2" t="n">
        <v>45966</v>
      </c>
      <c r="B792" t="inlineStr">
        <is>
          <t>TR2B1</t>
        </is>
      </c>
      <c r="C792" t="inlineStr">
        <is>
          <t>GICS_INDUSTRY_NAME</t>
        </is>
      </c>
      <c r="D792" t="inlineStr">
        <is>
          <t>Machinery</t>
        </is>
      </c>
      <c r="E792" t="inlineStr">
        <is>
          <t>N/A</t>
        </is>
      </c>
      <c r="F792" t="inlineStr"/>
      <c r="G792" t="inlineStr"/>
      <c r="H792" t="inlineStr">
        <is>
          <t>1.51%</t>
        </is>
      </c>
      <c r="I792" t="inlineStr">
        <is>
          <t>1.51%</t>
        </is>
      </c>
    </row>
    <row r="793">
      <c r="A793" s="2" t="n">
        <v>45966</v>
      </c>
      <c r="B793" t="inlineStr">
        <is>
          <t>TR2B1</t>
        </is>
      </c>
      <c r="C793" t="inlineStr">
        <is>
          <t>GICS_INDUSTRY_GROUP_NAME</t>
        </is>
      </c>
      <c r="D793" t="inlineStr">
        <is>
          <t>Equity Real Estate Investment Trusts</t>
        </is>
      </c>
      <c r="E793" t="inlineStr">
        <is>
          <t>N/A</t>
        </is>
      </c>
      <c r="F793" t="inlineStr"/>
      <c r="G793" t="inlineStr"/>
      <c r="H793" t="inlineStr">
        <is>
          <t>1.44%</t>
        </is>
      </c>
      <c r="I793" t="inlineStr">
        <is>
          <t>1.44%</t>
        </is>
      </c>
    </row>
    <row r="794">
      <c r="A794" s="2" t="n">
        <v>45966</v>
      </c>
      <c r="B794" t="inlineStr">
        <is>
          <t>TR2B1</t>
        </is>
      </c>
      <c r="C794" t="inlineStr">
        <is>
          <t>GICS_INDUSTRY_NAME</t>
        </is>
      </c>
      <c r="D794" t="inlineStr">
        <is>
          <t>Specialized REITs</t>
        </is>
      </c>
      <c r="E794" t="inlineStr">
        <is>
          <t>N/A</t>
        </is>
      </c>
      <c r="F794" t="inlineStr"/>
      <c r="G794" t="inlineStr"/>
      <c r="H794" t="inlineStr">
        <is>
          <t>1.44%</t>
        </is>
      </c>
      <c r="I794" t="inlineStr">
        <is>
          <t>1.44%</t>
        </is>
      </c>
    </row>
    <row r="795">
      <c r="A795" s="2" t="n">
        <v>45966</v>
      </c>
      <c r="B795" t="inlineStr">
        <is>
          <t>TR2B1</t>
        </is>
      </c>
      <c r="C795" t="inlineStr">
        <is>
          <t>GICS_INDUSTRY_GROUP_NAME</t>
        </is>
      </c>
      <c r="D795" t="inlineStr">
        <is>
          <t>Transportation</t>
        </is>
      </c>
      <c r="E795" t="inlineStr">
        <is>
          <t>N/A</t>
        </is>
      </c>
      <c r="F795" t="inlineStr"/>
      <c r="G795" t="inlineStr"/>
      <c r="H795" t="inlineStr">
        <is>
          <t>1.32%</t>
        </is>
      </c>
      <c r="I795" t="inlineStr">
        <is>
          <t>1.32%</t>
        </is>
      </c>
    </row>
    <row r="796">
      <c r="A796" s="2" t="n">
        <v>45966</v>
      </c>
      <c r="B796" t="inlineStr">
        <is>
          <t>TR2B1</t>
        </is>
      </c>
      <c r="C796" t="inlineStr">
        <is>
          <t>GICS_INDUSTRY_NAME</t>
        </is>
      </c>
      <c r="D796" t="inlineStr">
        <is>
          <t>Specialty Retail</t>
        </is>
      </c>
      <c r="E796" t="inlineStr">
        <is>
          <t>N/A</t>
        </is>
      </c>
      <c r="F796" t="inlineStr"/>
      <c r="G796" t="inlineStr"/>
      <c r="H796" t="inlineStr">
        <is>
          <t>1.28%</t>
        </is>
      </c>
      <c r="I796" t="inlineStr">
        <is>
          <t>1.28%</t>
        </is>
      </c>
    </row>
    <row r="797">
      <c r="A797" s="2" t="n">
        <v>45966</v>
      </c>
      <c r="B797" t="inlineStr">
        <is>
          <t>TR2B1</t>
        </is>
      </c>
      <c r="C797" t="inlineStr">
        <is>
          <t>GICS_INDUSTRY_NAME</t>
        </is>
      </c>
      <c r="D797" t="inlineStr">
        <is>
          <t>Entertainment</t>
        </is>
      </c>
      <c r="E797" t="inlineStr">
        <is>
          <t>N/A</t>
        </is>
      </c>
      <c r="F797" t="inlineStr"/>
      <c r="G797" t="inlineStr"/>
      <c r="H797" t="inlineStr">
        <is>
          <t>1.22%</t>
        </is>
      </c>
      <c r="I797" t="inlineStr">
        <is>
          <t>1.22%</t>
        </is>
      </c>
    </row>
    <row r="798">
      <c r="A798" s="2" t="n">
        <v>45966</v>
      </c>
      <c r="B798" t="inlineStr">
        <is>
          <t>TR2B1</t>
        </is>
      </c>
      <c r="C798" t="inlineStr">
        <is>
          <t>GICS_INDUSTRY_NAME</t>
        </is>
      </c>
      <c r="D798" t="inlineStr">
        <is>
          <t>IT Services</t>
        </is>
      </c>
      <c r="E798" t="inlineStr">
        <is>
          <t>N/A</t>
        </is>
      </c>
      <c r="F798" t="inlineStr"/>
      <c r="G798" t="inlineStr"/>
      <c r="H798" t="inlineStr">
        <is>
          <t>1.21%</t>
        </is>
      </c>
      <c r="I798" t="inlineStr">
        <is>
          <t>1.13%</t>
        </is>
      </c>
    </row>
    <row r="799">
      <c r="A799" s="2" t="n">
        <v>45966</v>
      </c>
      <c r="B799" t="inlineStr">
        <is>
          <t>TR2B1</t>
        </is>
      </c>
      <c r="C799" t="inlineStr">
        <is>
          <t>GICS_INDUSTRY_NAME</t>
        </is>
      </c>
      <c r="D799" t="inlineStr">
        <is>
          <t>Beverages</t>
        </is>
      </c>
      <c r="E799" t="inlineStr">
        <is>
          <t>N/A</t>
        </is>
      </c>
      <c r="F799" t="inlineStr"/>
      <c r="G799" t="inlineStr"/>
      <c r="H799" t="inlineStr">
        <is>
          <t>1.15%</t>
        </is>
      </c>
      <c r="I799" t="inlineStr">
        <is>
          <t>1.15%</t>
        </is>
      </c>
    </row>
    <row r="800">
      <c r="A800" s="2" t="n">
        <v>45966</v>
      </c>
      <c r="B800" t="inlineStr">
        <is>
          <t>TR2B1</t>
        </is>
      </c>
      <c r="C800" t="inlineStr">
        <is>
          <t>GICS_INDUSTRY_GROUP_NAME</t>
        </is>
      </c>
      <c r="D800" t="inlineStr">
        <is>
          <t>Commercial &amp; Professional Services</t>
        </is>
      </c>
      <c r="E800" t="inlineStr">
        <is>
          <t>N/A</t>
        </is>
      </c>
      <c r="F800" t="inlineStr"/>
      <c r="G800" t="inlineStr"/>
      <c r="H800" t="inlineStr">
        <is>
          <t>0.99%</t>
        </is>
      </c>
      <c r="I800" t="inlineStr">
        <is>
          <t>0.99%</t>
        </is>
      </c>
    </row>
    <row r="801">
      <c r="A801" s="2" t="n">
        <v>45966</v>
      </c>
      <c r="B801" t="inlineStr">
        <is>
          <t>TR2B1</t>
        </is>
      </c>
      <c r="C801" t="inlineStr">
        <is>
          <t>GICS_INDUSTRY_NAME</t>
        </is>
      </c>
      <c r="D801" t="inlineStr">
        <is>
          <t>Commercial Services &amp; Supplies</t>
        </is>
      </c>
      <c r="E801" t="inlineStr">
        <is>
          <t>N/A</t>
        </is>
      </c>
      <c r="F801" t="inlineStr"/>
      <c r="G801" t="inlineStr"/>
      <c r="H801" t="inlineStr">
        <is>
          <t>0.99%</t>
        </is>
      </c>
      <c r="I801" t="inlineStr">
        <is>
          <t>0.99%</t>
        </is>
      </c>
    </row>
    <row r="802">
      <c r="A802" s="2" t="n">
        <v>45966</v>
      </c>
      <c r="B802" t="inlineStr">
        <is>
          <t>TR2B1</t>
        </is>
      </c>
      <c r="C802" t="inlineStr">
        <is>
          <t>GICS_INDUSTRY_NAME</t>
        </is>
      </c>
      <c r="D802" t="inlineStr">
        <is>
          <t>Ground Transportation</t>
        </is>
      </c>
      <c r="E802" t="inlineStr">
        <is>
          <t>N/A</t>
        </is>
      </c>
      <c r="F802" t="inlineStr"/>
      <c r="G802" t="inlineStr"/>
      <c r="H802" t="inlineStr">
        <is>
          <t>0.95%</t>
        </is>
      </c>
      <c r="I802" t="inlineStr">
        <is>
          <t>0.95%</t>
        </is>
      </c>
    </row>
    <row r="803">
      <c r="A803" s="2" t="n">
        <v>45966</v>
      </c>
      <c r="B803" t="inlineStr">
        <is>
          <t>TR2B1</t>
        </is>
      </c>
      <c r="C803" t="inlineStr">
        <is>
          <t>GICS_INDUSTRY_GROUP_NAME</t>
        </is>
      </c>
      <c r="D803" t="inlineStr">
        <is>
          <t>Household &amp; Personal Products</t>
        </is>
      </c>
      <c r="E803" t="inlineStr">
        <is>
          <t>N/A</t>
        </is>
      </c>
      <c r="F803" t="inlineStr"/>
      <c r="G803" t="inlineStr"/>
      <c r="H803" t="inlineStr">
        <is>
          <t>0.92%</t>
        </is>
      </c>
      <c r="I803" t="inlineStr">
        <is>
          <t>0.92%</t>
        </is>
      </c>
    </row>
    <row r="804">
      <c r="A804" s="2" t="n">
        <v>45966</v>
      </c>
      <c r="B804" t="inlineStr">
        <is>
          <t>TR2B1</t>
        </is>
      </c>
      <c r="C804" t="inlineStr">
        <is>
          <t>GICS_INDUSTRY_NAME</t>
        </is>
      </c>
      <c r="D804" t="inlineStr">
        <is>
          <t>Household Products</t>
        </is>
      </c>
      <c r="E804" t="inlineStr">
        <is>
          <t>N/A</t>
        </is>
      </c>
      <c r="F804" t="inlineStr"/>
      <c r="G804" t="inlineStr"/>
      <c r="H804" t="inlineStr">
        <is>
          <t>0.92%</t>
        </is>
      </c>
      <c r="I804" t="inlineStr">
        <is>
          <t>0.92%</t>
        </is>
      </c>
    </row>
    <row r="805">
      <c r="A805" s="2" t="n">
        <v>45966</v>
      </c>
      <c r="B805" t="inlineStr">
        <is>
          <t>TR2B1</t>
        </is>
      </c>
      <c r="C805" t="inlineStr">
        <is>
          <t>GICS_INDUSTRY_NAME</t>
        </is>
      </c>
      <c r="D805" t="inlineStr">
        <is>
          <t>Life Sciences Tools &amp; Services</t>
        </is>
      </c>
      <c r="E805" t="inlineStr">
        <is>
          <t>N/A</t>
        </is>
      </c>
      <c r="F805" t="inlineStr"/>
      <c r="G805" t="inlineStr"/>
      <c r="H805" t="inlineStr">
        <is>
          <t>0.90%</t>
        </is>
      </c>
      <c r="I805" t="inlineStr">
        <is>
          <t>0.74%</t>
        </is>
      </c>
    </row>
    <row r="806">
      <c r="A806" s="2" t="n">
        <v>45966</v>
      </c>
      <c r="B806" t="inlineStr">
        <is>
          <t>TR2B1</t>
        </is>
      </c>
      <c r="C806" t="inlineStr">
        <is>
          <t>GICS_INDUSTRY_NAME</t>
        </is>
      </c>
      <c r="D806" t="inlineStr">
        <is>
          <t>Electrical Equipment</t>
        </is>
      </c>
      <c r="E806" t="inlineStr">
        <is>
          <t>N/A</t>
        </is>
      </c>
      <c r="F806" t="inlineStr"/>
      <c r="G806" t="inlineStr"/>
      <c r="H806" t="inlineStr">
        <is>
          <t>0.87%</t>
        </is>
      </c>
      <c r="I806" t="inlineStr">
        <is>
          <t>0.87%</t>
        </is>
      </c>
    </row>
    <row r="807">
      <c r="A807" s="2" t="n">
        <v>45966</v>
      </c>
      <c r="B807" t="inlineStr">
        <is>
          <t>TR2B1</t>
        </is>
      </c>
      <c r="C807" t="inlineStr">
        <is>
          <t>GICS_INDUSTRY_NAME</t>
        </is>
      </c>
      <c r="D807" t="inlineStr">
        <is>
          <t>Industrial Conglomerates</t>
        </is>
      </c>
      <c r="E807" t="inlineStr">
        <is>
          <t>N/A</t>
        </is>
      </c>
      <c r="F807" t="inlineStr"/>
      <c r="G807" t="inlineStr"/>
      <c r="H807" t="inlineStr">
        <is>
          <t>0.83%</t>
        </is>
      </c>
      <c r="I807" t="inlineStr">
        <is>
          <t>0.83%</t>
        </is>
      </c>
    </row>
    <row r="808">
      <c r="A808" s="2" t="n">
        <v>45966</v>
      </c>
      <c r="B808" t="inlineStr">
        <is>
          <t>TR2B1</t>
        </is>
      </c>
      <c r="C808" t="inlineStr">
        <is>
          <t>GICS_INDUSTRY_NAME</t>
        </is>
      </c>
      <c r="D808" t="inlineStr">
        <is>
          <t>Tobacco</t>
        </is>
      </c>
      <c r="E808" t="inlineStr">
        <is>
          <t>N/A</t>
        </is>
      </c>
      <c r="F808" t="inlineStr"/>
      <c r="G808" t="inlineStr"/>
      <c r="H808" t="inlineStr">
        <is>
          <t>0.82%</t>
        </is>
      </c>
      <c r="I808" t="inlineStr">
        <is>
          <t>0.81%</t>
        </is>
      </c>
    </row>
    <row r="809">
      <c r="A809" s="2" t="n">
        <v>45966</v>
      </c>
      <c r="B809" t="inlineStr">
        <is>
          <t>TR2B1</t>
        </is>
      </c>
      <c r="C809" t="inlineStr">
        <is>
          <t>GICS_INDUSTRY_GROUP_NAME</t>
        </is>
      </c>
      <c r="D809" t="inlineStr">
        <is>
          <t>Telecommunication Services</t>
        </is>
      </c>
      <c r="E809" t="inlineStr">
        <is>
          <t>N/A</t>
        </is>
      </c>
      <c r="F809" t="inlineStr"/>
      <c r="G809" t="inlineStr"/>
      <c r="H809" t="inlineStr">
        <is>
          <t>0.79%</t>
        </is>
      </c>
      <c r="I809" t="inlineStr">
        <is>
          <t>0.79%</t>
        </is>
      </c>
    </row>
    <row r="810">
      <c r="A810" s="2" t="n">
        <v>45966</v>
      </c>
      <c r="B810" t="inlineStr">
        <is>
          <t>TR2B1</t>
        </is>
      </c>
      <c r="C810" t="inlineStr">
        <is>
          <t>GICS_INDUSTRY_NAME</t>
        </is>
      </c>
      <c r="D810" t="inlineStr">
        <is>
          <t>Diversified Telecommunication Services</t>
        </is>
      </c>
      <c r="E810" t="inlineStr">
        <is>
          <t>N/A</t>
        </is>
      </c>
      <c r="F810" t="inlineStr"/>
      <c r="G810" t="inlineStr"/>
      <c r="H810" t="inlineStr">
        <is>
          <t>0.79%</t>
        </is>
      </c>
      <c r="I810" t="inlineStr">
        <is>
          <t>0.79%</t>
        </is>
      </c>
    </row>
    <row r="811">
      <c r="A811" s="2" t="n">
        <v>45966</v>
      </c>
      <c r="B811" t="inlineStr">
        <is>
          <t>TR2B1</t>
        </is>
      </c>
      <c r="C811" t="inlineStr">
        <is>
          <t>GICS_INDUSTRY_NAME</t>
        </is>
      </c>
      <c r="D811" t="inlineStr">
        <is>
          <t>Consumer Finance</t>
        </is>
      </c>
      <c r="E811" t="inlineStr">
        <is>
          <t>N/A</t>
        </is>
      </c>
      <c r="F811" t="inlineStr"/>
      <c r="G811" t="inlineStr"/>
      <c r="H811" t="inlineStr">
        <is>
          <t>0.62%</t>
        </is>
      </c>
      <c r="I811" t="inlineStr">
        <is>
          <t>0.51%</t>
        </is>
      </c>
    </row>
    <row r="812">
      <c r="A812" s="2" t="n">
        <v>45966</v>
      </c>
      <c r="B812" t="inlineStr">
        <is>
          <t>TR2B1</t>
        </is>
      </c>
      <c r="C812" t="inlineStr">
        <is>
          <t>GICS_INDUSTRY_GROUP_NAME</t>
        </is>
      </c>
      <c r="D812" t="inlineStr">
        <is>
          <t>Consumer Durables &amp; Apparel</t>
        </is>
      </c>
      <c r="E812" t="inlineStr">
        <is>
          <t>N/A</t>
        </is>
      </c>
      <c r="F812" t="inlineStr"/>
      <c r="G812" t="inlineStr"/>
      <c r="H812" t="inlineStr">
        <is>
          <t>0.51%</t>
        </is>
      </c>
      <c r="I812" t="inlineStr">
        <is>
          <t>0.51%</t>
        </is>
      </c>
    </row>
    <row r="813">
      <c r="A813" s="2" t="n">
        <v>45966</v>
      </c>
      <c r="B813" t="inlineStr">
        <is>
          <t>TR2B1</t>
        </is>
      </c>
      <c r="C813" t="inlineStr">
        <is>
          <t>GICS_INDUSTRY_NAME</t>
        </is>
      </c>
      <c r="D813" t="inlineStr">
        <is>
          <t>Textiles, Apparel &amp; Luxury Goods</t>
        </is>
      </c>
      <c r="E813" t="inlineStr">
        <is>
          <t>N/A</t>
        </is>
      </c>
      <c r="F813" t="inlineStr"/>
      <c r="G813" t="inlineStr"/>
      <c r="H813" t="inlineStr">
        <is>
          <t>0.51%</t>
        </is>
      </c>
      <c r="I813" t="inlineStr">
        <is>
          <t>0.51%</t>
        </is>
      </c>
    </row>
    <row r="814">
      <c r="A814" s="2" t="n">
        <v>45966</v>
      </c>
      <c r="B814" t="inlineStr">
        <is>
          <t>TR2B1</t>
        </is>
      </c>
      <c r="C814" t="inlineStr">
        <is>
          <t>GICS_INDUSTRY_NAME</t>
        </is>
      </c>
      <c r="D814" t="inlineStr">
        <is>
          <t>Air Freight &amp; Logistics</t>
        </is>
      </c>
      <c r="E814" t="inlineStr">
        <is>
          <t>N/A</t>
        </is>
      </c>
      <c r="F814" t="inlineStr"/>
      <c r="G814" t="inlineStr"/>
      <c r="H814" t="inlineStr">
        <is>
          <t>0.37%</t>
        </is>
      </c>
      <c r="I814" t="inlineStr">
        <is>
          <t>0.37%</t>
        </is>
      </c>
    </row>
    <row r="815">
      <c r="A815" s="2" t="n">
        <v>45966</v>
      </c>
      <c r="B815" t="inlineStr">
        <is>
          <t>TR2B1</t>
        </is>
      </c>
      <c r="C815" t="inlineStr">
        <is>
          <t>GICS_INDUSTRY_NAME</t>
        </is>
      </c>
      <c r="D815" t="inlineStr">
        <is>
          <t>Media</t>
        </is>
      </c>
      <c r="E815" t="inlineStr">
        <is>
          <t>N/A</t>
        </is>
      </c>
      <c r="F815" t="inlineStr"/>
      <c r="G815" t="inlineStr"/>
      <c r="H815" t="inlineStr">
        <is>
          <t>0.19%</t>
        </is>
      </c>
      <c r="I815" t="inlineStr">
        <is>
          <t>0.19%</t>
        </is>
      </c>
    </row>
    <row r="816">
      <c r="A816" s="2" t="n">
        <v>45966</v>
      </c>
      <c r="B816" t="inlineStr">
        <is>
          <t>TR2B1</t>
        </is>
      </c>
      <c r="C816" t="inlineStr">
        <is>
          <t>GICS_INDUSTRY_NAME</t>
        </is>
      </c>
      <c r="D816" t="inlineStr">
        <is>
          <t>Food Products</t>
        </is>
      </c>
      <c r="E816" t="inlineStr">
        <is>
          <t>N/A</t>
        </is>
      </c>
      <c r="F816" t="inlineStr"/>
      <c r="G816" t="inlineStr"/>
      <c r="H816" t="inlineStr">
        <is>
          <t>0.19%</t>
        </is>
      </c>
      <c r="I816" t="inlineStr">
        <is>
          <t>0.19%</t>
        </is>
      </c>
    </row>
    <row r="817">
      <c r="A817" s="2" t="n">
        <v>45966</v>
      </c>
      <c r="B817" t="inlineStr">
        <is>
          <t>TR2B2</t>
        </is>
      </c>
      <c r="C817" t="inlineStr">
        <is>
          <t>GICS_INDUSTRY_GROUP_NAME</t>
        </is>
      </c>
      <c r="D817" t="inlineStr">
        <is>
          <t>Semiconductors &amp; Semiconductor Equipment</t>
        </is>
      </c>
      <c r="E817" t="inlineStr">
        <is>
          <t>N/A</t>
        </is>
      </c>
      <c r="F817" t="inlineStr"/>
      <c r="G817" t="inlineStr"/>
      <c r="H817" t="inlineStr">
        <is>
          <t>15.87%</t>
        </is>
      </c>
      <c r="I817" t="inlineStr">
        <is>
          <t>14.90%</t>
        </is>
      </c>
    </row>
    <row r="818">
      <c r="A818" s="2" t="n">
        <v>45966</v>
      </c>
      <c r="B818" t="inlineStr">
        <is>
          <t>TR2B2</t>
        </is>
      </c>
      <c r="C818" t="inlineStr">
        <is>
          <t>GICS_INDUSTRY_NAME</t>
        </is>
      </c>
      <c r="D818" t="inlineStr">
        <is>
          <t>Semiconductors &amp; Semiconductor Equipment</t>
        </is>
      </c>
      <c r="E818" t="inlineStr">
        <is>
          <t>N/A</t>
        </is>
      </c>
      <c r="F818" t="inlineStr"/>
      <c r="G818" t="inlineStr"/>
      <c r="H818" t="inlineStr">
        <is>
          <t>15.87%</t>
        </is>
      </c>
      <c r="I818" t="inlineStr">
        <is>
          <t>14.90%</t>
        </is>
      </c>
    </row>
    <row r="819">
      <c r="A819" s="2" t="n">
        <v>45966</v>
      </c>
      <c r="B819" t="inlineStr">
        <is>
          <t>TR2B2</t>
        </is>
      </c>
      <c r="C819" t="inlineStr">
        <is>
          <t>GICS_INDUSTRY_GROUP_NAME</t>
        </is>
      </c>
      <c r="D819" t="inlineStr">
        <is>
          <t>Software &amp; Services</t>
        </is>
      </c>
      <c r="E819" t="inlineStr">
        <is>
          <t>N/A</t>
        </is>
      </c>
      <c r="F819" t="inlineStr"/>
      <c r="G819" t="inlineStr"/>
      <c r="H819" t="inlineStr">
        <is>
          <t>10.17%</t>
        </is>
      </c>
      <c r="I819" t="inlineStr">
        <is>
          <t>11.58%</t>
        </is>
      </c>
    </row>
    <row r="820">
      <c r="A820" s="2" t="n">
        <v>45966</v>
      </c>
      <c r="B820" t="inlineStr">
        <is>
          <t>TR2B2</t>
        </is>
      </c>
      <c r="C820" t="inlineStr">
        <is>
          <t>GICS_INDUSTRY_GROUP_NAME</t>
        </is>
      </c>
      <c r="D820" t="inlineStr">
        <is>
          <t>Technology Hardware &amp; Equipment</t>
        </is>
      </c>
      <c r="E820" t="inlineStr">
        <is>
          <t>N/A</t>
        </is>
      </c>
      <c r="F820" t="inlineStr"/>
      <c r="G820" t="inlineStr"/>
      <c r="H820" t="inlineStr">
        <is>
          <t>9.48%</t>
        </is>
      </c>
      <c r="I820" t="inlineStr">
        <is>
          <t>9.02%</t>
        </is>
      </c>
    </row>
    <row r="821">
      <c r="A821" s="2" t="n">
        <v>45966</v>
      </c>
      <c r="B821" t="inlineStr">
        <is>
          <t>TR2B2</t>
        </is>
      </c>
      <c r="C821" t="inlineStr">
        <is>
          <t>GICS_INDUSTRY_GROUP_NAME</t>
        </is>
      </c>
      <c r="D821" t="inlineStr">
        <is>
          <t>Media &amp; Entertainment</t>
        </is>
      </c>
      <c r="E821" t="inlineStr">
        <is>
          <t>N/A</t>
        </is>
      </c>
      <c r="F821" t="inlineStr"/>
      <c r="G821" t="inlineStr"/>
      <c r="H821" t="inlineStr">
        <is>
          <t>9.40%</t>
        </is>
      </c>
      <c r="I821" t="inlineStr">
        <is>
          <t>9.40%</t>
        </is>
      </c>
    </row>
    <row r="822">
      <c r="A822" s="2" t="n">
        <v>45966</v>
      </c>
      <c r="B822" t="inlineStr">
        <is>
          <t>TR2B2</t>
        </is>
      </c>
      <c r="C822" t="inlineStr">
        <is>
          <t>GICS_INDUSTRY_NAME</t>
        </is>
      </c>
      <c r="D822" t="inlineStr">
        <is>
          <t>Software</t>
        </is>
      </c>
      <c r="E822" t="inlineStr">
        <is>
          <t>N/A</t>
        </is>
      </c>
      <c r="F822" t="inlineStr"/>
      <c r="G822" t="inlineStr"/>
      <c r="H822" t="inlineStr">
        <is>
          <t>8.96%</t>
        </is>
      </c>
      <c r="I822" t="inlineStr">
        <is>
          <t>10.45%</t>
        </is>
      </c>
    </row>
    <row r="823">
      <c r="A823" s="2" t="n">
        <v>45966</v>
      </c>
      <c r="B823" t="inlineStr">
        <is>
          <t>TR2B2</t>
        </is>
      </c>
      <c r="C823" t="inlineStr">
        <is>
          <t>GICS_INDUSTRY_NAME</t>
        </is>
      </c>
      <c r="D823" t="inlineStr">
        <is>
          <t>Interactive Media &amp; Services</t>
        </is>
      </c>
      <c r="E823" t="inlineStr">
        <is>
          <t>N/A</t>
        </is>
      </c>
      <c r="F823" t="inlineStr"/>
      <c r="G823" t="inlineStr"/>
      <c r="H823" t="inlineStr">
        <is>
          <t>7.99%</t>
        </is>
      </c>
      <c r="I823" t="inlineStr">
        <is>
          <t>7.99%</t>
        </is>
      </c>
    </row>
    <row r="824">
      <c r="A824" s="2" t="n">
        <v>45966</v>
      </c>
      <c r="B824" t="inlineStr">
        <is>
          <t>TR2B2</t>
        </is>
      </c>
      <c r="C824" t="inlineStr">
        <is>
          <t>GICS_INDUSTRY_NAME</t>
        </is>
      </c>
      <c r="D824" t="inlineStr">
        <is>
          <t>Technology Hardware, Storage &amp; Peripherals</t>
        </is>
      </c>
      <c r="E824" t="inlineStr">
        <is>
          <t>N/A</t>
        </is>
      </c>
      <c r="F824" t="inlineStr"/>
      <c r="G824" t="inlineStr"/>
      <c r="H824" t="inlineStr">
        <is>
          <t>7.46%</t>
        </is>
      </c>
      <c r="I824" t="inlineStr">
        <is>
          <t>7.01%</t>
        </is>
      </c>
    </row>
    <row r="825">
      <c r="A825" s="2" t="n">
        <v>45966</v>
      </c>
      <c r="B825" t="inlineStr">
        <is>
          <t>TR2B2</t>
        </is>
      </c>
      <c r="C825" t="inlineStr">
        <is>
          <t>GICS_INDUSTRY_GROUP_NAME</t>
        </is>
      </c>
      <c r="D825" t="inlineStr">
        <is>
          <t>Financial Services</t>
        </is>
      </c>
      <c r="E825" t="inlineStr">
        <is>
          <t>N/A</t>
        </is>
      </c>
      <c r="F825" t="inlineStr"/>
      <c r="G825" t="inlineStr"/>
      <c r="H825" t="inlineStr">
        <is>
          <t>6.64%</t>
        </is>
      </c>
      <c r="I825" t="inlineStr">
        <is>
          <t>7.82%</t>
        </is>
      </c>
    </row>
    <row r="826">
      <c r="A826" s="2" t="n">
        <v>45966</v>
      </c>
      <c r="B826" t="inlineStr">
        <is>
          <t>TR2B2</t>
        </is>
      </c>
      <c r="C826" t="inlineStr">
        <is>
          <t>GICS_INDUSTRY_GROUP_NAME</t>
        </is>
      </c>
      <c r="D826" t="inlineStr">
        <is>
          <t>Capital Goods</t>
        </is>
      </c>
      <c r="E826" t="inlineStr">
        <is>
          <t>N/A</t>
        </is>
      </c>
      <c r="F826" t="inlineStr"/>
      <c r="G826" t="inlineStr"/>
      <c r="H826" t="inlineStr">
        <is>
          <t>6.29%</t>
        </is>
      </c>
      <c r="I826" t="inlineStr">
        <is>
          <t>6.29%</t>
        </is>
      </c>
    </row>
    <row r="827">
      <c r="A827" s="2" t="n">
        <v>45966</v>
      </c>
      <c r="B827" t="inlineStr">
        <is>
          <t>TR2B2</t>
        </is>
      </c>
      <c r="C827" t="inlineStr">
        <is>
          <t>GICS_INDUSTRY_GROUP_NAME</t>
        </is>
      </c>
      <c r="D827" t="inlineStr">
        <is>
          <t>Consumer Discretionary Distribution &amp; Retail</t>
        </is>
      </c>
      <c r="E827" t="inlineStr">
        <is>
          <t>N/A</t>
        </is>
      </c>
      <c r="F827" t="inlineStr"/>
      <c r="G827" t="inlineStr"/>
      <c r="H827" t="inlineStr">
        <is>
          <t>5.78%</t>
        </is>
      </c>
      <c r="I827" t="inlineStr">
        <is>
          <t>5.78%</t>
        </is>
      </c>
    </row>
    <row r="828">
      <c r="A828" s="2" t="n">
        <v>45966</v>
      </c>
      <c r="B828" t="inlineStr">
        <is>
          <t>TR2B2</t>
        </is>
      </c>
      <c r="C828" t="inlineStr">
        <is>
          <t>GICS_INDUSTRY_GROUP_NAME</t>
        </is>
      </c>
      <c r="D828" t="inlineStr">
        <is>
          <t>Pharmaceuticals, Biotechnology &amp; Life Sciences</t>
        </is>
      </c>
      <c r="E828" t="inlineStr">
        <is>
          <t>N/A</t>
        </is>
      </c>
      <c r="F828" t="inlineStr"/>
      <c r="G828" t="inlineStr"/>
      <c r="H828" t="inlineStr">
        <is>
          <t>4.96%</t>
        </is>
      </c>
      <c r="I828" t="inlineStr">
        <is>
          <t>5.66%</t>
        </is>
      </c>
    </row>
    <row r="829">
      <c r="A829" s="2" t="n">
        <v>45966</v>
      </c>
      <c r="B829" t="inlineStr">
        <is>
          <t>TR2B2</t>
        </is>
      </c>
      <c r="C829" t="inlineStr">
        <is>
          <t>GICS_INDUSTRY_NAME</t>
        </is>
      </c>
      <c r="D829" t="inlineStr">
        <is>
          <t>Broadline Retail</t>
        </is>
      </c>
      <c r="E829" t="inlineStr">
        <is>
          <t>N/A</t>
        </is>
      </c>
      <c r="F829" t="inlineStr"/>
      <c r="G829" t="inlineStr"/>
      <c r="H829" t="inlineStr">
        <is>
          <t>4.50%</t>
        </is>
      </c>
      <c r="I829" t="inlineStr">
        <is>
          <t>4.50%</t>
        </is>
      </c>
    </row>
    <row r="830">
      <c r="A830" s="2" t="n">
        <v>45966</v>
      </c>
      <c r="B830" t="inlineStr">
        <is>
          <t>TR2B2</t>
        </is>
      </c>
      <c r="C830" t="inlineStr">
        <is>
          <t>GICS_INDUSTRY_GROUP_NAME</t>
        </is>
      </c>
      <c r="D830" t="inlineStr">
        <is>
          <t>Banks</t>
        </is>
      </c>
      <c r="E830" t="inlineStr">
        <is>
          <t>N/A</t>
        </is>
      </c>
      <c r="F830" t="inlineStr"/>
      <c r="G830" t="inlineStr"/>
      <c r="H830" t="inlineStr">
        <is>
          <t>4.47%</t>
        </is>
      </c>
      <c r="I830" t="inlineStr">
        <is>
          <t>3.69%</t>
        </is>
      </c>
    </row>
    <row r="831">
      <c r="A831" s="2" t="n">
        <v>45966</v>
      </c>
      <c r="B831" t="inlineStr">
        <is>
          <t>TR2B2</t>
        </is>
      </c>
      <c r="C831" t="inlineStr">
        <is>
          <t>GICS_INDUSTRY_NAME</t>
        </is>
      </c>
      <c r="D831" t="inlineStr">
        <is>
          <t>Banks</t>
        </is>
      </c>
      <c r="E831" t="inlineStr">
        <is>
          <t>N/A</t>
        </is>
      </c>
      <c r="F831" t="inlineStr"/>
      <c r="G831" t="inlineStr"/>
      <c r="H831" t="inlineStr">
        <is>
          <t>4.47%</t>
        </is>
      </c>
      <c r="I831" t="inlineStr">
        <is>
          <t>3.69%</t>
        </is>
      </c>
    </row>
    <row r="832">
      <c r="A832" s="2" t="n">
        <v>45966</v>
      </c>
      <c r="B832" t="inlineStr">
        <is>
          <t>TR2B2</t>
        </is>
      </c>
      <c r="C832" t="inlineStr">
        <is>
          <t>GICS_INDUSTRY_GROUP_NAME</t>
        </is>
      </c>
      <c r="D832" t="inlineStr">
        <is>
          <t>Health Care Equipment &amp; Services</t>
        </is>
      </c>
      <c r="E832" t="inlineStr">
        <is>
          <t>N/A</t>
        </is>
      </c>
      <c r="F832" t="inlineStr"/>
      <c r="G832" t="inlineStr"/>
      <c r="H832" t="inlineStr">
        <is>
          <t>4.04%</t>
        </is>
      </c>
      <c r="I832" t="inlineStr">
        <is>
          <t>3.36%</t>
        </is>
      </c>
    </row>
    <row r="833">
      <c r="A833" s="2" t="n">
        <v>45966</v>
      </c>
      <c r="B833" t="inlineStr">
        <is>
          <t>TR2B2</t>
        </is>
      </c>
      <c r="C833" t="inlineStr">
        <is>
          <t>GICS_INDUSTRY_NAME</t>
        </is>
      </c>
      <c r="D833" t="inlineStr">
        <is>
          <t>Financial Services</t>
        </is>
      </c>
      <c r="E833" t="inlineStr">
        <is>
          <t>N/A</t>
        </is>
      </c>
      <c r="F833" t="inlineStr"/>
      <c r="G833" t="inlineStr"/>
      <c r="H833" t="inlineStr">
        <is>
          <t>3.34%</t>
        </is>
      </c>
      <c r="I833" t="inlineStr">
        <is>
          <t>5.03%</t>
        </is>
      </c>
    </row>
    <row r="834">
      <c r="A834" s="2" t="n">
        <v>45966</v>
      </c>
      <c r="B834" t="inlineStr">
        <is>
          <t>TR2B2</t>
        </is>
      </c>
      <c r="C834" t="inlineStr">
        <is>
          <t>GICS_INDUSTRY_NAME</t>
        </is>
      </c>
      <c r="D834" t="inlineStr">
        <is>
          <t>Aerospace &amp; Defense</t>
        </is>
      </c>
      <c r="E834" t="inlineStr">
        <is>
          <t>N/A</t>
        </is>
      </c>
      <c r="F834" t="inlineStr"/>
      <c r="G834" t="inlineStr"/>
      <c r="H834" t="inlineStr">
        <is>
          <t>3.09%</t>
        </is>
      </c>
      <c r="I834" t="inlineStr">
        <is>
          <t>3.09%</t>
        </is>
      </c>
    </row>
    <row r="835">
      <c r="A835" s="2" t="n">
        <v>45966</v>
      </c>
      <c r="B835" t="inlineStr">
        <is>
          <t>TR2B2</t>
        </is>
      </c>
      <c r="C835" t="inlineStr">
        <is>
          <t>GICS_INDUSTRY_GROUP_NAME</t>
        </is>
      </c>
      <c r="D835" t="inlineStr">
        <is>
          <t>Energy</t>
        </is>
      </c>
      <c r="E835" t="inlineStr">
        <is>
          <t>N/A</t>
        </is>
      </c>
      <c r="F835" t="inlineStr"/>
      <c r="G835" t="inlineStr"/>
      <c r="H835" t="inlineStr">
        <is>
          <t>2.79%</t>
        </is>
      </c>
      <c r="I835" t="inlineStr">
        <is>
          <t>2.79%</t>
        </is>
      </c>
    </row>
    <row r="836">
      <c r="A836" s="2" t="n">
        <v>45966</v>
      </c>
      <c r="B836" t="inlineStr">
        <is>
          <t>TR2B2</t>
        </is>
      </c>
      <c r="C836" t="inlineStr">
        <is>
          <t>GICS_INDUSTRY_NAME</t>
        </is>
      </c>
      <c r="D836" t="inlineStr">
        <is>
          <t>Oil, Gas &amp; Consumable Fuels</t>
        </is>
      </c>
      <c r="E836" t="inlineStr">
        <is>
          <t>N/A</t>
        </is>
      </c>
      <c r="F836" t="inlineStr"/>
      <c r="G836" t="inlineStr"/>
      <c r="H836" t="inlineStr">
        <is>
          <t>2.79%</t>
        </is>
      </c>
      <c r="I836" t="inlineStr">
        <is>
          <t>2.79%</t>
        </is>
      </c>
    </row>
    <row r="837">
      <c r="A837" s="2" t="n">
        <v>45966</v>
      </c>
      <c r="B837" t="inlineStr">
        <is>
          <t>TR2B2</t>
        </is>
      </c>
      <c r="C837" t="inlineStr">
        <is>
          <t>GICS_INDUSTRY_NAME</t>
        </is>
      </c>
      <c r="D837" t="inlineStr">
        <is>
          <t>Capital Markets</t>
        </is>
      </c>
      <c r="E837" t="inlineStr">
        <is>
          <t>N/A</t>
        </is>
      </c>
      <c r="F837" t="inlineStr"/>
      <c r="G837" t="inlineStr"/>
      <c r="H837" t="inlineStr">
        <is>
          <t>2.68%</t>
        </is>
      </c>
      <c r="I837" t="inlineStr">
        <is>
          <t>2.28%</t>
        </is>
      </c>
    </row>
    <row r="838">
      <c r="A838" s="2" t="n">
        <v>45966</v>
      </c>
      <c r="B838" t="inlineStr">
        <is>
          <t>TR2B2</t>
        </is>
      </c>
      <c r="C838" t="inlineStr">
        <is>
          <t>GICS_INDUSTRY_GROUP_NAME</t>
        </is>
      </c>
      <c r="D838" t="inlineStr">
        <is>
          <t>Automobiles &amp; Components</t>
        </is>
      </c>
      <c r="E838" t="inlineStr">
        <is>
          <t>N/A</t>
        </is>
      </c>
      <c r="F838" t="inlineStr"/>
      <c r="G838" t="inlineStr"/>
      <c r="H838" t="inlineStr">
        <is>
          <t>2.45%</t>
        </is>
      </c>
      <c r="I838" t="inlineStr">
        <is>
          <t>2.45%</t>
        </is>
      </c>
    </row>
    <row r="839">
      <c r="A839" s="2" t="n">
        <v>45966</v>
      </c>
      <c r="B839" t="inlineStr">
        <is>
          <t>TR2B2</t>
        </is>
      </c>
      <c r="C839" t="inlineStr">
        <is>
          <t>GICS_INDUSTRY_NAME</t>
        </is>
      </c>
      <c r="D839" t="inlineStr">
        <is>
          <t>Automobiles</t>
        </is>
      </c>
      <c r="E839" t="inlineStr">
        <is>
          <t>N/A</t>
        </is>
      </c>
      <c r="F839" t="inlineStr"/>
      <c r="G839" t="inlineStr"/>
      <c r="H839" t="inlineStr">
        <is>
          <t>2.45%</t>
        </is>
      </c>
      <c r="I839" t="inlineStr">
        <is>
          <t>2.45%</t>
        </is>
      </c>
    </row>
    <row r="840">
      <c r="A840" s="2" t="n">
        <v>45966</v>
      </c>
      <c r="B840" t="inlineStr">
        <is>
          <t>TR2B2</t>
        </is>
      </c>
      <c r="C840" t="inlineStr">
        <is>
          <t>GICS_INDUSTRY_NAME</t>
        </is>
      </c>
      <c r="D840" t="inlineStr">
        <is>
          <t>Pharmaceuticals</t>
        </is>
      </c>
      <c r="E840" t="inlineStr">
        <is>
          <t>N/A</t>
        </is>
      </c>
      <c r="F840" t="inlineStr"/>
      <c r="G840" t="inlineStr"/>
      <c r="H840" t="inlineStr">
        <is>
          <t>2.27%</t>
        </is>
      </c>
      <c r="I840" t="inlineStr">
        <is>
          <t>3.42%</t>
        </is>
      </c>
    </row>
    <row r="841">
      <c r="A841" s="2" t="n">
        <v>45966</v>
      </c>
      <c r="B841" t="inlineStr">
        <is>
          <t>TR2B2</t>
        </is>
      </c>
      <c r="C841" t="inlineStr">
        <is>
          <t>GICS_INDUSTRY_GROUP_NAME</t>
        </is>
      </c>
      <c r="D841" t="inlineStr">
        <is>
          <t>Utilities</t>
        </is>
      </c>
      <c r="E841" t="inlineStr">
        <is>
          <t>N/A</t>
        </is>
      </c>
      <c r="F841" t="inlineStr"/>
      <c r="G841" t="inlineStr"/>
      <c r="H841" t="inlineStr">
        <is>
          <t>2.26%</t>
        </is>
      </c>
      <c r="I841" t="inlineStr">
        <is>
          <t>2.26%</t>
        </is>
      </c>
    </row>
    <row r="842">
      <c r="A842" s="2" t="n">
        <v>45966</v>
      </c>
      <c r="B842" t="inlineStr">
        <is>
          <t>TR2B2</t>
        </is>
      </c>
      <c r="C842" t="inlineStr">
        <is>
          <t>GICS_INDUSTRY_NAME</t>
        </is>
      </c>
      <c r="D842" t="inlineStr">
        <is>
          <t>Electric Utilities</t>
        </is>
      </c>
      <c r="E842" t="inlineStr">
        <is>
          <t>N/A</t>
        </is>
      </c>
      <c r="F842" t="inlineStr"/>
      <c r="G842" t="inlineStr"/>
      <c r="H842" t="inlineStr">
        <is>
          <t>2.26%</t>
        </is>
      </c>
      <c r="I842" t="inlineStr">
        <is>
          <t>2.26%</t>
        </is>
      </c>
    </row>
    <row r="843">
      <c r="A843" s="2" t="n">
        <v>45966</v>
      </c>
      <c r="B843" t="inlineStr">
        <is>
          <t>TR2B2</t>
        </is>
      </c>
      <c r="C843" t="inlineStr">
        <is>
          <t>GICS_INDUSTRY_GROUP_NAME</t>
        </is>
      </c>
      <c r="D843" t="inlineStr">
        <is>
          <t>Insurance</t>
        </is>
      </c>
      <c r="E843" t="inlineStr">
        <is>
          <t>N/A</t>
        </is>
      </c>
      <c r="F843" t="inlineStr"/>
      <c r="G843" t="inlineStr"/>
      <c r="H843" t="inlineStr">
        <is>
          <t>2.17%</t>
        </is>
      </c>
      <c r="I843" t="inlineStr">
        <is>
          <t>1.79%</t>
        </is>
      </c>
    </row>
    <row r="844">
      <c r="A844" s="2" t="n">
        <v>45966</v>
      </c>
      <c r="B844" t="inlineStr">
        <is>
          <t>TR2B2</t>
        </is>
      </c>
      <c r="C844" t="inlineStr">
        <is>
          <t>GICS_INDUSTRY_NAME</t>
        </is>
      </c>
      <c r="D844" t="inlineStr">
        <is>
          <t>Insurance</t>
        </is>
      </c>
      <c r="E844" t="inlineStr">
        <is>
          <t>N/A</t>
        </is>
      </c>
      <c r="F844" t="inlineStr"/>
      <c r="G844" t="inlineStr"/>
      <c r="H844" t="inlineStr">
        <is>
          <t>2.17%</t>
        </is>
      </c>
      <c r="I844" t="inlineStr">
        <is>
          <t>1.79%</t>
        </is>
      </c>
    </row>
    <row r="845">
      <c r="A845" s="2" t="n">
        <v>45966</v>
      </c>
      <c r="B845" t="inlineStr">
        <is>
          <t>TR2B2</t>
        </is>
      </c>
      <c r="C845" t="inlineStr">
        <is>
          <t>GICS_INDUSTRY_GROUP_NAME</t>
        </is>
      </c>
      <c r="D845" t="inlineStr">
        <is>
          <t>Food, Beverage &amp; Tobacco</t>
        </is>
      </c>
      <c r="E845" t="inlineStr">
        <is>
          <t>N/A</t>
        </is>
      </c>
      <c r="F845" t="inlineStr"/>
      <c r="G845" t="inlineStr"/>
      <c r="H845" t="inlineStr">
        <is>
          <t>2.15%</t>
        </is>
      </c>
      <c r="I845" t="inlineStr">
        <is>
          <t>2.15%</t>
        </is>
      </c>
    </row>
    <row r="846">
      <c r="A846" s="2" t="n">
        <v>45966</v>
      </c>
      <c r="B846" t="inlineStr">
        <is>
          <t>TR2B2</t>
        </is>
      </c>
      <c r="C846" t="inlineStr">
        <is>
          <t>GICS_INDUSTRY_NAME</t>
        </is>
      </c>
      <c r="D846" t="inlineStr">
        <is>
          <t>Health Care Equipment &amp; Supplies</t>
        </is>
      </c>
      <c r="E846" t="inlineStr">
        <is>
          <t>N/A</t>
        </is>
      </c>
      <c r="F846" t="inlineStr"/>
      <c r="G846" t="inlineStr"/>
      <c r="H846" t="inlineStr">
        <is>
          <t>2.13%</t>
        </is>
      </c>
      <c r="I846" t="inlineStr">
        <is>
          <t>1.77%</t>
        </is>
      </c>
    </row>
    <row r="847">
      <c r="A847" s="2" t="n">
        <v>45966</v>
      </c>
      <c r="B847" t="inlineStr">
        <is>
          <t>TR2B2</t>
        </is>
      </c>
      <c r="C847" t="inlineStr">
        <is>
          <t>GICS_INDUSTRY_NAME</t>
        </is>
      </c>
      <c r="D847" t="inlineStr">
        <is>
          <t>Communications Equipment</t>
        </is>
      </c>
      <c r="E847" t="inlineStr">
        <is>
          <t>N/A</t>
        </is>
      </c>
      <c r="F847" t="inlineStr"/>
      <c r="G847" t="inlineStr"/>
      <c r="H847" t="inlineStr">
        <is>
          <t>2.02%</t>
        </is>
      </c>
      <c r="I847" t="inlineStr">
        <is>
          <t>2.01%</t>
        </is>
      </c>
    </row>
    <row r="848">
      <c r="A848" s="2" t="n">
        <v>45966</v>
      </c>
      <c r="B848" t="inlineStr">
        <is>
          <t>TR2B2</t>
        </is>
      </c>
      <c r="C848" t="inlineStr">
        <is>
          <t>GICS_INDUSTRY_NAME</t>
        </is>
      </c>
      <c r="D848" t="inlineStr">
        <is>
          <t>Health Care Providers &amp; Services</t>
        </is>
      </c>
      <c r="E848" t="inlineStr">
        <is>
          <t>N/A</t>
        </is>
      </c>
      <c r="F848" t="inlineStr"/>
      <c r="G848" t="inlineStr"/>
      <c r="H848" t="inlineStr">
        <is>
          <t>1.91%</t>
        </is>
      </c>
      <c r="I848" t="inlineStr">
        <is>
          <t>1.59%</t>
        </is>
      </c>
    </row>
    <row r="849">
      <c r="A849" s="2" t="n">
        <v>45966</v>
      </c>
      <c r="B849" t="inlineStr">
        <is>
          <t>TR2B2</t>
        </is>
      </c>
      <c r="C849" t="inlineStr">
        <is>
          <t>GICS_INDUSTRY_NAME</t>
        </is>
      </c>
      <c r="D849" t="inlineStr">
        <is>
          <t>Biotechnology</t>
        </is>
      </c>
      <c r="E849" t="inlineStr">
        <is>
          <t>N/A</t>
        </is>
      </c>
      <c r="F849" t="inlineStr"/>
      <c r="G849" t="inlineStr"/>
      <c r="H849" t="inlineStr">
        <is>
          <t>1.79%</t>
        </is>
      </c>
      <c r="I849" t="inlineStr">
        <is>
          <t>1.49%</t>
        </is>
      </c>
    </row>
    <row r="850">
      <c r="A850" s="2" t="n">
        <v>45966</v>
      </c>
      <c r="B850" t="inlineStr">
        <is>
          <t>TR2B2</t>
        </is>
      </c>
      <c r="C850" t="inlineStr">
        <is>
          <t>GICS_INDUSTRY_GROUP_NAME</t>
        </is>
      </c>
      <c r="D850" t="inlineStr">
        <is>
          <t>Consumer Staples Distribution &amp; Retail</t>
        </is>
      </c>
      <c r="E850" t="inlineStr">
        <is>
          <t>N/A</t>
        </is>
      </c>
      <c r="F850" t="inlineStr"/>
      <c r="G850" t="inlineStr"/>
      <c r="H850" t="inlineStr">
        <is>
          <t>1.74%</t>
        </is>
      </c>
      <c r="I850" t="inlineStr">
        <is>
          <t>1.75%</t>
        </is>
      </c>
    </row>
    <row r="851">
      <c r="A851" s="2" t="n">
        <v>45966</v>
      </c>
      <c r="B851" t="inlineStr">
        <is>
          <t>TR2B2</t>
        </is>
      </c>
      <c r="C851" t="inlineStr">
        <is>
          <t>GICS_INDUSTRY_NAME</t>
        </is>
      </c>
      <c r="D851" t="inlineStr">
        <is>
          <t>Consumer Staples Distribution &amp; Retail</t>
        </is>
      </c>
      <c r="E851" t="inlineStr">
        <is>
          <t>N/A</t>
        </is>
      </c>
      <c r="F851" t="inlineStr"/>
      <c r="G851" t="inlineStr"/>
      <c r="H851" t="inlineStr">
        <is>
          <t>1.74%</t>
        </is>
      </c>
      <c r="I851" t="inlineStr">
        <is>
          <t>1.75%</t>
        </is>
      </c>
    </row>
    <row r="852">
      <c r="A852" s="2" t="n">
        <v>45966</v>
      </c>
      <c r="B852" t="inlineStr">
        <is>
          <t>TR2B2</t>
        </is>
      </c>
      <c r="C852" t="inlineStr">
        <is>
          <t>GICS_INDUSTRY_GROUP_NAME</t>
        </is>
      </c>
      <c r="D852" t="inlineStr">
        <is>
          <t>Materials</t>
        </is>
      </c>
      <c r="E852" t="inlineStr">
        <is>
          <t>N/A</t>
        </is>
      </c>
      <c r="F852" t="inlineStr"/>
      <c r="G852" t="inlineStr"/>
      <c r="H852" t="inlineStr">
        <is>
          <t>1.68%</t>
        </is>
      </c>
      <c r="I852" t="inlineStr">
        <is>
          <t>1.68%</t>
        </is>
      </c>
    </row>
    <row r="853">
      <c r="A853" s="2" t="n">
        <v>45966</v>
      </c>
      <c r="B853" t="inlineStr">
        <is>
          <t>TR2B2</t>
        </is>
      </c>
      <c r="C853" t="inlineStr">
        <is>
          <t>GICS_INDUSTRY_NAME</t>
        </is>
      </c>
      <c r="D853" t="inlineStr">
        <is>
          <t>Chemicals</t>
        </is>
      </c>
      <c r="E853" t="inlineStr">
        <is>
          <t>N/A</t>
        </is>
      </c>
      <c r="F853" t="inlineStr"/>
      <c r="G853" t="inlineStr"/>
      <c r="H853" t="inlineStr">
        <is>
          <t>1.68%</t>
        </is>
      </c>
      <c r="I853" t="inlineStr">
        <is>
          <t>1.68%</t>
        </is>
      </c>
    </row>
    <row r="854">
      <c r="A854" s="2" t="n">
        <v>45966</v>
      </c>
      <c r="B854" t="inlineStr">
        <is>
          <t>TR2B2</t>
        </is>
      </c>
      <c r="C854" t="inlineStr">
        <is>
          <t>GICS_INDUSTRY_GROUP_NAME</t>
        </is>
      </c>
      <c r="D854" t="inlineStr">
        <is>
          <t>Consumer Services</t>
        </is>
      </c>
      <c r="E854" t="inlineStr">
        <is>
          <t>N/A</t>
        </is>
      </c>
      <c r="F854" t="inlineStr"/>
      <c r="G854" t="inlineStr"/>
      <c r="H854" t="inlineStr">
        <is>
          <t>1.68%</t>
        </is>
      </c>
      <c r="I854" t="inlineStr">
        <is>
          <t>1.67%</t>
        </is>
      </c>
    </row>
    <row r="855">
      <c r="A855" s="2" t="n">
        <v>45966</v>
      </c>
      <c r="B855" t="inlineStr">
        <is>
          <t>TR2B2</t>
        </is>
      </c>
      <c r="C855" t="inlineStr">
        <is>
          <t>GICS_INDUSTRY_NAME</t>
        </is>
      </c>
      <c r="D855" t="inlineStr">
        <is>
          <t>Hotels, Restaurants &amp; Leisure</t>
        </is>
      </c>
      <c r="E855" t="inlineStr">
        <is>
          <t>N/A</t>
        </is>
      </c>
      <c r="F855" t="inlineStr"/>
      <c r="G855" t="inlineStr"/>
      <c r="H855" t="inlineStr">
        <is>
          <t>1.68%</t>
        </is>
      </c>
      <c r="I855" t="inlineStr">
        <is>
          <t>1.67%</t>
        </is>
      </c>
    </row>
    <row r="856">
      <c r="A856" s="2" t="n">
        <v>45966</v>
      </c>
      <c r="B856" t="inlineStr">
        <is>
          <t>TR2B2</t>
        </is>
      </c>
      <c r="C856" t="inlineStr">
        <is>
          <t>GICS_INDUSTRY_NAME</t>
        </is>
      </c>
      <c r="D856" t="inlineStr">
        <is>
          <t>Machinery</t>
        </is>
      </c>
      <c r="E856" t="inlineStr">
        <is>
          <t>N/A</t>
        </is>
      </c>
      <c r="F856" t="inlineStr"/>
      <c r="G856" t="inlineStr"/>
      <c r="H856" t="inlineStr">
        <is>
          <t>1.51%</t>
        </is>
      </c>
      <c r="I856" t="inlineStr">
        <is>
          <t>1.51%</t>
        </is>
      </c>
    </row>
    <row r="857">
      <c r="A857" s="2" t="n">
        <v>45966</v>
      </c>
      <c r="B857" t="inlineStr">
        <is>
          <t>TR2B2</t>
        </is>
      </c>
      <c r="C857" t="inlineStr">
        <is>
          <t>GICS_INDUSTRY_GROUP_NAME</t>
        </is>
      </c>
      <c r="D857" t="inlineStr">
        <is>
          <t>Equity Real Estate Investment Trusts</t>
        </is>
      </c>
      <c r="E857" t="inlineStr">
        <is>
          <t>N/A</t>
        </is>
      </c>
      <c r="F857" t="inlineStr"/>
      <c r="G857" t="inlineStr"/>
      <c r="H857" t="inlineStr">
        <is>
          <t>1.44%</t>
        </is>
      </c>
      <c r="I857" t="inlineStr">
        <is>
          <t>1.44%</t>
        </is>
      </c>
    </row>
    <row r="858">
      <c r="A858" s="2" t="n">
        <v>45966</v>
      </c>
      <c r="B858" t="inlineStr">
        <is>
          <t>TR2B2</t>
        </is>
      </c>
      <c r="C858" t="inlineStr">
        <is>
          <t>GICS_INDUSTRY_NAME</t>
        </is>
      </c>
      <c r="D858" t="inlineStr">
        <is>
          <t>Specialized REITs</t>
        </is>
      </c>
      <c r="E858" t="inlineStr">
        <is>
          <t>N/A</t>
        </is>
      </c>
      <c r="F858" t="inlineStr"/>
      <c r="G858" t="inlineStr"/>
      <c r="H858" t="inlineStr">
        <is>
          <t>1.44%</t>
        </is>
      </c>
      <c r="I858" t="inlineStr">
        <is>
          <t>1.44%</t>
        </is>
      </c>
    </row>
    <row r="859">
      <c r="A859" s="2" t="n">
        <v>45966</v>
      </c>
      <c r="B859" t="inlineStr">
        <is>
          <t>TR2B2</t>
        </is>
      </c>
      <c r="C859" t="inlineStr">
        <is>
          <t>GICS_INDUSTRY_GROUP_NAME</t>
        </is>
      </c>
      <c r="D859" t="inlineStr">
        <is>
          <t>Transportation</t>
        </is>
      </c>
      <c r="E859" t="inlineStr">
        <is>
          <t>N/A</t>
        </is>
      </c>
      <c r="F859" t="inlineStr"/>
      <c r="G859" t="inlineStr"/>
      <c r="H859" t="inlineStr">
        <is>
          <t>1.32%</t>
        </is>
      </c>
      <c r="I859" t="inlineStr">
        <is>
          <t>1.32%</t>
        </is>
      </c>
    </row>
    <row r="860">
      <c r="A860" s="2" t="n">
        <v>45966</v>
      </c>
      <c r="B860" t="inlineStr">
        <is>
          <t>TR2B2</t>
        </is>
      </c>
      <c r="C860" t="inlineStr">
        <is>
          <t>GICS_INDUSTRY_NAME</t>
        </is>
      </c>
      <c r="D860" t="inlineStr">
        <is>
          <t>Specialty Retail</t>
        </is>
      </c>
      <c r="E860" t="inlineStr">
        <is>
          <t>N/A</t>
        </is>
      </c>
      <c r="F860" t="inlineStr"/>
      <c r="G860" t="inlineStr"/>
      <c r="H860" t="inlineStr">
        <is>
          <t>1.28%</t>
        </is>
      </c>
      <c r="I860" t="inlineStr">
        <is>
          <t>1.28%</t>
        </is>
      </c>
    </row>
    <row r="861">
      <c r="A861" s="2" t="n">
        <v>45966</v>
      </c>
      <c r="B861" t="inlineStr">
        <is>
          <t>TR2B2</t>
        </is>
      </c>
      <c r="C861" t="inlineStr">
        <is>
          <t>GICS_INDUSTRY_NAME</t>
        </is>
      </c>
      <c r="D861" t="inlineStr">
        <is>
          <t>Entertainment</t>
        </is>
      </c>
      <c r="E861" t="inlineStr">
        <is>
          <t>N/A</t>
        </is>
      </c>
      <c r="F861" t="inlineStr"/>
      <c r="G861" t="inlineStr"/>
      <c r="H861" t="inlineStr">
        <is>
          <t>1.22%</t>
        </is>
      </c>
      <c r="I861" t="inlineStr">
        <is>
          <t>1.22%</t>
        </is>
      </c>
    </row>
    <row r="862">
      <c r="A862" s="2" t="n">
        <v>45966</v>
      </c>
      <c r="B862" t="inlineStr">
        <is>
          <t>TR2B2</t>
        </is>
      </c>
      <c r="C862" t="inlineStr">
        <is>
          <t>GICS_INDUSTRY_NAME</t>
        </is>
      </c>
      <c r="D862" t="inlineStr">
        <is>
          <t>IT Services</t>
        </is>
      </c>
      <c r="E862" t="inlineStr">
        <is>
          <t>N/A</t>
        </is>
      </c>
      <c r="F862" t="inlineStr"/>
      <c r="G862" t="inlineStr"/>
      <c r="H862" t="inlineStr">
        <is>
          <t>1.21%</t>
        </is>
      </c>
      <c r="I862" t="inlineStr">
        <is>
          <t>1.13%</t>
        </is>
      </c>
    </row>
    <row r="863">
      <c r="A863" s="2" t="n">
        <v>45966</v>
      </c>
      <c r="B863" t="inlineStr">
        <is>
          <t>TR2B2</t>
        </is>
      </c>
      <c r="C863" t="inlineStr">
        <is>
          <t>GICS_INDUSTRY_NAME</t>
        </is>
      </c>
      <c r="D863" t="inlineStr">
        <is>
          <t>Beverages</t>
        </is>
      </c>
      <c r="E863" t="inlineStr">
        <is>
          <t>N/A</t>
        </is>
      </c>
      <c r="F863" t="inlineStr"/>
      <c r="G863" t="inlineStr"/>
      <c r="H863" t="inlineStr">
        <is>
          <t>1.15%</t>
        </is>
      </c>
      <c r="I863" t="inlineStr">
        <is>
          <t>1.15%</t>
        </is>
      </c>
    </row>
    <row r="864">
      <c r="A864" s="2" t="n">
        <v>45966</v>
      </c>
      <c r="B864" t="inlineStr">
        <is>
          <t>TR2B2</t>
        </is>
      </c>
      <c r="C864" t="inlineStr">
        <is>
          <t>GICS_INDUSTRY_GROUP_NAME</t>
        </is>
      </c>
      <c r="D864" t="inlineStr">
        <is>
          <t>Commercial &amp; Professional Services</t>
        </is>
      </c>
      <c r="E864" t="inlineStr">
        <is>
          <t>N/A</t>
        </is>
      </c>
      <c r="F864" t="inlineStr"/>
      <c r="G864" t="inlineStr"/>
      <c r="H864" t="inlineStr">
        <is>
          <t>0.99%</t>
        </is>
      </c>
      <c r="I864" t="inlineStr">
        <is>
          <t>0.99%</t>
        </is>
      </c>
    </row>
    <row r="865">
      <c r="A865" s="2" t="n">
        <v>45966</v>
      </c>
      <c r="B865" t="inlineStr">
        <is>
          <t>TR2B2</t>
        </is>
      </c>
      <c r="C865" t="inlineStr">
        <is>
          <t>GICS_INDUSTRY_NAME</t>
        </is>
      </c>
      <c r="D865" t="inlineStr">
        <is>
          <t>Commercial Services &amp; Supplies</t>
        </is>
      </c>
      <c r="E865" t="inlineStr">
        <is>
          <t>N/A</t>
        </is>
      </c>
      <c r="F865" t="inlineStr"/>
      <c r="G865" t="inlineStr"/>
      <c r="H865" t="inlineStr">
        <is>
          <t>0.99%</t>
        </is>
      </c>
      <c r="I865" t="inlineStr">
        <is>
          <t>0.99%</t>
        </is>
      </c>
    </row>
    <row r="866">
      <c r="A866" s="2" t="n">
        <v>45966</v>
      </c>
      <c r="B866" t="inlineStr">
        <is>
          <t>TR2B2</t>
        </is>
      </c>
      <c r="C866" t="inlineStr">
        <is>
          <t>GICS_INDUSTRY_NAME</t>
        </is>
      </c>
      <c r="D866" t="inlineStr">
        <is>
          <t>Ground Transportation</t>
        </is>
      </c>
      <c r="E866" t="inlineStr">
        <is>
          <t>N/A</t>
        </is>
      </c>
      <c r="F866" t="inlineStr"/>
      <c r="G866" t="inlineStr"/>
      <c r="H866" t="inlineStr">
        <is>
          <t>0.95%</t>
        </is>
      </c>
      <c r="I866" t="inlineStr">
        <is>
          <t>0.95%</t>
        </is>
      </c>
    </row>
    <row r="867">
      <c r="A867" s="2" t="n">
        <v>45966</v>
      </c>
      <c r="B867" t="inlineStr">
        <is>
          <t>TR2B2</t>
        </is>
      </c>
      <c r="C867" t="inlineStr">
        <is>
          <t>GICS_INDUSTRY_GROUP_NAME</t>
        </is>
      </c>
      <c r="D867" t="inlineStr">
        <is>
          <t>Household &amp; Personal Products</t>
        </is>
      </c>
      <c r="E867" t="inlineStr">
        <is>
          <t>N/A</t>
        </is>
      </c>
      <c r="F867" t="inlineStr"/>
      <c r="G867" t="inlineStr"/>
      <c r="H867" t="inlineStr">
        <is>
          <t>0.92%</t>
        </is>
      </c>
      <c r="I867" t="inlineStr">
        <is>
          <t>0.92%</t>
        </is>
      </c>
    </row>
    <row r="868">
      <c r="A868" s="2" t="n">
        <v>45966</v>
      </c>
      <c r="B868" t="inlineStr">
        <is>
          <t>TR2B2</t>
        </is>
      </c>
      <c r="C868" t="inlineStr">
        <is>
          <t>GICS_INDUSTRY_NAME</t>
        </is>
      </c>
      <c r="D868" t="inlineStr">
        <is>
          <t>Household Products</t>
        </is>
      </c>
      <c r="E868" t="inlineStr">
        <is>
          <t>N/A</t>
        </is>
      </c>
      <c r="F868" t="inlineStr"/>
      <c r="G868" t="inlineStr"/>
      <c r="H868" t="inlineStr">
        <is>
          <t>0.92%</t>
        </is>
      </c>
      <c r="I868" t="inlineStr">
        <is>
          <t>0.92%</t>
        </is>
      </c>
    </row>
    <row r="869">
      <c r="A869" s="2" t="n">
        <v>45966</v>
      </c>
      <c r="B869" t="inlineStr">
        <is>
          <t>TR2B2</t>
        </is>
      </c>
      <c r="C869" t="inlineStr">
        <is>
          <t>GICS_INDUSTRY_NAME</t>
        </is>
      </c>
      <c r="D869" t="inlineStr">
        <is>
          <t>Life Sciences Tools &amp; Services</t>
        </is>
      </c>
      <c r="E869" t="inlineStr">
        <is>
          <t>N/A</t>
        </is>
      </c>
      <c r="F869" t="inlineStr"/>
      <c r="G869" t="inlineStr"/>
      <c r="H869" t="inlineStr">
        <is>
          <t>0.90%</t>
        </is>
      </c>
      <c r="I869" t="inlineStr">
        <is>
          <t>0.74%</t>
        </is>
      </c>
    </row>
    <row r="870">
      <c r="A870" s="2" t="n">
        <v>45966</v>
      </c>
      <c r="B870" t="inlineStr">
        <is>
          <t>TR2B2</t>
        </is>
      </c>
      <c r="C870" t="inlineStr">
        <is>
          <t>GICS_INDUSTRY_NAME</t>
        </is>
      </c>
      <c r="D870" t="inlineStr">
        <is>
          <t>Electrical Equipment</t>
        </is>
      </c>
      <c r="E870" t="inlineStr">
        <is>
          <t>N/A</t>
        </is>
      </c>
      <c r="F870" t="inlineStr"/>
      <c r="G870" t="inlineStr"/>
      <c r="H870" t="inlineStr">
        <is>
          <t>0.87%</t>
        </is>
      </c>
      <c r="I870" t="inlineStr">
        <is>
          <t>0.87%</t>
        </is>
      </c>
    </row>
    <row r="871">
      <c r="A871" s="2" t="n">
        <v>45966</v>
      </c>
      <c r="B871" t="inlineStr">
        <is>
          <t>TR2B2</t>
        </is>
      </c>
      <c r="C871" t="inlineStr">
        <is>
          <t>GICS_INDUSTRY_NAME</t>
        </is>
      </c>
      <c r="D871" t="inlineStr">
        <is>
          <t>Industrial Conglomerates</t>
        </is>
      </c>
      <c r="E871" t="inlineStr">
        <is>
          <t>N/A</t>
        </is>
      </c>
      <c r="F871" t="inlineStr"/>
      <c r="G871" t="inlineStr"/>
      <c r="H871" t="inlineStr">
        <is>
          <t>0.83%</t>
        </is>
      </c>
      <c r="I871" t="inlineStr">
        <is>
          <t>0.83%</t>
        </is>
      </c>
    </row>
    <row r="872">
      <c r="A872" s="2" t="n">
        <v>45966</v>
      </c>
      <c r="B872" t="inlineStr">
        <is>
          <t>TR2B2</t>
        </is>
      </c>
      <c r="C872" t="inlineStr">
        <is>
          <t>GICS_INDUSTRY_NAME</t>
        </is>
      </c>
      <c r="D872" t="inlineStr">
        <is>
          <t>Tobacco</t>
        </is>
      </c>
      <c r="E872" t="inlineStr">
        <is>
          <t>N/A</t>
        </is>
      </c>
      <c r="F872" t="inlineStr"/>
      <c r="G872" t="inlineStr"/>
      <c r="H872" t="inlineStr">
        <is>
          <t>0.82%</t>
        </is>
      </c>
      <c r="I872" t="inlineStr">
        <is>
          <t>0.81%</t>
        </is>
      </c>
    </row>
    <row r="873">
      <c r="A873" s="2" t="n">
        <v>45966</v>
      </c>
      <c r="B873" t="inlineStr">
        <is>
          <t>TR2B2</t>
        </is>
      </c>
      <c r="C873" t="inlineStr">
        <is>
          <t>GICS_INDUSTRY_GROUP_NAME</t>
        </is>
      </c>
      <c r="D873" t="inlineStr">
        <is>
          <t>Telecommunication Services</t>
        </is>
      </c>
      <c r="E873" t="inlineStr">
        <is>
          <t>N/A</t>
        </is>
      </c>
      <c r="F873" t="inlineStr"/>
      <c r="G873" t="inlineStr"/>
      <c r="H873" t="inlineStr">
        <is>
          <t>0.79%</t>
        </is>
      </c>
      <c r="I873" t="inlineStr">
        <is>
          <t>0.79%</t>
        </is>
      </c>
    </row>
    <row r="874">
      <c r="A874" s="2" t="n">
        <v>45966</v>
      </c>
      <c r="B874" t="inlineStr">
        <is>
          <t>TR2B2</t>
        </is>
      </c>
      <c r="C874" t="inlineStr">
        <is>
          <t>GICS_INDUSTRY_NAME</t>
        </is>
      </c>
      <c r="D874" t="inlineStr">
        <is>
          <t>Diversified Telecommunication Services</t>
        </is>
      </c>
      <c r="E874" t="inlineStr">
        <is>
          <t>N/A</t>
        </is>
      </c>
      <c r="F874" t="inlineStr"/>
      <c r="G874" t="inlineStr"/>
      <c r="H874" t="inlineStr">
        <is>
          <t>0.79%</t>
        </is>
      </c>
      <c r="I874" t="inlineStr">
        <is>
          <t>0.79%</t>
        </is>
      </c>
    </row>
    <row r="875">
      <c r="A875" s="2" t="n">
        <v>45966</v>
      </c>
      <c r="B875" t="inlineStr">
        <is>
          <t>TR2B2</t>
        </is>
      </c>
      <c r="C875" t="inlineStr">
        <is>
          <t>GICS_INDUSTRY_NAME</t>
        </is>
      </c>
      <c r="D875" t="inlineStr">
        <is>
          <t>Consumer Finance</t>
        </is>
      </c>
      <c r="E875" t="inlineStr">
        <is>
          <t>N/A</t>
        </is>
      </c>
      <c r="F875" t="inlineStr"/>
      <c r="G875" t="inlineStr"/>
      <c r="H875" t="inlineStr">
        <is>
          <t>0.62%</t>
        </is>
      </c>
      <c r="I875" t="inlineStr">
        <is>
          <t>0.51%</t>
        </is>
      </c>
    </row>
    <row r="876">
      <c r="A876" s="2" t="n">
        <v>45966</v>
      </c>
      <c r="B876" t="inlineStr">
        <is>
          <t>TR2B2</t>
        </is>
      </c>
      <c r="C876" t="inlineStr">
        <is>
          <t>GICS_INDUSTRY_GROUP_NAME</t>
        </is>
      </c>
      <c r="D876" t="inlineStr">
        <is>
          <t>Consumer Durables &amp; Apparel</t>
        </is>
      </c>
      <c r="E876" t="inlineStr">
        <is>
          <t>N/A</t>
        </is>
      </c>
      <c r="F876" t="inlineStr"/>
      <c r="G876" t="inlineStr"/>
      <c r="H876" t="inlineStr">
        <is>
          <t>0.51%</t>
        </is>
      </c>
      <c r="I876" t="inlineStr">
        <is>
          <t>0.51%</t>
        </is>
      </c>
    </row>
    <row r="877">
      <c r="A877" s="2" t="n">
        <v>45966</v>
      </c>
      <c r="B877" t="inlineStr">
        <is>
          <t>TR2B2</t>
        </is>
      </c>
      <c r="C877" t="inlineStr">
        <is>
          <t>GICS_INDUSTRY_NAME</t>
        </is>
      </c>
      <c r="D877" t="inlineStr">
        <is>
          <t>Textiles, Apparel &amp; Luxury Goods</t>
        </is>
      </c>
      <c r="E877" t="inlineStr">
        <is>
          <t>N/A</t>
        </is>
      </c>
      <c r="F877" t="inlineStr"/>
      <c r="G877" t="inlineStr"/>
      <c r="H877" t="inlineStr">
        <is>
          <t>0.51%</t>
        </is>
      </c>
      <c r="I877" t="inlineStr">
        <is>
          <t>0.51%</t>
        </is>
      </c>
    </row>
    <row r="878">
      <c r="A878" s="2" t="n">
        <v>45966</v>
      </c>
      <c r="B878" t="inlineStr">
        <is>
          <t>TR2B2</t>
        </is>
      </c>
      <c r="C878" t="inlineStr">
        <is>
          <t>GICS_INDUSTRY_NAME</t>
        </is>
      </c>
      <c r="D878" t="inlineStr">
        <is>
          <t>Air Freight &amp; Logistics</t>
        </is>
      </c>
      <c r="E878" t="inlineStr">
        <is>
          <t>N/A</t>
        </is>
      </c>
      <c r="F878" t="inlineStr"/>
      <c r="G878" t="inlineStr"/>
      <c r="H878" t="inlineStr">
        <is>
          <t>0.37%</t>
        </is>
      </c>
      <c r="I878" t="inlineStr">
        <is>
          <t>0.37%</t>
        </is>
      </c>
    </row>
    <row r="879">
      <c r="A879" s="2" t="n">
        <v>45966</v>
      </c>
      <c r="B879" t="inlineStr">
        <is>
          <t>TR2B2</t>
        </is>
      </c>
      <c r="C879" t="inlineStr">
        <is>
          <t>GICS_INDUSTRY_NAME</t>
        </is>
      </c>
      <c r="D879" t="inlineStr">
        <is>
          <t>Media</t>
        </is>
      </c>
      <c r="E879" t="inlineStr">
        <is>
          <t>N/A</t>
        </is>
      </c>
      <c r="F879" t="inlineStr"/>
      <c r="G879" t="inlineStr"/>
      <c r="H879" t="inlineStr">
        <is>
          <t>0.19%</t>
        </is>
      </c>
      <c r="I879" t="inlineStr">
        <is>
          <t>0.19%</t>
        </is>
      </c>
    </row>
    <row r="880">
      <c r="A880" s="2" t="n">
        <v>45966</v>
      </c>
      <c r="B880" t="inlineStr">
        <is>
          <t>TR2B2</t>
        </is>
      </c>
      <c r="C880" t="inlineStr">
        <is>
          <t>GICS_INDUSTRY_NAME</t>
        </is>
      </c>
      <c r="D880" t="inlineStr">
        <is>
          <t>Food Products</t>
        </is>
      </c>
      <c r="E880" t="inlineStr">
        <is>
          <t>N/A</t>
        </is>
      </c>
      <c r="F880" t="inlineStr"/>
      <c r="G880" t="inlineStr"/>
      <c r="H880" t="inlineStr">
        <is>
          <t>0.19%</t>
        </is>
      </c>
      <c r="I880" t="inlineStr">
        <is>
          <t>0.19%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cols>
    <col width="50" customWidth="1" min="1" max="1"/>
    <col width="8" customWidth="1" min="2" max="2"/>
    <col width="33" customWidth="1" min="3" max="3"/>
    <col width="27" customWidth="1" min="4" max="4"/>
    <col width="41" customWidth="1" min="5" max="5"/>
    <col width="27" customWidth="1" min="6" max="6"/>
    <col width="20" customWidth="1" min="7" max="7"/>
    <col width="20" customWidth="1" min="8" max="8"/>
    <col width="20" customWidth="1" min="9" max="9"/>
    <col width="20" customWidth="1" min="10" max="10"/>
    <col width="20" customWidth="1" min="11" max="11"/>
    <col width="10" customWidth="1" min="12" max="12"/>
    <col width="28" customWidth="1" min="13" max="13"/>
    <col width="26" customWidth="1" min="14" max="14"/>
    <col width="14" customWidth="1" min="15" max="15"/>
    <col width="27" customWidth="1" min="16" max="16"/>
  </cols>
  <sheetData>
    <row r="1">
      <c r="A1" s="1" t="inlineStr">
        <is>
          <t>Date</t>
        </is>
      </c>
      <c r="B1" s="1" t="inlineStr">
        <is>
          <t>Fund</t>
        </is>
      </c>
      <c r="C1" s="1" t="inlineStr">
        <is>
          <t>Prospectus 80% Compliance</t>
        </is>
      </c>
      <c r="D1" s="1" t="inlineStr">
        <is>
          <t>Total Equity Market Value</t>
        </is>
      </c>
      <c r="E1" s="1" t="inlineStr">
        <is>
          <t>Total Option Delta Notional Value (DAN)</t>
        </is>
      </c>
      <c r="F1" s="1" t="inlineStr">
        <is>
          <t>Total Option Market Value</t>
        </is>
      </c>
      <c r="G1" s="1" t="inlineStr">
        <is>
          <t>Total T-Bill Value</t>
        </is>
      </c>
      <c r="H1" s="1" t="inlineStr">
        <is>
          <t>Total Cash Value</t>
        </is>
      </c>
      <c r="I1" s="1" t="inlineStr">
        <is>
          <t>Max(CCET - DAN, 0)</t>
        </is>
      </c>
      <c r="J1" s="1" t="inlineStr">
        <is>
          <t>Denominator</t>
        </is>
      </c>
      <c r="K1" s="1" t="inlineStr">
        <is>
          <t>Numerator</t>
        </is>
      </c>
      <c r="L1" s="1" t="inlineStr">
        <is>
          <t>Formula</t>
        </is>
      </c>
      <c r="M1" s="1" t="inlineStr">
        <is>
          <t>Denominator (Market Value)</t>
        </is>
      </c>
      <c r="N1" s="1" t="inlineStr">
        <is>
          <t>Numerator (Market Value)</t>
        </is>
      </c>
      <c r="O1" s="1" t="inlineStr">
        <is>
          <t>Formula (MV)</t>
        </is>
      </c>
      <c r="P1" s="1" t="inlineStr">
        <is>
          <t>Options in Scope for 80%?</t>
        </is>
      </c>
    </row>
    <row r="2">
      <c r="A2" s="2" t="n">
        <v>45966</v>
      </c>
      <c r="B2" t="inlineStr">
        <is>
          <t>KNG</t>
        </is>
      </c>
      <c r="C2" s="3">
        <f>IF(K2/J2&gt;=0.8,"PASS","FAIL")</f>
        <v/>
      </c>
      <c r="D2" s="3" t="n">
        <v>3497722627.07</v>
      </c>
      <c r="E2" s="3" t="n">
        <v>250502512.684629</v>
      </c>
      <c r="F2" s="3" t="n">
        <v>-18967428</v>
      </c>
      <c r="G2" s="3" t="n">
        <v>33714689.74</v>
      </c>
      <c r="H2" s="3" t="n">
        <v>5414416.13</v>
      </c>
      <c r="I2" s="3" t="n">
        <v>0</v>
      </c>
      <c r="J2" s="3" t="n">
        <v>3787354245.624629</v>
      </c>
      <c r="K2" s="3" t="n">
        <v>3781939829.494628</v>
      </c>
      <c r="L2" s="4">
        <f>K2/J2</f>
        <v/>
      </c>
      <c r="M2" s="3" t="n">
        <v>3517884304.94</v>
      </c>
      <c r="N2" s="3" t="n">
        <v>3512469888.809999</v>
      </c>
      <c r="O2" s="4">
        <f>N2/M2</f>
        <v/>
      </c>
      <c r="P2" t="inlineStr">
        <is>
          <t>Yes</t>
        </is>
      </c>
    </row>
    <row r="3">
      <c r="A3" s="2" t="n">
        <v>45966</v>
      </c>
      <c r="B3" t="inlineStr">
        <is>
          <t>P30128</t>
        </is>
      </c>
      <c r="C3" s="3">
        <f>IF(K3/J3&gt;=0.8,"PASS","FAIL")</f>
        <v/>
      </c>
      <c r="D3" s="3" t="n">
        <v>35345081.28999999</v>
      </c>
      <c r="E3" s="3" t="n">
        <v>0</v>
      </c>
      <c r="F3" s="3" t="n">
        <v>10946509.93</v>
      </c>
      <c r="G3" s="3" t="n">
        <v>0</v>
      </c>
      <c r="H3" s="3" t="n">
        <v>95682.2373046875</v>
      </c>
      <c r="I3" s="3" t="n">
        <v>95682.2373046875</v>
      </c>
      <c r="J3" s="3" t="n">
        <v>35440763.52730468</v>
      </c>
      <c r="K3" s="3" t="n">
        <v>35345081.28999999</v>
      </c>
      <c r="L3" s="4">
        <f>K3/J3</f>
        <v/>
      </c>
      <c r="M3" s="3" t="n">
        <v>46387273.45730468</v>
      </c>
      <c r="N3" s="3" t="n">
        <v>35345081.28999999</v>
      </c>
      <c r="O3" s="4">
        <f>N3/M3</f>
        <v/>
      </c>
      <c r="P3" t="inlineStr">
        <is>
          <t>No</t>
        </is>
      </c>
    </row>
    <row r="4">
      <c r="A4" s="2" t="n">
        <v>45966</v>
      </c>
      <c r="B4" t="inlineStr">
        <is>
          <t>TR2B1</t>
        </is>
      </c>
      <c r="C4" s="3">
        <f>IF(K4/J4&gt;=0.8,"PASS","FAIL")</f>
        <v/>
      </c>
      <c r="D4" s="3" t="n">
        <v>124426798.94</v>
      </c>
      <c r="E4" s="3" t="n">
        <v>0</v>
      </c>
      <c r="F4" s="3" t="n">
        <v>33361278.5</v>
      </c>
      <c r="G4" s="3" t="n">
        <v>0</v>
      </c>
      <c r="H4" s="3" t="n">
        <v>334404.787109375</v>
      </c>
      <c r="I4" s="3" t="n">
        <v>334404.787109375</v>
      </c>
      <c r="J4" s="3" t="n">
        <v>124761203.7271094</v>
      </c>
      <c r="K4" s="3" t="n">
        <v>124426798.94</v>
      </c>
      <c r="L4" s="4">
        <f>K4/J4</f>
        <v/>
      </c>
      <c r="M4" s="3" t="n">
        <v>158122482.2271093</v>
      </c>
      <c r="N4" s="3" t="n">
        <v>124426798.94</v>
      </c>
      <c r="O4" s="4">
        <f>N4/M4</f>
        <v/>
      </c>
      <c r="P4" t="inlineStr">
        <is>
          <t>No</t>
        </is>
      </c>
    </row>
    <row r="5">
      <c r="A5" s="2" t="n">
        <v>45966</v>
      </c>
      <c r="B5" t="inlineStr">
        <is>
          <t>DOGG</t>
        </is>
      </c>
      <c r="C5" s="3">
        <f>IF(K5/J5&gt;=0.8,"PASS","FAIL")</f>
        <v/>
      </c>
      <c r="D5" s="3" t="n">
        <v>18515416.42</v>
      </c>
      <c r="E5" s="3" t="n">
        <v>20938977.95100306</v>
      </c>
      <c r="F5" s="3" t="n">
        <v>-9995267.015534092</v>
      </c>
      <c r="G5" s="3" t="n">
        <v>33714689.74</v>
      </c>
      <c r="H5" s="3" t="n">
        <v>51607.73</v>
      </c>
      <c r="I5" s="3" t="n">
        <v>12827319.51899694</v>
      </c>
      <c r="J5" s="3" t="n">
        <v>73220691.84100306</v>
      </c>
      <c r="K5" s="3" t="n">
        <v>73169084.11100306</v>
      </c>
      <c r="L5" s="4">
        <f>K5/J5</f>
        <v/>
      </c>
      <c r="M5" s="3" t="n">
        <v>42286446.87446591</v>
      </c>
      <c r="N5" s="3" t="n">
        <v>42234839.14446591</v>
      </c>
      <c r="O5" s="4">
        <f>N5/M5</f>
        <v/>
      </c>
      <c r="P5" t="inlineStr">
        <is>
          <t>Yes</t>
        </is>
      </c>
    </row>
    <row r="6">
      <c r="A6" s="2" t="n">
        <v>45966</v>
      </c>
      <c r="B6" t="inlineStr">
        <is>
          <t>P3727</t>
        </is>
      </c>
      <c r="C6" s="3">
        <f>IF(K6/J6&gt;=0.8,"PASS","FAIL")</f>
        <v/>
      </c>
      <c r="D6" s="3" t="n">
        <v>72353249.96999998</v>
      </c>
      <c r="E6" s="3" t="n">
        <v>0</v>
      </c>
      <c r="F6" s="3" t="n">
        <v>17143821.88</v>
      </c>
      <c r="G6" s="3" t="n">
        <v>0</v>
      </c>
      <c r="H6" s="3" t="n">
        <v>191847.2290039062</v>
      </c>
      <c r="I6" s="3" t="n">
        <v>191847.2290039062</v>
      </c>
      <c r="J6" s="3" t="n">
        <v>72545097.19900389</v>
      </c>
      <c r="K6" s="3" t="n">
        <v>72353249.96999998</v>
      </c>
      <c r="L6" s="4">
        <f>K6/J6</f>
        <v/>
      </c>
      <c r="M6" s="3" t="n">
        <v>89688919.0790039</v>
      </c>
      <c r="N6" s="3" t="n">
        <v>72353249.96999998</v>
      </c>
      <c r="O6" s="4">
        <f>N6/M6</f>
        <v/>
      </c>
      <c r="P6" t="inlineStr">
        <is>
          <t>No</t>
        </is>
      </c>
    </row>
    <row r="7">
      <c r="A7" s="2" t="n">
        <v>45966</v>
      </c>
      <c r="B7" t="inlineStr">
        <is>
          <t>HE3B2</t>
        </is>
      </c>
      <c r="C7" s="3">
        <f>IF(K7/J7&gt;=0.8,"PASS","FAIL")</f>
        <v/>
      </c>
      <c r="D7" s="3" t="n">
        <v>20934378.13</v>
      </c>
      <c r="E7" s="3" t="n">
        <v>1420124.6796095</v>
      </c>
      <c r="F7" s="3" t="n">
        <v>7803867.11</v>
      </c>
      <c r="G7" s="3" t="n">
        <v>0</v>
      </c>
      <c r="H7" s="3" t="n">
        <v>64157.4716796875</v>
      </c>
      <c r="I7" s="3" t="n">
        <v>0</v>
      </c>
      <c r="J7" s="3" t="n">
        <v>22418660.28128919</v>
      </c>
      <c r="K7" s="3" t="n">
        <v>22354502.8096095</v>
      </c>
      <c r="L7" s="4">
        <f>K7/J7</f>
        <v/>
      </c>
      <c r="M7" s="3" t="n">
        <v>28802402.71167969</v>
      </c>
      <c r="N7" s="3" t="n">
        <v>28738245.24</v>
      </c>
      <c r="O7" s="4">
        <f>N7/M7</f>
        <v/>
      </c>
      <c r="P7" t="inlineStr">
        <is>
          <t>Yes</t>
        </is>
      </c>
    </row>
    <row r="8">
      <c r="A8" s="2" t="n">
        <v>45966</v>
      </c>
      <c r="B8" t="inlineStr">
        <is>
          <t>TR2B2</t>
        </is>
      </c>
      <c r="C8" s="3">
        <f>IF(K8/J8&gt;=0.8,"PASS","FAIL")</f>
        <v/>
      </c>
      <c r="D8" s="3" t="n">
        <v>143688494.85</v>
      </c>
      <c r="E8" s="3" t="n">
        <v>0</v>
      </c>
      <c r="F8" s="3" t="n">
        <v>46633815.12</v>
      </c>
      <c r="G8" s="3" t="n">
        <v>0</v>
      </c>
      <c r="H8" s="3" t="n">
        <v>376198.388671875</v>
      </c>
      <c r="I8" s="3" t="n">
        <v>376198.388671875</v>
      </c>
      <c r="J8" s="3" t="n">
        <v>144064693.2386719</v>
      </c>
      <c r="K8" s="3" t="n">
        <v>143688494.85</v>
      </c>
      <c r="L8" s="4">
        <f>K8/J8</f>
        <v/>
      </c>
      <c r="M8" s="3" t="n">
        <v>190698508.3586719</v>
      </c>
      <c r="N8" s="3" t="n">
        <v>143688494.85</v>
      </c>
      <c r="O8" s="4">
        <f>N8/M8</f>
        <v/>
      </c>
      <c r="P8" t="inlineStr">
        <is>
          <t>No</t>
        </is>
      </c>
    </row>
    <row r="9">
      <c r="A9" s="2" t="n">
        <v>45966</v>
      </c>
      <c r="B9" t="inlineStr">
        <is>
          <t>TDVI</t>
        </is>
      </c>
      <c r="C9" s="3">
        <f>IF(K9/J9&gt;=0.8,"PASS","FAIL")</f>
        <v/>
      </c>
      <c r="D9" s="3" t="n">
        <v>198915300.906</v>
      </c>
      <c r="E9" s="3" t="n">
        <v>6549992.4504</v>
      </c>
      <c r="F9" s="3" t="n">
        <v>-33350</v>
      </c>
      <c r="G9" s="3" t="n">
        <v>33714689.74</v>
      </c>
      <c r="H9" s="3" t="n">
        <v>522003.66</v>
      </c>
      <c r="I9" s="3" t="n">
        <v>27686700.9496</v>
      </c>
      <c r="J9" s="3" t="n">
        <v>239701986.7564</v>
      </c>
      <c r="K9" s="3" t="n">
        <v>232629990.646</v>
      </c>
      <c r="L9" s="4">
        <f>K9/J9</f>
        <v/>
      </c>
      <c r="M9" s="3" t="n">
        <v>233118644.306</v>
      </c>
      <c r="N9" s="3" t="n">
        <v>232629990.646</v>
      </c>
      <c r="O9" s="4">
        <f>N9/M9</f>
        <v/>
      </c>
      <c r="P9" t="inlineStr">
        <is>
          <t>No</t>
        </is>
      </c>
    </row>
    <row r="10">
      <c r="A10" s="2" t="n">
        <v>45966</v>
      </c>
      <c r="B10" t="inlineStr">
        <is>
          <t>P21026</t>
        </is>
      </c>
      <c r="C10" s="3">
        <f>IF(K10/J10&gt;=0.8,"PASS","FAIL")</f>
        <v/>
      </c>
      <c r="D10" s="3" t="n">
        <v>21669861.97</v>
      </c>
      <c r="E10" s="3" t="n">
        <v>1735614.7722281</v>
      </c>
      <c r="F10" s="3" t="n">
        <v>3720339.21</v>
      </c>
      <c r="G10" s="3" t="n">
        <v>0</v>
      </c>
      <c r="H10" s="3" t="n">
        <v>59418.47512054443</v>
      </c>
      <c r="I10" s="3" t="n">
        <v>0</v>
      </c>
      <c r="J10" s="3" t="n">
        <v>23464895.21734864</v>
      </c>
      <c r="K10" s="3" t="n">
        <v>23405476.7422281</v>
      </c>
      <c r="L10" s="4">
        <f>K10/J10</f>
        <v/>
      </c>
      <c r="M10" s="3" t="n">
        <v>25449619.65512054</v>
      </c>
      <c r="N10" s="3" t="n">
        <v>25390201.18</v>
      </c>
      <c r="O10" s="4">
        <f>N10/M10</f>
        <v/>
      </c>
      <c r="P10" t="inlineStr">
        <is>
          <t>Yes</t>
        </is>
      </c>
    </row>
    <row r="11">
      <c r="A11" s="2" t="n">
        <v>45966</v>
      </c>
      <c r="B11" t="inlineStr">
        <is>
          <t>HE3B1</t>
        </is>
      </c>
      <c r="C11" s="3">
        <f>IF(K11/J11&gt;=0.8,"PASS","FAIL")</f>
        <v/>
      </c>
      <c r="D11" s="3" t="n">
        <v>38491898.67</v>
      </c>
      <c r="E11" s="3" t="n">
        <v>15997364.4336983</v>
      </c>
      <c r="F11" s="3" t="n">
        <v>15143173.86</v>
      </c>
      <c r="G11" s="3" t="n">
        <v>0</v>
      </c>
      <c r="H11" s="3" t="n">
        <v>104921.009765625</v>
      </c>
      <c r="I11" s="3" t="n">
        <v>0</v>
      </c>
      <c r="J11" s="3" t="n">
        <v>54594184.11346392</v>
      </c>
      <c r="K11" s="3" t="n">
        <v>54489263.1036983</v>
      </c>
      <c r="L11" s="4">
        <f>K11/J11</f>
        <v/>
      </c>
      <c r="M11" s="3" t="n">
        <v>53739993.53976563</v>
      </c>
      <c r="N11" s="3" t="n">
        <v>53635072.53</v>
      </c>
      <c r="O11" s="4">
        <f>N11/M11</f>
        <v/>
      </c>
      <c r="P11" t="inlineStr">
        <is>
          <t>Yes</t>
        </is>
      </c>
    </row>
    <row r="12">
      <c r="A12" s="2" t="n">
        <v>45966</v>
      </c>
      <c r="B12" t="inlineStr">
        <is>
          <t>R21126</t>
        </is>
      </c>
      <c r="C12" s="3">
        <f>IF(K12/J12&gt;=0.8,"PASS","FAIL")</f>
        <v/>
      </c>
      <c r="D12" s="3" t="n">
        <v>49445947.65000001</v>
      </c>
      <c r="E12" s="3" t="n">
        <v>5426326.68115836</v>
      </c>
      <c r="F12" s="3" t="n">
        <v>8983217.130000001</v>
      </c>
      <c r="G12" s="3" t="n">
        <v>0</v>
      </c>
      <c r="H12" s="3" t="n">
        <v>138069.552734375</v>
      </c>
      <c r="I12" s="3" t="n">
        <v>0</v>
      </c>
      <c r="J12" s="3" t="n">
        <v>55010343.88389274</v>
      </c>
      <c r="K12" s="3" t="n">
        <v>54872274.33115837</v>
      </c>
      <c r="L12" s="4">
        <f>K12/J12</f>
        <v/>
      </c>
      <c r="M12" s="3" t="n">
        <v>58567234.33273438</v>
      </c>
      <c r="N12" s="3" t="n">
        <v>58429164.78000001</v>
      </c>
      <c r="O12" s="4">
        <f>N12/M12</f>
        <v/>
      </c>
      <c r="P12" t="inlineStr">
        <is>
          <t>Yes</t>
        </is>
      </c>
    </row>
    <row r="13">
      <c r="A13" s="2" t="n">
        <v>45966</v>
      </c>
      <c r="B13" t="inlineStr">
        <is>
          <t>P31027</t>
        </is>
      </c>
      <c r="C13" s="3">
        <f>IF(K13/J13&gt;=0.8,"PASS","FAIL")</f>
        <v/>
      </c>
      <c r="D13" s="3" t="n">
        <v>13893863.52</v>
      </c>
      <c r="E13" s="3" t="n">
        <v>0</v>
      </c>
      <c r="F13" s="3" t="n">
        <v>4444584.029999999</v>
      </c>
      <c r="G13" s="3" t="n">
        <v>0</v>
      </c>
      <c r="H13" s="3" t="n">
        <v>36403.46948242188</v>
      </c>
      <c r="I13" s="3" t="n">
        <v>36403.46948242188</v>
      </c>
      <c r="J13" s="3" t="n">
        <v>13930266.98948242</v>
      </c>
      <c r="K13" s="3" t="n">
        <v>13893863.52</v>
      </c>
      <c r="L13" s="4">
        <f>K13/J13</f>
        <v/>
      </c>
      <c r="M13" s="3" t="n">
        <v>18374851.01948242</v>
      </c>
      <c r="N13" s="3" t="n">
        <v>13893863.52</v>
      </c>
      <c r="O13" s="4">
        <f>N13/M13</f>
        <v/>
      </c>
      <c r="P13" t="inlineStr">
        <is>
          <t>No</t>
        </is>
      </c>
    </row>
    <row r="14">
      <c r="A14" s="2" t="n">
        <v>45966</v>
      </c>
      <c r="B14" t="inlineStr">
        <is>
          <t>FGSI</t>
        </is>
      </c>
      <c r="C14" s="3">
        <f>IF(K14/J14&gt;=0.8,"PASS","FAIL")</f>
        <v/>
      </c>
      <c r="D14" s="3" t="n">
        <v>3032078.397</v>
      </c>
      <c r="E14" s="3" t="n">
        <v>92127.24464999999</v>
      </c>
      <c r="F14" s="3" t="n">
        <v>-483</v>
      </c>
      <c r="G14" s="3" t="n">
        <v>33714689.74</v>
      </c>
      <c r="H14" s="3" t="n">
        <v>9016.370000000001</v>
      </c>
      <c r="I14" s="3" t="n">
        <v>33631578.86535</v>
      </c>
      <c r="J14" s="3" t="n">
        <v>36847911.75165001</v>
      </c>
      <c r="K14" s="3" t="n">
        <v>36838895.38165</v>
      </c>
      <c r="L14" s="4">
        <f>K14/J14</f>
        <v/>
      </c>
      <c r="M14" s="3" t="n">
        <v>36755301.507</v>
      </c>
      <c r="N14" s="3" t="n">
        <v>36746285.137</v>
      </c>
      <c r="O14" s="4">
        <f>N14/M14</f>
        <v/>
      </c>
      <c r="P14" t="inlineStr">
        <is>
          <t>Yes</t>
        </is>
      </c>
    </row>
    <row r="15">
      <c r="A15" s="2" t="n">
        <v>45966</v>
      </c>
      <c r="B15" t="inlineStr">
        <is>
          <t>P2726</t>
        </is>
      </c>
      <c r="C15" s="3">
        <f>IF(K15/J15&gt;=0.8,"PASS","FAIL")</f>
        <v/>
      </c>
      <c r="D15" s="3" t="n">
        <v>32965368.83</v>
      </c>
      <c r="E15" s="3" t="n">
        <v>2389667.558445002</v>
      </c>
      <c r="F15" s="3" t="n">
        <v>3757651.56</v>
      </c>
      <c r="G15" s="3" t="n">
        <v>0</v>
      </c>
      <c r="H15" s="3" t="n">
        <v>88743.13671875</v>
      </c>
      <c r="I15" s="3" t="n">
        <v>0</v>
      </c>
      <c r="J15" s="3" t="n">
        <v>35443779.52516375</v>
      </c>
      <c r="K15" s="3" t="n">
        <v>35355036.388445</v>
      </c>
      <c r="L15" s="4">
        <f>K15/J15</f>
        <v/>
      </c>
      <c r="M15" s="3" t="n">
        <v>36811763.52671875</v>
      </c>
      <c r="N15" s="3" t="n">
        <v>36723020.39</v>
      </c>
      <c r="O15" s="4">
        <f>N15/M15</f>
        <v/>
      </c>
      <c r="P15" t="inlineStr">
        <is>
          <t>Yes</t>
        </is>
      </c>
    </row>
    <row r="16">
      <c r="A16" s="2" t="n">
        <v>45966</v>
      </c>
      <c r="B16" t="inlineStr">
        <is>
          <t>FDND</t>
        </is>
      </c>
      <c r="C16" s="3">
        <f>IF(K16/J16&gt;=0.8,"PASS","FAIL")</f>
        <v/>
      </c>
      <c r="D16" s="3" t="n">
        <v>10526051.71</v>
      </c>
      <c r="E16" s="3" t="n">
        <v>405601.41594</v>
      </c>
      <c r="F16" s="3" t="n">
        <v>-2920</v>
      </c>
      <c r="G16" s="3" t="n">
        <v>33714689.74</v>
      </c>
      <c r="H16" s="3" t="n">
        <v>7501.98</v>
      </c>
      <c r="I16" s="3" t="n">
        <v>33316590.30406</v>
      </c>
      <c r="J16" s="3" t="n">
        <v>44653844.84594</v>
      </c>
      <c r="K16" s="3" t="n">
        <v>44240741.45</v>
      </c>
      <c r="L16" s="4">
        <f>K16/J16</f>
        <v/>
      </c>
      <c r="M16" s="3" t="n">
        <v>44245323.43</v>
      </c>
      <c r="N16" s="3" t="n">
        <v>44240741.45</v>
      </c>
      <c r="O16" s="4">
        <f>N16/M16</f>
        <v/>
      </c>
      <c r="P16" t="inlineStr">
        <is>
          <t>No</t>
        </is>
      </c>
    </row>
    <row r="17">
      <c r="A17" s="2" t="n">
        <v>45966</v>
      </c>
      <c r="B17" t="inlineStr">
        <is>
          <t>SDVD</t>
        </is>
      </c>
      <c r="C17" s="3">
        <f>IF(K17/J17&gt;=0.8,"PASS","FAIL")</f>
        <v/>
      </c>
      <c r="D17" s="3" t="n">
        <v>664445182.76</v>
      </c>
      <c r="E17" s="3" t="n">
        <v>28705866.026292</v>
      </c>
      <c r="F17" s="3" t="n">
        <v>-412650</v>
      </c>
      <c r="G17" s="3" t="n">
        <v>33714689.74</v>
      </c>
      <c r="H17" s="3" t="n">
        <v>1553302.76</v>
      </c>
      <c r="I17" s="3" t="n">
        <v>6562126.473708004</v>
      </c>
      <c r="J17" s="3" t="n">
        <v>728419041.286292</v>
      </c>
      <c r="K17" s="3" t="n">
        <v>698159872.5</v>
      </c>
      <c r="L17" s="4">
        <f>K17/J17</f>
        <v/>
      </c>
      <c r="M17" s="3" t="n">
        <v>699300525.26</v>
      </c>
      <c r="N17" s="3" t="n">
        <v>698159872.5</v>
      </c>
      <c r="O17" s="4">
        <f>N17/M17</f>
        <v/>
      </c>
      <c r="P17" t="inlineStr">
        <is>
          <t>No</t>
        </is>
      </c>
    </row>
    <row r="18">
      <c r="A18" s="2" t="n">
        <v>45966</v>
      </c>
      <c r="B18" t="inlineStr">
        <is>
          <t>RDVI</t>
        </is>
      </c>
      <c r="C18" s="3">
        <f>IF(K18/J18&gt;=0.8,"PASS","FAIL")</f>
        <v/>
      </c>
      <c r="D18" s="3" t="n">
        <v>2449368055.855</v>
      </c>
      <c r="E18" s="3" t="n">
        <v>94974890.5308</v>
      </c>
      <c r="F18" s="3" t="n">
        <v>-483575</v>
      </c>
      <c r="G18" s="3" t="n">
        <v>33714689.74</v>
      </c>
      <c r="H18" s="3" t="n">
        <v>6302278.46</v>
      </c>
      <c r="I18" s="3" t="n">
        <v>0</v>
      </c>
      <c r="J18" s="3" t="n">
        <v>2584359914.5858</v>
      </c>
      <c r="K18" s="3" t="n">
        <v>2483082745.595</v>
      </c>
      <c r="L18" s="4">
        <f>K18/J18</f>
        <v/>
      </c>
      <c r="M18" s="3" t="n">
        <v>2488901449.055</v>
      </c>
      <c r="N18" s="3" t="n">
        <v>2483082745.595</v>
      </c>
      <c r="O18" s="4">
        <f>N18/M18</f>
        <v/>
      </c>
      <c r="P18" t="inlineStr">
        <is>
          <t>No</t>
        </is>
      </c>
    </row>
    <row r="19">
      <c r="A19" t="inlineStr">
        <is>
          <t>* Note: Some funds' 80% policies include the options positions while others only include equity exposure.</t>
        </is>
      </c>
      <c r="B19" t="inlineStr"/>
      <c r="C19" t="inlineStr"/>
      <c r="D19" t="inlineStr"/>
      <c r="E19" t="inlineStr"/>
      <c r="F19" t="inlineStr"/>
      <c r="G19" t="inlineStr"/>
      <c r="H19" t="inlineStr"/>
      <c r="I19" t="inlineStr"/>
      <c r="J19" t="inlineStr"/>
      <c r="K19" t="inlineStr"/>
      <c r="L19" t="inlineStr"/>
      <c r="M19" t="inlineStr"/>
      <c r="N19" t="inlineStr"/>
      <c r="O19" t="inlineStr"/>
      <c r="P19" t="inlineStr"/>
    </row>
    <row r="20">
      <c r="A20" t="inlineStr">
        <is>
          <t>* CCET = Cash, Cash Equivalents, and T-bills (less than 1-year maturity).</t>
        </is>
      </c>
      <c r="B20" t="inlineStr"/>
      <c r="C20" t="inlineStr"/>
      <c r="D20" t="inlineStr"/>
      <c r="E20" t="inlineStr"/>
      <c r="F20" t="inlineStr"/>
      <c r="G20" t="inlineStr"/>
      <c r="H20" t="inlineStr"/>
      <c r="I20" t="inlineStr"/>
      <c r="J20" t="inlineStr"/>
      <c r="K20" t="inlineStr"/>
      <c r="L20" t="inlineStr"/>
      <c r="M20" t="inlineStr"/>
      <c r="N20" t="inlineStr"/>
      <c r="O20" t="inlineStr"/>
      <c r="P2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8"/>
  <sheetViews>
    <sheetView workbookViewId="0">
      <selection activeCell="A1" sqref="A1"/>
    </sheetView>
  </sheetViews>
  <sheetFormatPr baseColWidth="8" defaultRowHeight="15"/>
  <cols>
    <col width="50" customWidth="1" min="1" max="1"/>
    <col width="8" customWidth="1" min="2" max="2"/>
    <col width="19" customWidth="1" min="3" max="3"/>
    <col width="19" customWidth="1" min="4" max="4"/>
    <col width="28" customWidth="1" min="5" max="5"/>
    <col width="34" customWidth="1" min="6" max="6"/>
    <col width="31" customWidth="1" min="7" max="7"/>
    <col width="43" customWidth="1" min="8" max="8"/>
    <col width="50" customWidth="1" min="9" max="9"/>
    <col width="15" customWidth="1" min="10" max="10"/>
    <col width="30" customWidth="1" min="11" max="11"/>
    <col width="15" customWidth="1" min="12" max="12"/>
    <col width="10" customWidth="1" min="13" max="13"/>
    <col width="42" customWidth="1" min="14" max="14"/>
    <col width="50" customWidth="1" min="15" max="15"/>
    <col width="50" customWidth="1" min="16" max="16"/>
    <col width="42" customWidth="1" min="17" max="17"/>
    <col width="43" customWidth="1" min="18" max="18"/>
    <col width="50" customWidth="1" min="19" max="19"/>
    <col width="40" customWidth="1" min="20" max="20"/>
    <col width="20" customWidth="1" min="21" max="21"/>
    <col width="24" customWidth="1" min="22" max="22"/>
    <col width="7" customWidth="1" min="23" max="23"/>
  </cols>
  <sheetData>
    <row r="1">
      <c r="A1" s="1" t="inlineStr">
        <is>
          <t>Date</t>
        </is>
      </c>
      <c r="B1" s="1" t="inlineStr">
        <is>
          <t>Fund</t>
        </is>
      </c>
      <c r="C1" s="1" t="inlineStr">
        <is>
          <t>Fund Registration</t>
        </is>
      </c>
      <c r="D1" s="1" t="inlineStr">
        <is>
          <t>Fund Status Today</t>
        </is>
      </c>
      <c r="E1" s="1" t="inlineStr">
        <is>
          <t>Registration Match</t>
        </is>
      </c>
      <c r="F1" s="1" t="inlineStr">
        <is>
          <t>Condition 40 Act 1</t>
        </is>
      </c>
      <c r="G1" s="1" t="inlineStr">
        <is>
          <t>Condition 40 Act 2a</t>
        </is>
      </c>
      <c r="H1" s="1" t="inlineStr">
        <is>
          <t>Condition 40 Act 2b</t>
        </is>
      </c>
      <c r="I1" s="1" t="inlineStr">
        <is>
          <t>Condition 2a OCC</t>
        </is>
      </c>
      <c r="J1" s="1" t="inlineStr">
        <is>
          <t>Total Assets</t>
        </is>
      </c>
      <c r="K1" s="1" t="inlineStr">
        <is>
          <t>Non-Qualifying Assets Weight</t>
        </is>
      </c>
      <c r="L1" s="1" t="inlineStr">
        <is>
          <t>Net Assets</t>
        </is>
      </c>
      <c r="M1" s="1" t="inlineStr">
        <is>
          <t>Expenses</t>
        </is>
      </c>
      <c r="N1" s="1" t="inlineStr">
        <is>
          <t>Issuer Limited Assets (Condition 2a) Sum</t>
        </is>
      </c>
      <c r="O1" s="1" t="inlineStr">
        <is>
          <t>Issuer Limited Assets (Condition 2a) (Ticker, NAV Shares, Mkt Value)</t>
        </is>
      </c>
      <c r="P1" s="1" t="inlineStr">
        <is>
          <t>Excluded Securities (25% Bucket)</t>
        </is>
      </c>
      <c r="Q1" s="1" t="inlineStr">
        <is>
          <t>Cumulative Weight of Excluded Securities</t>
        </is>
      </c>
      <c r="R1" s="1" t="inlineStr">
        <is>
          <t>Cumulative Weight of Remaining Securities</t>
        </is>
      </c>
      <c r="S1" s="1" t="inlineStr">
        <is>
          <t>Remaining Securities (Ticker, NAV Shares, Vest Weight, Vest Ownership of Float)</t>
        </is>
      </c>
      <c r="T1" s="1" t="inlineStr">
        <is>
          <t>Max Ownership % of Float in 75% bucket</t>
        </is>
      </c>
      <c r="U1" s="1" t="inlineStr">
        <is>
          <t>OCC Market Value</t>
        </is>
      </c>
      <c r="V1" s="1" t="inlineStr">
        <is>
          <t>OCC Weight</t>
        </is>
      </c>
      <c r="W1" s="1" t="inlineStr">
        <is>
          <t>Notes</t>
        </is>
      </c>
    </row>
    <row r="2">
      <c r="A2" s="2" t="n">
        <v>45966</v>
      </c>
      <c r="B2" t="inlineStr">
        <is>
          <t>KNG</t>
        </is>
      </c>
      <c r="C2" t="inlineStr">
        <is>
          <t>diversified</t>
        </is>
      </c>
      <c r="D2" t="inlineStr">
        <is>
          <t>diversified</t>
        </is>
      </c>
      <c r="E2" s="3">
        <f>IF(C2=D2,"PASS","FAIL")</f>
        <v/>
      </c>
      <c r="F2" s="3">
        <f>IF(L2/J2&gt;=0.75,"PASS","FAIL")</f>
        <v/>
      </c>
      <c r="G2" s="3">
        <f>IF(O2="None","PASS","FAIL")</f>
        <v/>
      </c>
      <c r="H2" s="3">
        <f>IF(T2="","",IF(T2&lt;=0.1,"PASS","FAIL"))</f>
        <v/>
      </c>
      <c r="I2" s="3">
        <f>IF(U2=0,"PASS",IF(U2&lt;=0.05*L2,"PASS","FAIL"))</f>
        <v/>
      </c>
      <c r="J2" s="3" t="n">
        <v>3507358501</v>
      </c>
      <c r="K2" s="5" t="n">
        <v>0</v>
      </c>
      <c r="L2" s="3" t="n">
        <v>3485852830.67</v>
      </c>
      <c r="M2" s="3" t="n">
        <v>71007.59</v>
      </c>
      <c r="N2" s="3" t="n">
        <v>0</v>
      </c>
      <c r="O2" t="inlineStr">
        <is>
          <t>None</t>
        </is>
      </c>
      <c r="P2" t="inlineStr">
        <is>
          <t>CAH, CHRW, EXPD, CAT, KVUE, DOV, IBM, NUE, SPGI, AFL, CINF, CB, EMR, WST, GD, SJM</t>
        </is>
      </c>
      <c r="Q2" s="5" t="n">
        <v>0.2505829638115013</v>
      </c>
      <c r="R2" s="5" t="n">
        <v>0.7494170361884986</v>
      </c>
      <c r="S2" t="inlineStr">
        <is>
          <t>(SHW, 154,652, 1.47%, 0.0623865%), (BEN, 2,285,280, 1.47%, 0.4401579%), (SWK, 745,695, 1.47%, 0.4814508%), (ALB, 565,624, 1.47%, 0.4805744%), (TROW, 502,379, 1.46%, 0.2301988%), (NDSN, 220,476, 1.46%, 0.3924017%), (GWW, 53,331, 1.46%, 0.1121593%), (NEE, 623,183, 1.46%, 0.0299232%), (ES, 706,024, 1.45%, 0.1881782%), (PNR, 472,146, 1.45%, 0.2885239%), (AMCR, 6,342,075, 1.45%, 0.2747438%), (XOM, 450,043, 1.45%, 0.0106717%), (CHD, 585,843, 1.45%, 0.2439690%), (ESS, 195,384, 1.45%, 0.3033724%), (MCD, 166,472, 1.45%, 0.0233758%), (CVX, 331,841, 1.44%, 0.0164806%), (FAST, 1,211,842, 1.44%, 0.1055578%), (ABT, 403,474, 1.43%, 0.0232032%), (ATO, 291,499, 1.43%, 0.1815926%), (TGT, 549,080, 1.43%, 0.1208365%), (AOS, 756,957, 1.42%, 0.6676749%), (ITW, 204,082, 1.42%, 0.0703488%), (KO, 729,056, 1.42%, 0.0169484%), (JNJ, 267,568, 1.42%, 0.0111057%), (CL, 646,437, 1.42%, 0.0801966%), (BF/B, 1,837,824, 1.41%, 0.6053261%), (LOW, 211,984, 1.41%, 0.0377986%), (CTAS, 266,738, 1.41%, 0.0663747%), (PG, 339,188, 1.41%, 0.0145155%), (FRT, 511,134, 1.40%, 0.5924815%), (ABBV, 225,750, 1.39%, 0.0127731%), (WMT, 481,841, 1.39%, 0.0060435%), (ED, 506,420, 1.39%, 0.1404180%), (PPG, 505,330, 1.39%, 0.2251916%), (MDT, 538,316, 1.39%, 0.0419679%), (MKC, 752,763, 1.38%, 0.2972529%), (ECL, 187,045, 1.38%, 0.0660386%), (GPC, 388,563, 1.38%, 0.2793197%), (APD, 203,928, 1.38%, 0.0916310%), (BDX, 274,438, 1.38%, 0.0957473%), (PEP, 337,349, 1.37%, 0.0246719%), (O, 856,554, 1.37%, 0.0931132%), (SYY, 656,800, 1.37%, 0.1371588%), (LIN, 114,741, 1.37%, 0.0245725%), (CLX, 436,829, 1.36%, 0.3581141%), (ADP, 181,808, 1.35%, 0.0449521%), (ADM, 833,863, 1.34%, 0.1735155%), (FDS, 178,065, 1.33%, 0.4758559%), (HRL, 2,137,660, 1.31%, 0.3886666%), (ERIE, 159,957, 1.31%, 0.3463092%), (ROP, 101,433, 1.29%, 0.0942358%), (BRO, 578,750, 1.28%, 0.1695122%), (KMB, 429,453, 1.22%, 0.1294085%)</t>
        </is>
      </c>
      <c r="T2" s="5" t="n">
        <v>0.006676748512200092</v>
      </c>
      <c r="U2" s="3" t="n">
        <v>18967428</v>
      </c>
      <c r="V2" s="5" t="n">
        <v>0.005407895427454052</v>
      </c>
      <c r="W2" t="inlineStr"/>
    </row>
    <row r="3">
      <c r="A3" s="2" t="n">
        <v>45966</v>
      </c>
      <c r="B3" t="inlineStr">
        <is>
          <t>P30128</t>
        </is>
      </c>
      <c r="C3" t="inlineStr">
        <is>
          <t>diversified</t>
        </is>
      </c>
      <c r="D3" t="inlineStr">
        <is>
          <t>diversified</t>
        </is>
      </c>
      <c r="E3" s="3">
        <f>IF(C3=D3,"PASS","FAIL")</f>
        <v/>
      </c>
      <c r="F3" s="3">
        <f>IF(L3/J3&gt;=0.75,"PASS","FAIL")</f>
        <v/>
      </c>
      <c r="G3" s="3">
        <f>IF(O3="None","PASS","FAIL")</f>
        <v/>
      </c>
      <c r="H3" s="3">
        <f>IF(T3="","",IF(T3&lt;=0.1,"PASS","FAIL"))</f>
        <v/>
      </c>
      <c r="I3" s="3">
        <f>IF(U3=0,"PASS",IF(U3&lt;=0.05*L3,"PASS","FAIL"))</f>
        <v/>
      </c>
      <c r="J3" s="3" t="n">
        <v>40395197.17</v>
      </c>
      <c r="K3" s="5" t="n">
        <v>0</v>
      </c>
      <c r="L3" s="3" t="n">
        <v>35500186.85</v>
      </c>
      <c r="M3" s="3" t="n">
        <v>2576.04</v>
      </c>
      <c r="N3" s="3" t="n">
        <v>0</v>
      </c>
      <c r="O3" t="inlineStr">
        <is>
          <t>None</t>
        </is>
      </c>
      <c r="P3" t="inlineStr">
        <is>
          <t>NVDA, AAPL, MSFT, GOOGLE</t>
        </is>
      </c>
      <c r="Q3" s="5" t="n">
        <v>0.2844429524460376</v>
      </c>
      <c r="R3" s="5" t="n">
        <v>0.7155570475539623</v>
      </c>
      <c r="S3" t="inlineStr">
        <is>
          <t>(AMZN, 6,360, 3.92%, 0.0000595%), (AVGO, 4,192, 3.72%, 0.0000888%), (META, 1,398, 2.20%, 0.0000642%), (TSLA, 1,871, 2.13%, 0.0000563%), (JPM, 2,495, 1.92%, 0.0000917%), (CSCO, 9,879, 1.76%, 0.0002499%), (V, 1,858, 1.56%, 0.0001094%), (LIN, 1,398, 1.45%, 0.0002994%), (XOM, 4,987, 1.40%, 0.0001183%), (WMT, 5,534, 1.39%, 0.0000694%), (CB, 1,895, 1.33%, 0.0004815%), (AMT, 2,835, 1.26%, 0.0006056%), (MA, 881, 1.20%, 0.0000988%), (GE, 1,459, 1.10%, 0.0001383%), (UNH, 1,313, 1.06%, 0.0001449%), (JNJ, 2,157, 0.99%, 0.0000895%), (AMD, 1,456, 0.92%, 0.0000894%), (CAT, 651, 0.92%, 0.0001391%), (NEE, 4,503, 0.91%, 0.0002162%), (WM, 1,753, 0.87%, 0.0004351%), (ABBV, 1,583, 0.85%, 0.0000896%), (RTX, 1,794, 0.77%, 0.0001338%), (BAC, 5,916, 0.77%, 0.0000810%), (ABT, 2,474, 0.76%, 0.0001423%), (NFLX, 274, 0.74%, 0.0000647%), (CVX, 1,896, 0.72%, 0.0000942%), (ISRG, 508, 0.69%, 0.0001433%), (IBM, 899, 0.68%, 0.0000962%), (PG, 1,888, 0.68%, 0.0000808%), (MCD, 892, 0.67%, 0.0001253%), (GS, 337, 0.66%, 0.0001124%), (WFC, 2,951, 0.63%, 0.0000940%), (HD, 675, 0.62%, 0.0000678%), (CRM, 930, 0.58%, 0.0000977%), (KO, 3,414, 0.58%, 0.0000794%), (MET, 2,941, 0.57%, 0.0004451%), (MS, 1,334, 0.54%, 0.0000839%), (SO, 2,399, 0.54%, 0.0002113%), (AXP, 598, 0.54%, 0.0000868%), (DUK, 1,691, 0.52%, 0.0002176%), (ETN, 533, 0.51%, 0.0001372%), (PM, 1,369, 0.50%, 0.0000879%), (BKNG, 41, 0.50%, 0.0001272%), (UBER, 2,171, 0.50%, 0.0001045%), (BA, 1,008, 0.49%, 0.0001326%), (TMO, 343, 0.48%, 0.0000913%), (MRK, 2,266, 0.47%, 0.0000913%), (NKE, 2,917, 0.45%, 0.0002453%), (INTU, 273, 0.44%, 0.0000979%), (QCOM, 997, 0.44%, 0.0000931%), (AMAT, 740, 0.44%, 0.0000929%), (NOW, 200, 0.44%, 0.0000962%), (HON, 877, 0.43%, 0.0001381%), (PEP, 1,208, 0.43%, 0.0000883%), (C, 1,676, 0.42%, 0.0000910%), (BLK, 157, 0.42%, 0.0001012%), (MDT, 1,829, 0.41%, 0.0001426%), (DE, 343, 0.40%, 0.0001269%), (AMGN, 481, 0.38%, 0.0000893%), (ACN, 608, 0.37%, 0.0000976%), (SCHW, 1,607, 0.37%, 0.0000885%), (INTC, 3,871, 0.37%, 0.0000832%), (ADBE, 428, 0.35%, 0.0001022%), (T, 5,813, 0.35%, 0.0003787%), (CVS, 1,795, 0.35%, 0.0001414%), (SPGI, 282, 0.34%, 0.0000910%), (GILD, 1,116, 0.34%, 0.0000899%), (UNP, 625, 0.34%, 0.0001054%), (VZ, 3,411, 0.33%, 0.0000809%), (LMT, 284, 0.33%, 0.0001227%), (TXN, 819, 0.33%, 0.0000901%), (DIS, 1,162, 0.32%, 0.0000646%), (COP, 1,468, 0.32%, 0.0001188%), (PFE, 5,076, 0.31%, 0.0000893%), (DHR, 576, 0.30%, 0.0000815%), (MMM, 734, 0.30%, 0.0001382%), (SBUX, 1,411, 0.29%, 0.0001241%), (TJX, 767, 0.27%, 0.0000689%), (ELV, 331, 0.26%, 0.0001489%), (EMR, 769, 0.25%, 0.0001366%), (LOW, 386, 0.22%, 0.0000688%), (MO, 1,492, 0.21%, 0.0000889%), (BMY, 1,817, 0.21%, 0.0000893%), (UPS, 754, 0.17%, 0.0001020%), (CMCSA, 2,449, 0.17%, 0.0000674%), (MDLZ, 1,177, 0.16%, 0.0000912%), (USB, 1,383, 0.16%, 0.0000890%), (PYPL, 890, 0.15%, 0.0000951%), (FDX, 232, 0.15%, 0.0000983%), (TGT, 587, 0.13%, 0.0001292%), (CL, 655, 0.12%, 0.0000813%), (SOLS, 219, 0.03%, 0.0001380%), (LLY, 0, 0.00%, 0.0000000%), (PLTR, 0, 0.00%, 0.0000000%), (ORCL, 0, 0.00%, 0.0000000%), (COST, 0, 0.00%, 0.0000000%), (BRK/B, 0, 0.00%, 0.0000000%), (nan, 0, -0.01%, 0.0000000%), (nan, 0, -0.01%, 0.0000000%)</t>
        </is>
      </c>
      <c r="T3" s="5" t="n">
        <v>6.055795342740928e-06</v>
      </c>
      <c r="U3" s="3" t="n">
        <v>10946509.93</v>
      </c>
      <c r="V3" s="5" t="n">
        <v>0.2709854313603788</v>
      </c>
      <c r="W3" t="inlineStr"/>
    </row>
    <row r="4">
      <c r="A4" s="2" t="n">
        <v>45966</v>
      </c>
      <c r="B4" t="inlineStr">
        <is>
          <t>TR2B1</t>
        </is>
      </c>
      <c r="C4" t="inlineStr">
        <is>
          <t>diversified</t>
        </is>
      </c>
      <c r="D4" t="inlineStr">
        <is>
          <t>non-diversified</t>
        </is>
      </c>
      <c r="E4" s="3">
        <f>IF(C4=D4,"PASS","FAIL")</f>
        <v/>
      </c>
      <c r="F4" s="3">
        <f>IF(L4/J4&gt;=0.75,"PASS","FAIL")</f>
        <v/>
      </c>
      <c r="G4" s="3">
        <f>IF(O4="None","PASS","FAIL")</f>
        <v/>
      </c>
      <c r="H4" s="3">
        <f>IF(T4="","",IF(T4&lt;=0.1,"PASS","FAIL"))</f>
        <v/>
      </c>
      <c r="I4" s="3">
        <f>IF(U4=0,"PASS",IF(U4&lt;=0.05*L4,"PASS","FAIL"))</f>
        <v/>
      </c>
      <c r="J4" s="3" t="n">
        <v>135425970.28</v>
      </c>
      <c r="K4" s="5" t="n">
        <v>0</v>
      </c>
      <c r="L4" s="3" t="n">
        <v>121358089.67</v>
      </c>
      <c r="M4" s="3" t="n">
        <v>8798.67</v>
      </c>
      <c r="N4" s="3" t="n">
        <v>6811678.7</v>
      </c>
      <c r="O4" t="inlineStr">
        <is>
          <t>(GOOGLE, 23,942, 6,811,678.70)</t>
        </is>
      </c>
      <c r="P4" t="inlineStr">
        <is>
          <t>NVDA, AAPL, MSFT</t>
        </is>
      </c>
      <c r="Q4" s="5" t="n">
        <v>0.2367587784887715</v>
      </c>
      <c r="R4" s="5" t="n">
        <v>0.7632412215112285</v>
      </c>
      <c r="S4" t="inlineStr">
        <is>
          <t>(GOOGLE, 23,942, 5.03%, 0.0002133%), (AMZN, 22,390, 4.11%, 0.0002094%), (AVGO, 14,755, 3.91%, 0.0003124%), (META, 4,923, 2.31%, 0.0002260%), (TSLA, 6,587, 2.23%, 0.0001981%), (JPM, 8,784, 2.02%, 0.0003227%), (CSCO, 34,776, 1.85%, 0.0008797%), (V, 6,540, 1.64%, 0.0003850%), (LIN, 4,920, 1.52%, 0.0010536%), (XOM, 17,555, 1.47%, 0.0004163%), (WMT, 19,481, 1.46%, 0.0002443%), (CB, 6,672, 1.40%, 0.0016953%), (AMT, 9,982, 1.32%, 0.0021322%), (MA, 3,102, 1.27%, 0.0003480%), (GE, 5,136, 1.16%, 0.0004869%), (UNH, 4,621, 1.12%, 0.0005101%), (JNJ, 7,592, 1.04%, 0.0003151%), (AMD, 5,127, 0.96%, 0.0003149%), (CAT, 2,291, 0.96%, 0.0004896%), (NEE, 15,851, 0.96%, 0.0007611%), (WM, 6,170, 0.91%, 0.0015315%), (ABBV, 5,572, 0.89%, 0.0003153%), (RTX, 6,317, 0.81%, 0.0004711%), (BAC, 20,827, 0.81%, 0.0002852%), (ABT, 8,709, 0.80%, 0.0005008%), (NFLX, 965, 0.78%, 0.0002277%), (CVX, 6,675, 0.75%, 0.0003315%), (ISRG, 1,788, 0.72%, 0.0005044%), (IBM, 3,165, 0.72%, 0.0003386%), (PG, 6,647, 0.72%, 0.0002845%), (MCD, 3,141, 0.70%, 0.0004411%), (GS, 1,188, 0.69%, 0.0003961%), (WFC, 10,388, 0.67%, 0.0003309%), (HD, 2,376, 0.66%, 0.0002387%), (CRM, 3,272, 0.61%, 0.0003437%), (KO, 12,018, 0.61%, 0.0002794%), (MET, 10,352, 0.60%, 0.0015668%), (MS, 4,695, 0.57%, 0.0002954%), (SO, 8,446, 0.57%, 0.0007440%), (AXP, 2,106, 0.57%, 0.0003057%), (DUK, 5,954, 0.54%, 0.0007663%), (ETN, 1,876, 0.53%, 0.0004830%), (BKNG, 145, 0.53%, 0.0004498%), (PM, 4,820, 0.52%, 0.0003096%), (UBER, 7,642, 0.52%, 0.0003678%), (BA, 3,548, 0.52%, 0.0004668%), (TMO, 1,206, 0.50%, 0.0003210%), (MRK, 7,976, 0.50%, 0.0003214%), (NKE, 10,267, 0.47%, 0.0008633%), (INTU, 959, 0.46%, 0.0003440%), (QCOM, 3,510, 0.46%, 0.0003277%), (AMAT, 2,604, 0.46%, 0.0003269%), (NOW, 705, 0.46%, 0.0003389%), (HON, 3,086, 0.45%, 0.0004861%), (PEP, 4,253, 0.45%, 0.0003110%), (C, 5,901, 0.44%, 0.0003206%), (BLK, 551, 0.44%, 0.0003551%), (MDT, 6,439, 0.43%, 0.0005020%), (DE, 1,208, 0.42%, 0.0004469%), (AMGN, 1,695, 0.39%, 0.0003148%), (SCHW, 5,658, 0.39%, 0.0003117%), (ACN, 2,139, 0.39%, 0.0003434%), (INTC, 13,626, 0.39%, 0.0002929%), (ADBE, 1,507, 0.37%, 0.0003600%), (T, 20,465, 0.37%, 0.0013331%), (CVS, 6,319, 0.36%, 0.0004978%), (SPGI, 992, 0.36%, 0.0003200%), (GILD, 3,930, 0.35%, 0.0003164%), (UNP, 2,200, 0.35%, 0.0003709%), (VZ, 12,007, 0.35%, 0.0002848%), (LMT, 1,001, 0.35%, 0.0004326%), (TXN, 2,882, 0.35%, 0.0003172%), (DIS, 4,089, 0.34%, 0.0002274%), (COP, 5,167, 0.33%, 0.0004181%), (PFE, 17,869, 0.32%, 0.0003143%), (DHR, 2,027, 0.32%, 0.0002870%), (MMM, 2,584, 0.31%, 0.0004864%), (SBUX, 4,968, 0.30%, 0.0004371%), (TJX, 2,698, 0.28%, 0.0002424%), (ELV, 1,165, 0.27%, 0.0005242%), (EMR, 2,706, 0.26%, 0.0004808%), (LOW, 1,357, 0.23%, 0.0002420%), (MO, 5,254, 0.22%, 0.0003130%), (BMY, 6,395, 0.22%, 0.0003141%), (UPS, 2,654, 0.18%, 0.0003591%), (CMCSA, 8,620, 0.18%, 0.0002372%), (MDLZ, 4,145, 0.17%, 0.0003212%), (USB, 4,867, 0.17%, 0.0003131%), (PYPL, 3,133, 0.16%, 0.0003348%), (FDX, 816, 0.15%, 0.0003458%), (TGT, 2,067, 0.14%, 0.0004549%), (CL, 2,306, 0.13%, 0.0002861%), (SOLS, 771, 0.03%, 0.0004858%), (LLY, 0, 0.00%, 0.0000000%), (PLTR, 0, 0.00%, 0.0000000%), (ORCL, 0, 0.00%, 0.0000000%), (COST, 0, 0.00%, 0.0000000%), (BRK/B, 0, 0.00%, 0.0000000%), (nan, 0, -0.01%, 0.0000000%), (nan, 0, -0.02%, 0.0000000%)</t>
        </is>
      </c>
      <c r="T4" s="5" t="n">
        <v>2.132238063888534e-05</v>
      </c>
      <c r="U4" s="3" t="n">
        <v>33361278.5</v>
      </c>
      <c r="V4" s="5" t="n">
        <v>0.2463432857894529</v>
      </c>
      <c r="W4" t="inlineStr"/>
    </row>
    <row r="5">
      <c r="A5" s="2" t="n">
        <v>45966</v>
      </c>
      <c r="B5" t="inlineStr">
        <is>
          <t>DOGG</t>
        </is>
      </c>
      <c r="C5" t="inlineStr">
        <is>
          <t>non-diversified</t>
        </is>
      </c>
      <c r="D5" t="inlineStr">
        <is>
          <t>diversified</t>
        </is>
      </c>
      <c r="E5" s="3">
        <f>IF(C5=D5,"PASS","FAIL")</f>
        <v/>
      </c>
      <c r="F5" s="3">
        <f>IF(L5/J5&gt;=0.75,"PASS","FAIL")</f>
        <v/>
      </c>
      <c r="G5" s="3">
        <f>IF(O5="None","PASS","FAIL")</f>
        <v/>
      </c>
      <c r="H5" s="3">
        <f>IF(T5="","",IF(T5&lt;=0.1,"PASS","FAIL"))</f>
        <v/>
      </c>
      <c r="I5" s="3">
        <f>IF(U5=0,"PASS",IF(U5&lt;=0.05*L5,"PASS","FAIL"))</f>
        <v/>
      </c>
      <c r="J5" s="3" t="n">
        <v>52353768.7</v>
      </c>
      <c r="K5" s="5" t="n">
        <v>0</v>
      </c>
      <c r="L5" s="3" t="n">
        <v>42291404.56</v>
      </c>
      <c r="M5" s="3" t="n">
        <v>860.22</v>
      </c>
      <c r="N5" s="3" t="n">
        <v>0</v>
      </c>
      <c r="O5" t="inlineStr">
        <is>
          <t>None</t>
        </is>
      </c>
      <c r="P5" t="inlineStr">
        <is>
          <t>AMGN, VZ, VZ, AMGN, MCD, MCD</t>
        </is>
      </c>
      <c r="Q5" s="5" t="n">
        <v>0.2950693380909197</v>
      </c>
      <c r="R5" s="5" t="n">
        <v>0.7049306619090803</v>
      </c>
      <c r="S5" t="inlineStr">
        <is>
          <t>(PG, 13,155, 3.66%, 0.0005630%), (PG, 13,155, 3.66%, 0.0005630%), (CVX, 12,435, 3.63%, 0.0006176%), (CVX, 12,435, 3.63%, 0.0006176%), (KO, 27,636, 3.62%, 0.0006425%), (KO, 27,636, 3.61%, 0.0006425%), (CSCO, 24,157, 3.35%, 0.0006111%), (MRK, 20,738, 3.34%, 0.0008355%), (MRK, 20,738, 3.34%, 0.0008355%), (CSCO, 24,157, 3.32%, 0.0006111%), (JNJ, 8,597, 3.06%, 0.0003568%), (JNJ, 8,597, 3.05%, 0.0003568%), (IBM, 4,734, 2.81%, 0.0005065%), (IBM, 4,734, 2.76%, 0.0005065%), (CSCO, 24,157, 2.10%, 0.0006111%), (JNJ, 8,597, 1.98%, 0.0003568%), (KO, 27,636, 1.93%, 0.0006425%), (CVX, 12,435, 1.56%, 0.0006176%), (IBM, 4,734, 1.50%, 0.0005065%), (PG, 13,155, 0.77%, 0.0005630%), (MRK, 20,738, -0.08%, 0.0008355%)</t>
        </is>
      </c>
      <c r="T5" s="5" t="n">
        <v>8.355281155734657e-06</v>
      </c>
      <c r="U5" s="3" t="n">
        <v>9995267.015534092</v>
      </c>
      <c r="V5" s="5" t="n">
        <v>0.190917812866719</v>
      </c>
      <c r="W5" t="inlineStr"/>
    </row>
    <row r="6">
      <c r="A6" s="2" t="n">
        <v>45966</v>
      </c>
      <c r="B6" t="inlineStr">
        <is>
          <t>P3727</t>
        </is>
      </c>
      <c r="C6" t="inlineStr">
        <is>
          <t>diversified</t>
        </is>
      </c>
      <c r="D6" t="inlineStr">
        <is>
          <t>non-diversified</t>
        </is>
      </c>
      <c r="E6" s="3">
        <f>IF(C6=D6,"PASS","FAIL")</f>
        <v/>
      </c>
      <c r="F6" s="3">
        <f>IF(L6/J6&gt;=0.75,"PASS","FAIL")</f>
        <v/>
      </c>
      <c r="G6" s="3">
        <f>IF(O6="None","PASS","FAIL")</f>
        <v/>
      </c>
      <c r="H6" s="3">
        <f>IF(T6="","",IF(T6&lt;=0.1,"PASS","FAIL"))</f>
        <v/>
      </c>
      <c r="I6" s="3">
        <f>IF(U6=0,"PASS",IF(U6&lt;=0.05*L6,"PASS","FAIL"))</f>
        <v/>
      </c>
      <c r="J6" s="3" t="n">
        <v>79127966.86</v>
      </c>
      <c r="K6" s="5" t="n">
        <v>0</v>
      </c>
      <c r="L6" s="3" t="n">
        <v>71861823.53</v>
      </c>
      <c r="M6" s="3" t="n">
        <v>5210.44</v>
      </c>
      <c r="N6" s="3" t="n">
        <v>3961198.13</v>
      </c>
      <c r="O6" t="inlineStr">
        <is>
          <t>(GOOGLE, 13,923, 3,961,198.13)</t>
        </is>
      </c>
      <c r="P6" t="inlineStr">
        <is>
          <t>NVDA, AAPL, MSFT</t>
        </is>
      </c>
      <c r="Q6" s="5" t="n">
        <v>0.2325306897204477</v>
      </c>
      <c r="R6" s="5" t="n">
        <v>0.7674693102795522</v>
      </c>
      <c r="S6" t="inlineStr">
        <is>
          <t>(GOOGLE, 13,923, 5.01%, 0.0001240%), (AMZN, 13,020, 4.09%, 0.0001218%), (AVGO, 8,580, 3.89%, 0.0001817%), (META, 2,863, 2.30%, 0.0001315%), (TSLA, 3,831, 2.22%, 0.0001152%), (JPM, 5,108, 2.01%, 0.0001876%), (CSCO, 20,222, 1.84%, 0.0005115%), (V, 3,803, 1.63%, 0.0002239%), (LIN, 2,861, 1.51%, 0.0006127%), (XOM, 10,208, 1.47%, 0.0002421%), (WMT, 11,328, 1.45%, 0.0001421%), (CB, 3,880, 1.39%, 0.0009859%), (AMT, 5,804, 1.32%, 0.0012398%), (MA, 1,804, 1.26%, 0.0002024%), (GE, 2,987, 1.15%, 0.0002832%), (UNH, 2,687, 1.11%, 0.0002966%), (JNJ, 4,415, 1.04%, 0.0001832%), (AMD, 2,981, 0.96%, 0.0001831%), (CAT, 1,332, 0.96%, 0.0002846%), (NEE, 9,217, 0.95%, 0.0004426%), (WM, 3,588, 0.91%, 0.0008906%), (ABBV, 3,240, 0.89%, 0.0001833%), (RTX, 3,673, 0.81%, 0.0002739%), (BAC, 12,111, 0.80%, 0.0001658%), (ABT, 5,064, 0.80%, 0.0002912%), (NFLX, 561, 0.78%, 0.0001324%), (CVX, 3,882, 0.75%, 0.0001928%), (ISRG, 1,040, 0.72%, 0.0002934%), (IBM, 1,841, 0.71%, 0.0001970%), (PG, 3,865, 0.71%, 0.0001654%), (MCD, 1,826, 0.70%, 0.0002564%), (GS, 691, 0.69%, 0.0002304%), (WFC, 6,041, 0.66%, 0.0001924%), (HD, 1,382, 0.65%, 0.0001388%), (CRM, 1,903, 0.61%, 0.0001999%), (KO, 6,989, 0.60%, 0.0001625%), (MET, 6,020, 0.60%, 0.0009112%), (MS, 2,730, 0.57%, 0.0001718%), (SO, 4,911, 0.57%, 0.0004326%), (AXP, 1,225, 0.56%, 0.0001778%), (DUK, 3,462, 0.54%, 0.0004455%), (ETN, 1,091, 0.53%, 0.0002809%), (PM, 2,803, 0.52%, 0.0001801%), (BKNG, 84, 0.52%, 0.0002606%), (UBER, 4,444, 0.52%, 0.0002139%), (BA, 2,063, 0.51%, 0.0002714%), (TMO, 701, 0.50%, 0.0001866%), (MRK, 4,638, 0.49%, 0.0001869%), (NKE, 5,970, 0.47%, 0.0005020%), (INTU, 558, 0.46%, 0.0002001%), (QCOM, 2,041, 0.46%, 0.0001906%), (AMAT, 1,515, 0.46%, 0.0001902%), (NOW, 410, 0.46%, 0.0001971%), (HON, 1,794, 0.45%, 0.0002826%), (PEP, 2,473, 0.45%, 0.0001809%), (C, 3,431, 0.44%, 0.0001864%), (BLK, 320, 0.43%, 0.0002063%), (MDT, 3,745, 0.43%, 0.0002920%), (DE, 702, 0.42%, 0.0002597%), (AMGN, 986, 0.39%, 0.0001831%), (SCHW, 3,290, 0.39%, 0.0001812%), (ACN, 1,244, 0.39%, 0.0001997%), (INTC, 7,923, 0.38%, 0.0001703%), (ADBE, 876, 0.37%, 0.0002093%), (T, 11,900, 0.37%, 0.0007752%), (CVS, 3,674, 0.36%, 0.0002894%), (SPGI, 577, 0.36%, 0.0001861%), (GILD, 2,285, 0.35%, 0.0001840%), (UNP, 1,279, 0.35%, 0.0002156%), (VZ, 6,982, 0.35%, 0.0001656%), (LMT, 582, 0.35%, 0.0002515%), (TXN, 1,676, 0.34%, 0.0001845%), (DIS, 2,378, 0.33%, 0.0001323%), (COP, 3,004, 0.33%, 0.0002431%), (PFE, 10,391, 0.32%, 0.0001828%), (DHR, 1,179, 0.32%, 0.0001669%), (MMM, 1,503, 0.31%, 0.0002829%), (SBUX, 2,889, 0.30%, 0.0002542%), (TJX, 1,569, 0.28%, 0.0001410%), (ELV, 677, 0.27%, 0.0003046%), (EMR, 1,574, 0.26%, 0.0002797%), (LOW, 789, 0.23%, 0.0001407%), (MO, 3,055, 0.22%, 0.0001820%), (BMY, 3,719, 0.22%, 0.0001827%), (UPS, 1,543, 0.18%, 0.0002088%), (CMCSA, 5,012, 0.18%, 0.0001379%), (MDLZ, 2,410, 0.17%, 0.0001868%), (USB, 2,830, 0.17%, 0.0001821%), (PYPL, 1,822, 0.16%, 0.0001947%), (FDX, 474, 0.15%, 0.0002009%), (TGT, 1,202, 0.14%, 0.0002645%), (CL, 1,341, 0.13%, 0.0001664%), (SOLS, 449, 0.03%, 0.0002829%), (LLY, 0, 0.00%, 0.0000000%), (PLTR, 0, 0.00%, 0.0000000%), (ORCL, 0, 0.00%, 0.0000000%), (COST, 0, 0.00%, 0.0000000%), (BRK/B, 0, 0.00%, 0.0000000%), (nan, 0, -0.01%, 0.0000000%), (nan, 0, -0.01%, 0.0000000%)</t>
        </is>
      </c>
      <c r="T6" s="5" t="n">
        <v>1.239782580926573e-05</v>
      </c>
      <c r="U6" s="3" t="n">
        <v>17143821.88</v>
      </c>
      <c r="V6" s="5" t="n">
        <v>0.216659451270021</v>
      </c>
      <c r="W6" t="inlineStr"/>
    </row>
    <row r="7">
      <c r="A7" s="2" t="n">
        <v>45966</v>
      </c>
      <c r="B7" t="inlineStr">
        <is>
          <t>HE3B2</t>
        </is>
      </c>
      <c r="C7" t="inlineStr">
        <is>
          <t>diversified</t>
        </is>
      </c>
      <c r="D7" t="inlineStr">
        <is>
          <t>diversified</t>
        </is>
      </c>
      <c r="E7" s="3">
        <f>IF(C7=D7,"PASS","FAIL")</f>
        <v/>
      </c>
      <c r="F7" s="3">
        <f>IF(L7/J7&gt;=0.75,"PASS","FAIL")</f>
        <v/>
      </c>
      <c r="G7" s="3">
        <f>IF(O7="None","PASS","FAIL")</f>
        <v/>
      </c>
      <c r="H7" s="3">
        <f>IF(T7="","",IF(T7&lt;=0.1,"PASS","FAIL"))</f>
        <v/>
      </c>
      <c r="I7" s="3">
        <f>IF(U7=0,"PASS",IF(U7&lt;=0.05*L7,"PASS","FAIL"))</f>
        <v/>
      </c>
      <c r="J7" s="3" t="n">
        <v>24562469.76</v>
      </c>
      <c r="K7" s="5" t="n">
        <v>0</v>
      </c>
      <c r="L7" s="3" t="n">
        <v>20957698.14</v>
      </c>
      <c r="M7" s="3" t="n">
        <v>1521.09</v>
      </c>
      <c r="N7" s="3" t="n">
        <v>0</v>
      </c>
      <c r="O7" t="inlineStr">
        <is>
          <t>None</t>
        </is>
      </c>
      <c r="P7" t="inlineStr">
        <is>
          <t>NVDA, AAPL, MSFT, GOOGLE</t>
        </is>
      </c>
      <c r="Q7" s="5" t="n">
        <v>0.2853879343067969</v>
      </c>
      <c r="R7" s="5" t="n">
        <v>0.7146120656932031</v>
      </c>
      <c r="S7" t="inlineStr">
        <is>
          <t>(AMZN, 3,767, 3.81%, 0.0000352%), (AVGO, 2,483, 3.63%, 0.0000526%), (META, 828, 2.14%, 0.0000380%), (TSLA, 1,108, 2.07%, 0.0000333%), (JPM, 1,478, 1.87%, 0.0000543%), (CSCO, 5,852, 1.72%, 0.0001480%), (V, 1,100, 1.52%, 0.0000648%), (LIN, 828, 1.41%, 0.0001773%), (XOM, 2,954, 1.37%, 0.0000700%), (WMT, 3,278, 1.35%, 0.0000411%), (CB, 1,123, 1.30%, 0.0002854%), (AMT, 1,680, 1.23%, 0.0003589%), (MA, 522, 1.17%, 0.0000586%), (GE, 864, 1.07%, 0.0000819%), (UNH, 778, 1.04%, 0.0000859%), (JNJ, 1,277, 0.97%, 0.0000530%), (AMD, 863, 0.90%, 0.0000530%), (CAT, 386, 0.89%, 0.0000825%), (NEE, 2,667, 0.89%, 0.0001281%), (WM, 1,038, 0.85%, 0.0002577%), (ABBV, 938, 0.83%, 0.0000531%), (RTX, 1,063, 0.75%, 0.0000793%), (BAC, 3,505, 0.75%, 0.0000480%), (ABT, 1,465, 0.74%, 0.0000843%), (NFLX, 162, 0.72%, 0.0000382%), (CVX, 1,123, 0.70%, 0.0000558%), (ISRG, 301, 0.67%, 0.0000849%), (IBM, 533, 0.66%, 0.0000570%), (PG, 1,118, 0.66%, 0.0000478%), (MCD, 528, 0.65%, 0.0000741%), (GS, 200, 0.65%, 0.0000667%), (WFC, 1,748, 0.62%, 0.0000557%), (HD, 400, 0.61%, 0.0000402%), (CRM, 551, 0.57%, 0.0000579%), (KO, 2,022, 0.56%, 0.0000470%), (MET, 1,742, 0.56%, 0.0002637%), (MS, 790, 0.53%, 0.0000497%), (SO, 1,421, 0.53%, 0.0001252%), (AXP, 354, 0.52%, 0.0000514%), (DUK, 1,002, 0.50%, 0.0001290%), (ETN, 316, 0.49%, 0.0000814%), (PM, 811, 0.49%, 0.0000521%), (UBER, 1,286, 0.49%, 0.0000619%), (BKNG, 24, 0.48%, 0.0000745%), (BA, 597, 0.48%, 0.0000785%), (TMO, 203, 0.47%, 0.0000540%), (MRK, 1,342, 0.46%, 0.0000541%), (NKE, 1,728, 0.44%, 0.0001453%), (QCOM, 591, 0.43%, 0.0000552%), (INTU, 161, 0.43%, 0.0000577%), (AMAT, 438, 0.43%, 0.0000550%), (NOW, 119, 0.43%, 0.0000572%), (PEP, 716, 0.42%, 0.0000524%), (HON, 519, 0.42%, 0.0000817%), (C, 993, 0.41%, 0.0000539%), (BLK, 93, 0.41%, 0.0000599%), (MDT, 1,084, 0.40%, 0.0000845%), (DE, 203, 0.39%, 0.0000751%), (SCHW, 952, 0.36%, 0.0000524%), (ACN, 360, 0.36%, 0.0000578%), (AMGN, 285, 0.36%, 0.0000529%), (INTC, 2,293, 0.36%, 0.0000493%), (ADBE, 254, 0.35%, 0.0000607%), (T, 3,444, 0.34%, 0.0002243%), (CVS, 1,063, 0.34%, 0.0000837%), (SPGI, 167, 0.34%, 0.0000539%), (GILD, 661, 0.33%, 0.0000532%), (UNP, 370, 0.33%, 0.0000624%), (VZ, 2,020, 0.33%, 0.0000479%), (LMT, 168, 0.32%, 0.0000726%), (TXN, 485, 0.32%, 0.0000534%), (DIS, 688, 0.31%, 0.0000383%), (COP, 869, 0.31%, 0.0000703%), (PFE, 3,007, 0.30%, 0.0000529%), (DHR, 341, 0.29%, 0.0000483%), (MMM, 435, 0.29%, 0.0000819%), (SBUX, 836, 0.28%, 0.0000735%), (TJX, 454, 0.26%, 0.0000408%), (ELV, 196, 0.25%, 0.0000882%), (EMR, 455, 0.25%, 0.0000808%), (LOW, 228, 0.22%, 0.0000407%), (MO, 884, 0.21%, 0.0000527%), (BMY, 1,076, 0.20%, 0.0000529%), (UPS, 447, 0.17%, 0.0000605%), (CMCSA, 1,450, 0.16%, 0.0000399%), (MDLZ, 697, 0.16%, 0.0000540%), (USB, 819, 0.16%, 0.0000527%), (PYPL, 527, 0.15%, 0.0000563%), (FDX, 137, 0.14%, 0.0000581%), (TGT, 348, 0.13%, 0.0000766%), (CL, 388, 0.12%, 0.0000481%), (SOLS, 130, 0.03%, 0.0000819%), (LLY, 0, 0.00%, 0.0000000%), (PLTR, 0, 0.00%, 0.0000000%), (ORCL, 0, 0.00%, 0.0000000%), (COST, 0, 0.00%, 0.0000000%), (BRK/B, 0, 0.00%, 0.0000000%), (nan, 0, -0.01%, 0.0000000%), (nan, 0, -0.01%, 0.0000000%)</t>
        </is>
      </c>
      <c r="T7" s="5" t="n">
        <v>3.588619462364994e-06</v>
      </c>
      <c r="U7" s="3" t="n">
        <v>7803867.11</v>
      </c>
      <c r="V7" s="5" t="n">
        <v>0.3177150826546198</v>
      </c>
      <c r="W7" t="inlineStr"/>
    </row>
    <row r="8">
      <c r="A8" s="2" t="n">
        <v>45966</v>
      </c>
      <c r="B8" t="inlineStr">
        <is>
          <t>TR2B2</t>
        </is>
      </c>
      <c r="C8" t="inlineStr">
        <is>
          <t>diversified</t>
        </is>
      </c>
      <c r="D8" t="inlineStr">
        <is>
          <t>diversified</t>
        </is>
      </c>
      <c r="E8" s="3">
        <f>IF(C8=D8,"PASS","FAIL")</f>
        <v/>
      </c>
      <c r="F8" s="3">
        <f>IF(L8/J8&gt;=0.75,"PASS","FAIL")</f>
        <v/>
      </c>
      <c r="G8" s="3">
        <f>IF(O8="None","PASS","FAIL")</f>
        <v/>
      </c>
      <c r="H8" s="3">
        <f>IF(T8="","",IF(T8&lt;=0.1,"PASS","FAIL"))</f>
        <v/>
      </c>
      <c r="I8" s="3">
        <f>IF(U8=0,"PASS",IF(U8&lt;=0.05*L8,"PASS","FAIL"))</f>
        <v/>
      </c>
      <c r="J8" s="3" t="n">
        <v>165234594.9</v>
      </c>
      <c r="K8" s="5" t="n">
        <v>0</v>
      </c>
      <c r="L8" s="3" t="n">
        <v>143561503.42</v>
      </c>
      <c r="M8" s="3" t="n">
        <v>10415.67</v>
      </c>
      <c r="N8" s="3" t="n">
        <v>0</v>
      </c>
      <c r="O8" t="inlineStr">
        <is>
          <t>None</t>
        </is>
      </c>
      <c r="P8" t="inlineStr">
        <is>
          <t>NVDA, AAPL, MSFT, GOOGLE</t>
        </is>
      </c>
      <c r="Q8" s="5" t="n">
        <v>0.2859121275006219</v>
      </c>
      <c r="R8" s="5" t="n">
        <v>0.7140878724993781</v>
      </c>
      <c r="S8" t="inlineStr">
        <is>
          <t>(AMZN, 25,855, 3.89%, 0.0002419%), (AVGO, 17,039, 3.70%, 0.0003608%), (META, 5,685, 2.19%, 0.0002610%), (TSLA, 7,607, 2.11%, 0.0002287%), (JPM, 10,143, 1.91%, 0.0003726%), (CSCO, 40,158, 1.75%, 0.0010158%), (V, 7,552, 1.55%, 0.0004446%), (LIN, 5,682, 1.44%, 0.0012168%), (XOM, 20,272, 1.39%, 0.0004807%), (WMT, 22,496, 1.38%, 0.0002822%), (CB, 7,705, 1.32%, 0.0019578%), (AMT, 11,526, 1.25%, 0.0024620%), (MA, 3,582, 1.20%, 0.0004019%), (GE, 5,931, 1.09%, 0.0005623%), (UNH, 5,336, 1.06%, 0.0005891%), (JNJ, 8,767, 0.99%, 0.0003639%), (AMD, 5,920, 0.91%, 0.0003636%), (CAT, 2,646, 0.91%, 0.0005654%), (NEE, 18,304, 0.91%, 0.0008789%), (WM, 7,125, 0.86%, 0.0017686%), (ABBV, 6,434, 0.84%, 0.0003640%), (RTX, 7,294, 0.77%, 0.0005440%), (BAC, 24,051, 0.76%, 0.0003294%), (ABT, 10,057, 0.76%, 0.0005784%), (NFLX, 1,115, 0.74%, 0.0002631%), (CVX, 7,709, 0.71%, 0.0003829%), (ISRG, 2,065, 0.68%, 0.0005825%), (IBM, 3,655, 0.68%, 0.0003910%), (PG, 7,675, 0.68%, 0.0003284%), (MCD, 3,627, 0.67%, 0.0005093%), (GS, 1,372, 0.66%, 0.0004574%), (WFC, 11,996, 0.63%, 0.0003821%), (HD, 2,744, 0.62%, 0.0002757%), (CRM, 3,779, 0.58%, 0.0003970%), (KO, 13,878, 0.57%, 0.0003226%), (MET, 11,954, 0.57%, 0.0018093%), (MS, 5,421, 0.54%, 0.0003411%), (SO, 9,753, 0.54%, 0.0008591%), (AXP, 2,432, 0.54%, 0.0003531%), (DUK, 6,876, 0.52%, 0.0008849%), (ETN, 2,166, 0.50%, 0.0005577%), (BKNG, 168, 0.50%, 0.0005212%), (PM, 5,566, 0.50%, 0.0003576%), (UBER, 8,824, 0.50%, 0.0004247%), (BA, 4,097, 0.49%, 0.0005390%), (TMO, 1,393, 0.48%, 0.0003708%), (MRK, 9,211, 0.47%, 0.0003711%), (NKE, 11,856, 0.45%, 0.0009969%), (INTU, 1,108, 0.44%, 0.0003974%), (QCOM, 4,053, 0.44%, 0.0003784%), (AMAT, 3,008, 0.43%, 0.0003776%), (NOW, 814, 0.43%, 0.0003913%), (HON, 3,564, 0.42%, 0.0005614%), (PEP, 4,911, 0.42%, 0.0003592%), (C, 6,814, 0.42%, 0.0003701%), (BLK, 636, 0.41%, 0.0004099%), (MDT, 7,436, 0.41%, 0.0005797%), (DE, 1,394, 0.40%, 0.0005157%), (AMGN, 1,957, 0.37%, 0.0003634%), (SCHW, 6,533, 0.37%, 0.0003599%), (ACN, 2,470, 0.37%, 0.0003966%), (INTC, 15,735, 0.36%, 0.0003383%), (ADBE, 1,740, 0.35%, 0.0004157%), (T, 23,632, 0.35%, 0.0015394%), (CVS, 7,296, 0.35%, 0.0005747%), (SPGI, 1,146, 0.34%, 0.0003697%), (GILD, 4,538, 0.33%, 0.0003654%), (UNP, 2,541, 0.33%, 0.0004284%), (VZ, 13,865, 0.33%, 0.0003288%), (LMT, 1,156, 0.33%, 0.0004996%), (TXN, 3,328, 0.33%, 0.0003663%), (DIS, 4,722, 0.32%, 0.0002626%), (COP, 5,966, 0.32%, 0.0004828%), (PFE, 20,635, 0.31%, 0.0003629%), (DHR, 2,341, 0.30%, 0.0003314%), (MMM, 2,984, 0.30%, 0.0005617%), (SBUX, 5,737, 0.29%, 0.0005047%), (TJX, 3,116, 0.27%, 0.0002800%), (ELV, 1,345, 0.26%, 0.0006052%), (EMR, 3,125, 0.25%, 0.0005553%), (LOW, 1,567, 0.22%, 0.0002794%), (MO, 6,067, 0.21%, 0.0003614%), (BMY, 7,385, 0.21%, 0.0003628%), (UPS, 3,065, 0.17%, 0.0004148%), (CMCSA, 9,954, 0.17%, 0.0002739%), (MDLZ, 4,787, 0.16%, 0.0003710%), (USB, 5,621, 0.16%, 0.0003616%), (PYPL, 3,617, 0.15%, 0.0003866%), (FDX, 942, 0.15%, 0.0003992%), (TGT, 2,387, 0.13%, 0.0005253%), (CL, 2,663, 0.12%, 0.0003304%), (SOLS, 891, 0.03%, 0.0005614%), (LLY, 0, 0.00%, 0.0000000%), (PLTR, 0, 0.00%, 0.0000000%), (ORCL, 0, 0.00%, 0.0000000%), (COST, 0, 0.00%, 0.0000000%), (BRK/B, 0, 0.00%, 0.0000000%), (nan, 0, -0.01%, 0.0000000%), (nan, 0, -0.01%, 0.0000000%)</t>
        </is>
      </c>
      <c r="T8" s="5" t="n">
        <v>2.462049281143983e-05</v>
      </c>
      <c r="U8" s="3" t="n">
        <v>46633815.12</v>
      </c>
      <c r="V8" s="5" t="n">
        <v>0.2822279144886262</v>
      </c>
      <c r="W8" t="inlineStr"/>
    </row>
    <row r="9">
      <c r="A9" s="2" t="n">
        <v>45966</v>
      </c>
      <c r="B9" t="inlineStr">
        <is>
          <t>TDVI</t>
        </is>
      </c>
      <c r="C9" t="inlineStr">
        <is>
          <t>non-diversified</t>
        </is>
      </c>
      <c r="D9" t="inlineStr">
        <is>
          <t>non-diversified</t>
        </is>
      </c>
      <c r="E9" s="3">
        <f>IF(C9=D9,"PASS","FAIL")</f>
        <v/>
      </c>
      <c r="F9" s="3">
        <f>IF(L9/J9&gt;=0.75,"PASS","FAIL")</f>
        <v/>
      </c>
      <c r="G9" s="3">
        <f>IF(O9="None","PASS","FAIL")</f>
        <v/>
      </c>
      <c r="H9" s="3">
        <f>IF(T9="","",IF(T9&lt;=0.1,"PASS","FAIL"))</f>
        <v/>
      </c>
      <c r="I9" s="3">
        <f>IF(U9=0,"PASS",IF(U9&lt;=0.05*L9,"PASS","FAIL"))</f>
        <v/>
      </c>
      <c r="J9" s="3" t="n">
        <v>199592567.27</v>
      </c>
      <c r="K9" s="5" t="n">
        <v>0</v>
      </c>
      <c r="L9" s="3" t="n">
        <v>199428903</v>
      </c>
      <c r="M9" s="3" t="n">
        <v>3981.73</v>
      </c>
      <c r="N9" s="3" t="n">
        <v>41528585.23800001</v>
      </c>
      <c r="O9" t="inlineStr">
        <is>
          <t>(MSFT, 29,370, 14,890,237.56), (ORCL, 58,401, 14,618,354.31), (TXN, 73,497, 12,019,993.37)</t>
        </is>
      </c>
      <c r="P9" t="inlineStr">
        <is>
          <t>IBM, AVGO</t>
        </is>
      </c>
      <c r="Q9" s="5" t="n">
        <v>0.1840916399665499</v>
      </c>
      <c r="R9" s="5" t="n">
        <v>0.8159083600334501</v>
      </c>
      <c r="S9" t="inlineStr">
        <is>
          <t>(MSFT, 29,370, 7.46%, 0.0003952%), (ORCL, 58,401, 7.32%, 0.0020486%), (TXN, 73,497, 6.02%, 0.0080888%), (TSM, 32,230, 4.74%, 0.0006214%), (QCOM, 46,294, 4.17%, 0.0043225%), (AMAT, 22,321, 2.69%, 0.0028019%), (LRCX, 31,546, 2.61%, 0.0025116%), (ADI, 20,290, 2.40%, 0.0041244%), (CRM, 16,520, 2.09%, 0.0017353%), (CSCO, 53,848, 1.95%, 0.0013621%), (RCI, 101,291, 1.89%, 10129100.0000000%), (KLAC, 2,772, 1.70%, 0.0021097%), (GLW, 38,835, 1.69%, 0.0045296%), (VZ, 84,115, 1.67%, 0.0019949%), (TU, 225,616, 1.65%, 22561600.0000000%), (T, 127,020, 1.56%, 0.0082740%), (MSI, 7,875, 1.56%, 0.0047282%), (INTU, 4,721, 1.55%, 0.0016933%), (CMCSA, 109,521, 1.53%, 0.0030134%), (TMUS, 14,764, 1.51%, 0.0013200%), (APH, 20,084, 1.40%, 0.0016408%), (STX, 9,859, 1.36%, 0.0046165%), (HPQ, 101,640, 1.36%, 0.0108741%), (TEL, 10,327, 1.29%, 0.0034950%), (MCHP, 40,979, 1.25%, 0.0075932%), (NXPI, 11,814, 1.25%, 0.0046942%), (TIGO, 50,959, 1.18%, 0.0305071%), (TRI, 15,628, 1.13%, 0.0035135%), (DELL, 14,639, 1.12%, 0.0043451%), (HPE, 82,030, 0.97%, 0.0062170%), (CTSH, 22,377, 0.84%, 0.0046363%), (UI, 1,621, 0.63%, 0.0026794%), (CCOI, 30,298, 0.58%, 0.0616801%), (NTAP, 9,989, 0.58%, 0.0050040%), (NOK, 165,817, 0.57%, 0.0029738%), (SWKS, 15,047, 0.55%, 0.0101376%), (MPWR, 873, 0.44%, 0.0018223%), (OTEX, 21,910, 0.42%, 0.0086941%), (ROP, 1,789, 0.40%, 0.0016621%), (CDW, 5,386, 0.39%, 0.0041369%), (GEN, 27,666, 0.36%, 0.0044922%), (SSNC, 7,474, 0.32%, 0.0030628%), (LOGI, 5,293, 0.32%, 529300.0000000%), (ERIC, 61,422, 0.30%, 0.0019752%), (LDOS, 3,040, 0.30%, 0.0023777%), (DOX, 7,016, 0.30%, 0.0063786%), (IDCC, 1,175, 0.23%, 0.0045641%), (SAP, 1,636, 0.21%, 0.0001332%), (SNX, 2,600, 0.20%, 0.0031926%), (TLK, 16,747, 0.18%, 0.0016906%), (AMKR, 9,059, 0.17%, 0.0036647%), (MTCH, 9,967, 0.17%, 0.0042220%), (JOYY, 5,460, 0.16%, 0.0155833%), (AVT, 5,477, 0.13%, 0.0067343%), (IRDM, 14,074, 0.13%, 0.0134364%), (ASX, 15,319, 0.12%, 0.0006928%), (ITRN, 6,192, 0.12%, 0.0311256%), (OLED, 1,581, 0.12%, 0.0033260%), (VIV, 18,275, 0.12%, 0.0011207%), (SIMO, 2,280, 0.11%, 0.0067091%), (ENTG, 2,457, 0.11%, 0.0016207%), (DLB, 2,987, 0.10%, 0.0048820%), (WB, 17,678, 0.09%, 0.0112596%), (KBR, 4,364, 0.09%, 0.0034365%), (RELX, 4,157, 0.09%, 0.0002278%), (PAYC, 1,007, 0.09%, 0.0018210%), (CHT, 4,136, 0.09%, 0.0005332%), (TEF, 41,315, 0.09%, 0.0007286%), (CNXC, 4,314, 0.08%, 0.0069293%), (SAIC, 1,610, 0.07%, 0.0034983%), (UMC, 17,268, 0.07%, 0.0006876%), (VSH, 8,668, 0.07%, 0.0070191%), (KLIC, 3,075, 0.06%, 0.0058970%), (CSGS, 1,509, 0.06%, 0.0052910%), (HIMX, 12,812, 0.06%, 0.0073248%), (POWI, 2,801, 0.06%, 0.0050618%), (INGM, 4,884, 0.05%, 0.0020777%), (YOU, 3,383, 0.05%, 0.0034722%), (WIT, 35,678, 0.05%, 0.0003403%), (STM, 3,729, 0.04%, 0.0004179%), (MGIC, 3,696, 0.04%, 0.0075276%), (BHE, 1,633, 0.04%, 0.0045769%), (KARO, 1,719, 0.04%, 0.0055643%), (OPRA, 4,864, 0.04%, 0.0054257%), (ADEA, 3,945, 0.03%, 0.0036071%), (ATEN, 2,653, 0.02%, 0.0036988%), (CNXN, 537, 0.02%, 0.0021271%), (HCKT, 1,649, 0.02%, 0.0060780%), (SHEN, 2,443, 0.01%, 0.0044501%), (OSPN, 1,650, 0.01%, 0.0043390%), (CLMB, 68, 0.00%, 0.0014740%)</t>
        </is>
      </c>
      <c r="T9" s="5" t="n">
        <v>225616</v>
      </c>
      <c r="U9" s="3" t="n">
        <v>33350</v>
      </c>
      <c r="V9" s="5" t="n">
        <v>0.0001670903904697292</v>
      </c>
      <c r="W9" t="inlineStr"/>
    </row>
    <row r="10">
      <c r="A10" s="2" t="n">
        <v>45966</v>
      </c>
      <c r="B10" t="inlineStr">
        <is>
          <t>P21026</t>
        </is>
      </c>
      <c r="C10" t="inlineStr">
        <is>
          <t>diversified</t>
        </is>
      </c>
      <c r="D10" t="inlineStr">
        <is>
          <t>non-diversified</t>
        </is>
      </c>
      <c r="E10" s="3">
        <f>IF(C10=D10,"PASS","FAIL")</f>
        <v/>
      </c>
      <c r="F10" s="3">
        <f>IF(L10/J10&gt;=0.75,"PASS","FAIL")</f>
        <v/>
      </c>
      <c r="G10" s="3">
        <f>IF(O10="None","PASS","FAIL")</f>
        <v/>
      </c>
      <c r="H10" s="3">
        <f>IF(T10="","",IF(T10&lt;=0.1,"PASS","FAIL"))</f>
        <v/>
      </c>
      <c r="I10" s="3">
        <f>IF(U10=0,"PASS",IF(U10&lt;=0.05*L10,"PASS","FAIL"))</f>
        <v/>
      </c>
      <c r="J10" s="3" t="n">
        <v>23354046.68</v>
      </c>
      <c r="K10" s="5" t="n">
        <v>0</v>
      </c>
      <c r="L10" s="3" t="n">
        <v>21565939.72</v>
      </c>
      <c r="M10" s="3" t="n">
        <v>1564.17</v>
      </c>
      <c r="N10" s="3" t="n">
        <v>1186396.38</v>
      </c>
      <c r="O10" t="inlineStr">
        <is>
          <t>(GOOGLE, 4,170, 1,186,396.38)</t>
        </is>
      </c>
      <c r="P10" t="inlineStr">
        <is>
          <t>NVDA, AAPL, MSFT</t>
        </is>
      </c>
      <c r="Q10" s="5" t="n">
        <v>0.2320473934812612</v>
      </c>
      <c r="R10" s="5" t="n">
        <v>0.7679526065187388</v>
      </c>
      <c r="S10" t="inlineStr">
        <is>
          <t>(GOOGLE, 4,170, 5.08%, 0.0000371%), (AMZN, 3,900, 4.15%, 0.0000365%), (AVGO, 2,570, 3.95%, 0.0000544%), (META, 857, 2.33%, 0.0000394%), (TSLA, 1,147, 2.25%, 0.0000345%), (JPM, 1,530, 2.04%, 0.0000562%), (CSCO, 6,057, 1.87%, 0.0001532%), (V, 1,139, 1.66%, 0.0000671%), (LIN, 857, 1.53%, 0.0001835%), (XOM, 3,058, 1.49%, 0.0000725%), (WMT, 3,393, 1.47%, 0.0000426%), (CB, 1,162, 1.41%, 0.0002953%), (AMT, 1,739, 1.34%, 0.0003715%), (MA, 540, 1.28%, 0.0000606%), (GE, 895, 1.17%, 0.0000848%), (UNH, 805, 1.13%, 0.0000889%), (JNJ, 1,322, 1.05%, 0.0000549%), (AMD, 893, 0.97%, 0.0000549%), (CAT, 399, 0.97%, 0.0000853%), (NEE, 2,761, 0.97%, 0.0001326%), (WM, 1,075, 0.92%, 0.0002668%), (ABBV, 971, 0.90%, 0.0000549%), (RTX, 1,100, 0.82%, 0.0000820%), (BAC, 3,628, 0.81%, 0.0000497%), (ABT, 1,517, 0.81%, 0.0000872%), (NFLX, 168, 0.79%, 0.0000396%), (CVX, 1,163, 0.76%, 0.0000578%), (ISRG, 311, 0.72%, 0.0000877%), (PG, 1,158, 0.72%, 0.0000496%), (IBM, 551, 0.72%, 0.0000589%), (MCD, 547, 0.71%, 0.0000768%), (GS, 207, 0.70%, 0.0000690%), (WFC, 1,809, 0.67%, 0.0000576%), (HD, 414, 0.66%, 0.0000416%), (CRM, 570, 0.62%, 0.0000599%), (KO, 2,093, 0.61%, 0.0000487%), (MET, 1,803, 0.61%, 0.0002729%), (MS, 818, 0.58%, 0.0000515%), (SO, 1,471, 0.58%, 0.0001296%), (AXP, 367, 0.57%, 0.0000533%), (DUK, 1,037, 0.55%, 0.0001335%), (ETN, 327, 0.54%, 0.0000842%), (PM, 839, 0.53%, 0.0000539%), (UBER, 1,331, 0.53%, 0.0000641%), (BKNG, 25, 0.53%, 0.0000776%), (BA, 618, 0.52%, 0.0000813%), (TMO, 210, 0.51%, 0.0000559%), (MRK, 1,389, 0.50%, 0.0000560%), (NKE, 1,788, 0.48%, 0.0001503%), (INTU, 167, 0.47%, 0.0000599%), (QCOM, 611, 0.47%, 0.0000570%), (AMAT, 454, 0.46%, 0.0000570%), (NOW, 123, 0.46%, 0.0000591%), (PEP, 741, 0.45%, 0.0000542%), (HON, 537, 0.45%, 0.0000846%), (C, 1,028, 0.45%, 0.0000558%), (BLK, 96, 0.44%, 0.0000619%), (MDT, 1,122, 0.43%, 0.0000875%), (DE, 210, 0.42%, 0.0000777%), (ACN, 373, 0.39%, 0.0000599%), (SCHW, 985, 0.39%, 0.0000543%), (AMGN, 295, 0.39%, 0.0000548%), (INTC, 2,373, 0.39%, 0.0000510%), (ADBE, 262, 0.38%, 0.0000626%), (T, 3,565, 0.37%, 0.0002322%), (CVS, 1,101, 0.37%, 0.0000867%), (SPGI, 173, 0.37%, 0.0000558%), (GILD, 684, 0.36%, 0.0000551%), (UNP, 383, 0.36%, 0.0000646%), (VZ, 2,091, 0.36%, 0.0000496%), (LMT, 174, 0.35%, 0.0000752%), (TXN, 502, 0.35%, 0.0000552%), (DIS, 712, 0.34%, 0.0000396%), (COP, 900, 0.34%, 0.0000728%), (PFE, 3,112, 0.33%, 0.0000547%), (DHR, 353, 0.32%, 0.0000500%), (MMM, 450, 0.32%, 0.0000847%), (SBUX, 865, 0.30%, 0.0000761%), (TJX, 470, 0.29%, 0.0000422%), (ELV, 203, 0.28%, 0.0000913%), (EMR, 471, 0.27%, 0.0000837%), (LOW, 236, 0.24%, 0.0000421%), (MO, 915, 0.22%, 0.0000545%), (BMY, 1,114, 0.22%, 0.0000547%), (UPS, 462, 0.18%, 0.0000625%), (CMCSA, 1,501, 0.18%, 0.0000413%), (MDLZ, 722, 0.17%, 0.0000560%), (USB, 848, 0.17%, 0.0000546%), (PYPL, 546, 0.16%, 0.0000584%), (FDX, 142, 0.16%, 0.0000602%), (TGT, 360, 0.14%, 0.0000792%), (CL, 402, 0.13%, 0.0000499%), (SOLS, 134, 0.03%, 0.0000844%), (LLY, 0, 0.00%, 0.0000000%), (PLTR, 0, 0.00%, 0.0000000%), (ORCL, 0, 0.00%, 0.0000000%), (COST, 0, 0.00%, 0.0000000%), (BRK/B, 0, 0.00%, 0.0000000%), (nan, 0, -0.01%, 0.0000000%), (nan, 0, -0.01%, 0.0000000%)</t>
        </is>
      </c>
      <c r="T10" s="5" t="n">
        <v>3.714648360150431e-06</v>
      </c>
      <c r="U10" s="3" t="n">
        <v>3720339.21</v>
      </c>
      <c r="V10" s="5" t="n">
        <v>0.1593016945190074</v>
      </c>
      <c r="W10" t="inlineStr"/>
    </row>
    <row r="11">
      <c r="A11" s="2" t="n">
        <v>45966</v>
      </c>
      <c r="B11" t="inlineStr">
        <is>
          <t>HE3B1</t>
        </is>
      </c>
      <c r="C11" t="inlineStr">
        <is>
          <t>diversified</t>
        </is>
      </c>
      <c r="D11" t="inlineStr">
        <is>
          <t>diversified</t>
        </is>
      </c>
      <c r="E11" s="3">
        <f>IF(C11=D11,"PASS","FAIL")</f>
        <v/>
      </c>
      <c r="F11" s="3">
        <f>IF(L11/J11&gt;=0.75,"PASS","FAIL")</f>
        <v/>
      </c>
      <c r="G11" s="3">
        <f>IF(O11="None","PASS","FAIL")</f>
        <v/>
      </c>
      <c r="H11" s="3">
        <f>IF(T11="","",IF(T11&lt;=0.1,"PASS","FAIL"))</f>
        <v/>
      </c>
      <c r="I11" s="3">
        <f>IF(U11=0,"PASS",IF(U11&lt;=0.05*L11,"PASS","FAIL"))</f>
        <v/>
      </c>
      <c r="J11" s="3" t="n">
        <v>43655547.47</v>
      </c>
      <c r="K11" s="5" t="n">
        <v>0</v>
      </c>
      <c r="L11" s="3" t="n">
        <v>37594218.17</v>
      </c>
      <c r="M11" s="3" t="n">
        <v>2725.54</v>
      </c>
      <c r="N11" s="3" t="n">
        <v>0</v>
      </c>
      <c r="O11" t="inlineStr">
        <is>
          <t>None</t>
        </is>
      </c>
      <c r="P11" t="inlineStr">
        <is>
          <t>NVDA, AAPL, MSFT, GOOGLE</t>
        </is>
      </c>
      <c r="Q11" s="5" t="n">
        <v>0.2855540450783099</v>
      </c>
      <c r="R11" s="5" t="n">
        <v>0.7144459549216901</v>
      </c>
      <c r="S11" t="inlineStr">
        <is>
          <t>(AMZN, 6,925, 3.95%, 0.0000648%), (AVGO, 4,330, 3.56%, 0.0000917%), (META, 1,663, 2.42%, 0.0000764%), (JPM, 3,161, 2.25%, 0.0001161%), (TSLA, 2,037, 2.14%, 0.0000612%), (CSCO, 10,755, 1.77%, 0.0002721%), (CB, 2,401, 1.56%, 0.0006101%), (LIN, 1,522, 1.46%, 0.0003259%), (XOM, 5,429, 1.41%, 0.0001287%), (MA, 1,116, 1.41%, 0.0001252%), (AMT, 3,087, 1.27%, 0.0006594%), (GE, 1,812, 1.27%, 0.0001718%), (JNJ, 2,723, 1.16%, 0.0001130%), (CAT, 808, 1.05%, 0.0001727%), (ABBV, 1,999, 0.99%, 0.0001131%), (ORCL, 1,615, 0.93%, 0.0000567%), (NEE, 4,902, 0.92%, 0.0002354%), (BAC, 7,494, 0.90%, 0.0001026%), (ABT, 3,124, 0.89%, 0.0001797%), (RTX, 2,228, 0.89%, 0.0001662%), (PLTR, 2,059, 0.89%, 0.0000901%), (AMD, 1,505, 0.88%, 0.0000924%), (ISRG, 642, 0.80%, 0.0001811%), (GS, 427, 0.77%, 0.0001424%), (WMT, 3,252, 0.75%, 0.0000408%), (WFC, 3,738, 0.74%, 0.0001191%), (CVX, 2,065, 0.72%, 0.0001026%), (COST, 332, 0.70%, 0.0000749%), (PG, 2,056, 0.69%, 0.0000880%), (MCD, 971, 0.68%, 0.0001363%), (MET, 3,725, 0.67%, 0.0005638%), (IBM, 929, 0.65%, 0.0000994%), (MS, 1,689, 0.64%, 0.0001063%), (AXP, 758, 0.63%, 0.0001100%), (HD, 735, 0.63%, 0.0000738%), (KO, 3,717, 0.58%, 0.0000864%), (ETN, 662, 0.58%, 0.0001704%), (BA, 1,251, 0.57%, 0.0001646%), (TMO, 433, 0.56%, 0.0001152%), (CRM, 960, 0.56%, 0.0001008%), (MRK, 2,861, 0.55%, 0.0001153%), (SO, 2,612, 0.55%, 0.0002301%), (DUK, 1,842, 0.52%, 0.0002371%), (BKNG, 45, 0.51%, 0.0001396%), (PM, 1,491, 0.50%, 0.0000958%), (UBER, 2,363, 0.50%, 0.0001137%), (C, 2,123, 0.49%, 0.0001153%), (HON, 1,088, 0.49%, 0.0001714%), (BLK, 198, 0.49%, 0.0001276%), (MDT, 2,310, 0.48%, 0.0001801%), (DE, 426, 0.46%, 0.0001576%), (NKE, 3,175, 0.45%, 0.0002670%), (AMGN, 608, 0.44%, 0.0001129%), (SCHW, 2,036, 0.44%, 0.0001122%), (PEP, 1,315, 0.43%, 0.0000962%), (INTU, 282, 0.42%, 0.0001011%), (QCOM, 1,030, 0.42%, 0.0000962%), (AMAT, 764, 0.42%, 0.0000959%), (NOW, 207, 0.42%, 0.0000995%), (CVS, 2,267, 0.41%, 0.0001786%), (GILD, 1,410, 0.39%, 0.0001135%), (T, 6,914, 0.39%, 0.0004504%), (UNP, 776, 0.39%, 0.0001308%), (LMT, 353, 0.38%, 0.0001526%), (VZ, 4,056, 0.37%, 0.0000962%), (PFE, 6,410, 0.36%, 0.0001127%), (ACN, 628, 0.36%, 0.0001008%), (DHR, 727, 0.35%, 0.0001029%), (DIS, 1,382, 0.35%, 0.0000769%), (INTC, 3,999, 0.35%, 0.0000860%), (SPGI, 307, 0.35%, 0.0000990%), (MMM, 912, 0.34%, 0.0001717%), (ADBE, 442, 0.34%, 0.0001056%), (COP, 1,598, 0.32%, 0.0001293%), (ELV, 418, 0.30%, 0.0001881%), (SBUX, 1,536, 0.29%, 0.0001351%), (EMR, 954, 0.29%, 0.0001695%), (TJX, 835, 0.27%, 0.0000750%), (BMY, 2,294, 0.24%, 0.0001127%), (LOW, 420, 0.23%, 0.0000749%), (MO, 1,625, 0.21%, 0.0000968%), (UPS, 936, 0.20%, 0.0001267%), (USB, 1,751, 0.19%, 0.0001126%), (CMCSA, 2,912, 0.19%, 0.0000801%), (FDX, 288, 0.17%, 0.0001221%), (MDLZ, 1,282, 0.16%, 0.0000994%), (PYPL, 969, 0.15%, 0.0001036%), (CL, 713, 0.13%, 0.0000885%), (TGT, 345, 0.07%, 0.0000759%), (SOLS, 239, 0.03%, 0.0001506%), (WM, 0, 0.00%, 0.0000000%), (LLY, 0, 0.00%, 0.0000000%), (V, 0, 0.00%, 0.0000000%), (UNH, 0, 0.00%, 0.0000000%), (TXN, 0, 0.00%, 0.0000000%), (NFLX, 0, 0.00%, 0.0000000%), (BRK/B, 0, 0.00%, 0.0000000%), (nan, 0, -0.01%, 0.0000000%), (nan, 0, -0.01%, 0.0000000%)</t>
        </is>
      </c>
      <c r="T11" s="5" t="n">
        <v>6.594088262095677e-06</v>
      </c>
      <c r="U11" s="3" t="n">
        <v>15143173.86</v>
      </c>
      <c r="V11" s="5" t="n">
        <v>0.3468785695656744</v>
      </c>
      <c r="W11" t="inlineStr"/>
    </row>
    <row r="12">
      <c r="A12" s="2" t="n">
        <v>45966</v>
      </c>
      <c r="B12" t="inlineStr">
        <is>
          <t>R21126</t>
        </is>
      </c>
      <c r="C12" t="inlineStr">
        <is>
          <t>diversified</t>
        </is>
      </c>
      <c r="D12" t="inlineStr">
        <is>
          <t>diversified</t>
        </is>
      </c>
      <c r="E12" s="3">
        <f>IF(C12=D12,"PASS","FAIL")</f>
        <v/>
      </c>
      <c r="F12" s="3">
        <f>IF(L12/J12&gt;=0.75,"PASS","FAIL")</f>
        <v/>
      </c>
      <c r="G12" s="3">
        <f>IF(O12="None","PASS","FAIL")</f>
        <v/>
      </c>
      <c r="H12" s="3">
        <f>IF(T12="","",IF(T12&lt;=0.1,"PASS","FAIL"))</f>
        <v/>
      </c>
      <c r="I12" s="3">
        <f>IF(U12=0,"PASS",IF(U12&lt;=0.05*L12,"PASS","FAIL"))</f>
        <v/>
      </c>
      <c r="J12" s="3" t="n">
        <v>53514033.56</v>
      </c>
      <c r="K12" s="5" t="n">
        <v>0</v>
      </c>
      <c r="L12" s="3" t="n">
        <v>49510617.66</v>
      </c>
      <c r="M12" s="3" t="n">
        <v>3568.27</v>
      </c>
      <c r="N12" s="3" t="n">
        <v>0</v>
      </c>
      <c r="O12" t="inlineStr">
        <is>
          <t>None</t>
        </is>
      </c>
      <c r="P12" t="inlineStr">
        <is>
          <t>KLAC, GOOGLE, AMAT, LRCX, NVDA, MLI, BK, AXP, JPM, MSFT</t>
        </is>
      </c>
      <c r="Q12" s="5" t="n">
        <v>0.2511804618435859</v>
      </c>
      <c r="R12" s="5" t="n">
        <v>0.7488195381564141</v>
      </c>
      <c r="S12" t="inlineStr">
        <is>
          <t>(EBAY, 12,813, 1.94%, 0.0028347%), (ROST, 6,316, 1.91%, 0.0019420%), (WSM, 5,150, 1.91%, 0.0042286%), (BKR, 21,585, 1.90%, 0.0021874%), (MPWR, 988, 1.85%, 0.0020623%), (PHM, 7,963, 1.78%, 0.0040853%), (TRV, 3,432, 1.77%, 0.0015386%), (EA, 4,670, 1.75%, 0.0018725%), (HIG, 7,307, 1.75%, 0.0026223%), (SNA, 2,717, 1.74%, 0.0052242%), (EWBC, 9,208, 1.73%, 0.0066811%), (RJF, 5,748, 1.71%, 0.0028829%), (UNM, 11,915, 1.71%, 0.0071206%), (CB, 3,213, 1.70%, 0.0008164%), (V, 2,648, 1.68%, 0.0001559%), (META, 1,408, 1.67%, 0.0000646%), (PCAR, 8,845, 1.67%, 0.0016841%), (GE, 2,855, 1.63%, 0.0002707%), (CTSH, 11,654, 1.63%, 0.0024146%), (BKNG, 173, 1.59%, 0.0005367%), (CRM, 3,233, 1.53%, 0.0003396%), (AAPL, 2,960, 1.49%, 0.0000200%), (QCOM, 4,393, 1.48%, 0.0004102%), (STT, 6,644, 1.45%, 0.0023787%), (SYF, 10,341, 1.44%, 0.0028711%), (ADP, 2,942, 1.43%, 0.0007274%), (BLK, 679, 1.36%, 0.0004376%), (ACN, 2,913, 1.35%, 0.0004677%), (PNC, 3,598, 1.24%, 0.0009175%), (LEN, 5,258, 1.19%, 0.0023494%), (ABT, 5,095, 1.19%, 0.0002930%), (ELV, 1,703, 1.01%, 0.0007663%), (ACM, 3,942, 0.97%, 0.0029763%), (GEV, 860, 0.90%, 0.0003170%), (MA, 848, 0.88%, 0.0000951%), (DHI, 3,144, 0.85%, 0.0010677%), (AFL, 4,086, 0.85%, 0.0007796%), (COST, 473, 0.83%, 0.0001067%), (ALL, 2,241, 0.82%, 0.0008564%), (AMP, 881, 0.76%, 0.0009483%), (PAYC, 2,023, 0.69%, 0.0036582%), (ODFL, 2,627, 0.69%, 0.0012563%), (PGR, 1,755, 0.69%, 0.0002993%), (CSCO, 3,935, 0.53%, 0.0000995%), (COKE, 2,087, 0.53%, 0.0027678%), (NTRS, 2,096, 0.50%, 0.0011083%), (FOXA, 4,099, 0.50%, 0.0019673%), (JNJ, 1,404, 0.49%, 0.0000583%), (MCK, 303, 0.48%, 0.0002455%), (BAC, 4,823, 0.47%, 0.0000660%), (MET, 3,008, 0.44%, 0.0004553%), (LNC, 5,732, 0.44%, 0.0030178%), (CINF, 1,458, 0.44%, 0.0009345%), (VLTO, 2,304, 0.43%, 0.0009279%), (XOM, 1,975, 0.42%, 0.0000468%), (CF, 2,599, 0.41%, 0.0016663%), (DOV, 1,226, 0.41%, 0.0008939%), (WTFC, 1,688, 0.41%, 0.0025212%), (RMD, 891, 0.41%, 0.0006104%), (MTB, 1,166, 0.40%, 0.0007587%), (EG, 601, 0.36%, 0.0014317%), (EOG, 1,749, 0.34%, 0.0003203%), (EQH, 4,063, 0.34%, 0.0013564%), (CSL, 510, 0.31%, 0.0012205%)</t>
        </is>
      </c>
      <c r="T12" s="5" t="n">
        <v>7.120604453560092e-05</v>
      </c>
      <c r="U12" s="3" t="n">
        <v>8983217.130000001</v>
      </c>
      <c r="V12" s="5" t="n">
        <v>0.1678665675598534</v>
      </c>
      <c r="W12" t="inlineStr"/>
    </row>
    <row r="13">
      <c r="A13" s="2" t="n">
        <v>45966</v>
      </c>
      <c r="B13" t="inlineStr">
        <is>
          <t>P31027</t>
        </is>
      </c>
      <c r="C13" t="inlineStr">
        <is>
          <t>diversified</t>
        </is>
      </c>
      <c r="D13" t="inlineStr">
        <is>
          <t>diversified</t>
        </is>
      </c>
      <c r="E13" s="3">
        <f>IF(C13=D13,"PASS","FAIL")</f>
        <v/>
      </c>
      <c r="F13" s="3">
        <f>IF(L13/J13&gt;=0.75,"PASS","FAIL")</f>
        <v/>
      </c>
      <c r="G13" s="3">
        <f>IF(O13="None","PASS","FAIL")</f>
        <v/>
      </c>
      <c r="H13" s="3">
        <f>IF(T13="","",IF(T13&lt;=0.1,"PASS","FAIL"))</f>
        <v/>
      </c>
      <c r="I13" s="3">
        <f>IF(U13=0,"PASS",IF(U13&lt;=0.05*L13,"PASS","FAIL"))</f>
        <v/>
      </c>
      <c r="J13" s="3" t="n">
        <v>15561558.53</v>
      </c>
      <c r="K13" s="5" t="n">
        <v>0</v>
      </c>
      <c r="L13" s="3" t="n">
        <v>13874305.38</v>
      </c>
      <c r="M13" s="3" t="n">
        <v>1006.24</v>
      </c>
      <c r="N13" s="3" t="n">
        <v>0</v>
      </c>
      <c r="O13" t="inlineStr">
        <is>
          <t>None</t>
        </is>
      </c>
      <c r="P13" t="inlineStr">
        <is>
          <t>NVDA, AAPL, MSFT</t>
        </is>
      </c>
      <c r="Q13" s="5" t="n">
        <v>0.2312564126363492</v>
      </c>
      <c r="R13" s="5" t="n">
        <v>0.7687435873636508</v>
      </c>
      <c r="S13" t="inlineStr">
        <is>
          <t>(GOOGLE, 2,673, 4.89%, 0.0000238%), (AMZN, 2,500, 4.00%, 0.0000234%), (AVGO, 1,648, 3.80%, 0.0000349%), (META, 550, 2.25%, 0.0000253%), (TSLA, 736, 2.17%, 0.0000221%), (JPM, 981, 1.96%, 0.0000360%), (CSCO, 3,883, 1.80%, 0.0000982%), (V, 730, 1.59%, 0.0000430%), (LIN, 549, 1.48%, 0.0001176%), (XOM, 1,960, 1.43%, 0.0000465%), (WMT, 2,175, 1.41%, 0.0000273%), (CB, 745, 1.36%, 0.0001893%), (AMT, 1,114, 1.28%, 0.0002380%), (MA, 346, 1.23%, 0.0000388%), (GE, 574, 1.12%, 0.0000544%), (UNH, 516, 1.09%, 0.0000570%), (JNJ, 848, 1.01%, 0.0000352%), (AMD, 572, 0.94%, 0.0000351%), (CAT, 256, 0.93%, 0.0000547%), (NEE, 1,770, 0.93%, 0.0000850%), (WM, 689, 0.89%, 0.0001710%), (ABBV, 622, 0.87%, 0.0000352%), (RTX, 705, 0.79%, 0.0000526%), (BAC, 2,325, 0.78%, 0.0000318%), (ABT, 972, 0.78%, 0.0000559%), (NFLX, 108, 0.76%, 0.0000255%), (CVX, 745, 0.73%, 0.0000370%), (ISRG, 200, 0.71%, 0.0000564%), (PG, 742, 0.70%, 0.0000318%), (IBM, 353, 0.69%, 0.0000378%), (MCD, 351, 0.68%, 0.0000493%), (GS, 133, 0.68%, 0.0000443%), (WFC, 1,160, 0.65%, 0.0000370%), (HD, 265, 0.64%, 0.0000266%), (CRM, 365, 0.59%, 0.0000383%), (KO, 1,342, 0.59%, 0.0000312%), (MET, 1,156, 0.58%, 0.0001750%), (MS, 524, 0.55%, 0.0000330%), (SO, 943, 0.55%, 0.0000831%), (AXP, 235, 0.55%, 0.0000341%), (DUK, 665, 0.53%, 0.0000856%), (ETN, 209, 0.52%, 0.0000538%), (PM, 538, 0.51%, 0.0000346%), (UBER, 853, 0.51%, 0.0000411%), (BKNG, 16, 0.50%, 0.0000496%), (BA, 396, 0.50%, 0.0000521%), (TMO, 135, 0.49%, 0.0000359%), (MRK, 891, 0.48%, 0.0000359%), (NKE, 1,146, 0.46%, 0.0000964%), (INTU, 107, 0.45%, 0.0000384%), (QCOM, 392, 0.45%, 0.0000366%), (NOW, 79, 0.45%, 0.0000380%), (AMAT, 291, 0.45%, 0.0000365%), (HON, 345, 0.44%, 0.0000543%), (PEP, 475, 0.44%, 0.0000347%), (C, 659, 0.43%, 0.0000358%), (BLK, 62, 0.43%, 0.0000400%), (MDT, 719, 0.42%, 0.0000561%), (DE, 135, 0.41%, 0.0000499%), (AMGN, 189, 0.39%, 0.0000351%), (SCHW, 632, 0.38%, 0.0000348%), (ACN, 239, 0.38%, 0.0000384%), (INTC, 1,521, 0.37%, 0.0000327%), (ADBE, 168, 0.36%, 0.0000401%), (T, 2,285, 0.36%, 0.0001488%), (SPGI, 111, 0.35%, 0.0000358%), (CVS, 705, 0.35%, 0.0000555%), (GILD, 439, 0.34%, 0.0000353%), (UNP, 246, 0.34%, 0.0000415%), (VZ, 1,341, 0.34%, 0.0000318%), (LMT, 112, 0.34%, 0.0000484%), (TXN, 322, 0.34%, 0.0000354%), (DIS, 457, 0.33%, 0.0000254%), (COP, 577, 0.32%, 0.0000467%), (PFE, 1,995, 0.31%, 0.0000351%), (DHR, 226, 0.31%, 0.0000320%), (MMM, 289, 0.30%, 0.0000544%), (SBUX, 555, 0.29%, 0.0000488%), (TJX, 301, 0.27%, 0.0000270%), (ELV, 130, 0.27%, 0.0000585%), (EMR, 302, 0.26%, 0.0000537%), (LOW, 152, 0.23%, 0.0000271%), (MO, 587, 0.22%, 0.0000350%), (BMY, 714, 0.21%, 0.0000351%), (UPS, 296, 0.18%, 0.0000401%), (CMCSA, 962, 0.17%, 0.0000265%), (MDLZ, 463, 0.17%, 0.0000359%), (USB, 543, 0.16%, 0.0000349%), (PYPL, 350, 0.15%, 0.0000374%), (FDX, 91, 0.15%, 0.0000386%), (TGT, 231, 0.14%, 0.0000508%), (CL, 257, 0.13%, 0.0000319%), (SOLS, 86, 0.03%, 0.0000542%), (LLY, 0, 0.00%, 0.0000000%), (PLTR, 0, 0.00%, 0.0000000%), (ORCL, 0, 0.00%, 0.0000000%), (COST, 0, 0.00%, 0.0000000%), (BRK/B, 0, 0.00%, 0.0000000%), (nan, 0, -0.01%, 0.0000000%), (nan, 0, -0.01%, 0.0000000%)</t>
        </is>
      </c>
      <c r="T13" s="5" t="n">
        <v>2.379596476830121e-06</v>
      </c>
      <c r="U13" s="3" t="n">
        <v>4444584.029999999</v>
      </c>
      <c r="V13" s="5" t="n">
        <v>0.2856130394286413</v>
      </c>
      <c r="W13" t="inlineStr"/>
    </row>
    <row r="14">
      <c r="A14" s="2" t="n">
        <v>45966</v>
      </c>
      <c r="B14" t="inlineStr">
        <is>
          <t>FGSI</t>
        </is>
      </c>
      <c r="C14" t="inlineStr">
        <is>
          <t>non-diversified</t>
        </is>
      </c>
      <c r="D14" t="inlineStr">
        <is>
          <t>diversified</t>
        </is>
      </c>
      <c r="E14" s="3">
        <f>IF(C14=D14,"PASS","FAIL")</f>
        <v/>
      </c>
      <c r="F14" s="3">
        <f>IF(L14/J14&gt;=0.75,"PASS","FAIL")</f>
        <v/>
      </c>
      <c r="G14" s="3">
        <f>IF(O14="None","PASS","FAIL")</f>
        <v/>
      </c>
      <c r="H14" s="3">
        <f>IF(T14="","",IF(T14&lt;=0.1,"PASS","FAIL"))</f>
        <v/>
      </c>
      <c r="I14" s="3">
        <f>IF(U14=0,"PASS",IF(U14&lt;=0.05*L14,"PASS","FAIL"))</f>
        <v/>
      </c>
      <c r="J14" s="3" t="n">
        <v>3044137.35</v>
      </c>
      <c r="K14" s="5" t="n">
        <v>0</v>
      </c>
      <c r="L14" s="3" t="n">
        <v>3041884.13</v>
      </c>
      <c r="M14" s="3" t="n">
        <v>71.01000000000001</v>
      </c>
      <c r="N14" s="3" t="n">
        <v>0</v>
      </c>
      <c r="O14" t="inlineStr">
        <is>
          <t>None</t>
        </is>
      </c>
      <c r="P14" t="inlineStr">
        <is>
          <t>INCY, LLY, SLB, APH, APO, IBKR, CAT, NVDA, CBOE, BKR, GDDY</t>
        </is>
      </c>
      <c r="Q14" s="5" t="n">
        <v>0.2441037972738298</v>
      </c>
      <c r="R14" s="5" t="n">
        <v>0.7558962027261702</v>
      </c>
      <c r="S14" t="inlineStr">
        <is>
          <t>(APP, 103, 2.09%, 0.0000335%), (FTNT, 739, 2.09%, 0.0000964%), (AVGO, 177, 2.09%, 0.0000037%), (UTHR, 142, 2.09%, 0.0003298%), (PANW, 297, 2.08%, 0.0000444%), (MCO, 130, 2.08%, 0.0000729%), (UBER, 669, 2.04%, 0.0000322%), (CDNS, 189, 2.03%, 0.0000694%), (COST, 66, 2.03%, 0.0000149%), (TJX, 429, 2.03%, 0.0000385%), (SCHW, 655, 2.02%, 0.0000361%), (V, 180, 2.01%, 0.0000106%), (MPWR, 61, 2.00%, 0.0001273%), (INTU, 93, 2.00%, 0.0000334%), (DT, 1,282, 2.00%, 0.0004252%), (NOW, 69, 1.99%, 0.0000332%), (ANET, 432, 1.99%, 0.0000343%), (AMP, 132, 1.99%, 0.0001421%), (MA, 109, 1.98%, 0.0000122%), (ABNB, 490, 1.97%, 0.0001142%), (MNST, 879, 1.96%, 0.0000900%), (PHM, 496, 1.95%, 0.0002545%), (TTD, 1,236, 1.94%, 0.0002773%), (NOC, 103, 1.93%, 0.0000722%), (CPRT, 1,392, 1.92%, 0.0001438%), (WMT, 573, 1.91%, 0.0000072%), (MMC, 325, 1.90%, 0.0000663%), (ADP, 219, 1.87%, 0.0000541%), (RMD, 231, 1.86%, 0.0001583%), (CPAY, 216, 1.86%, 0.0003059%), (NFLX, 51, 1.84%, 0.0000120%), (NEM, 679, 1.82%, 0.0000622%), (DXCM, 927, 1.81%, 0.0002377%), (MSI, 139, 1.80%, 0.0000835%), (META, 85, 1.78%, 0.0000039%), (GRMN, 247, 1.67%, 0.0001284%), (FFIV, 205, 1.66%, 0.0003529%), (PINS, 1,906, 1.61%, 0.0003199%), (CMG, 1,474, 1.55%, 0.0001115%)</t>
        </is>
      </c>
      <c r="T14" s="5" t="n">
        <v>4.252237980711026e-06</v>
      </c>
      <c r="U14" s="3" t="n">
        <v>483</v>
      </c>
      <c r="V14" s="5" t="n">
        <v>0.0001586656397090624</v>
      </c>
      <c r="W14" t="inlineStr"/>
    </row>
    <row r="15">
      <c r="A15" s="2" t="n">
        <v>45966</v>
      </c>
      <c r="B15" t="inlineStr">
        <is>
          <t>P2726</t>
        </is>
      </c>
      <c r="C15" t="inlineStr">
        <is>
          <t>diversified</t>
        </is>
      </c>
      <c r="D15" t="inlineStr">
        <is>
          <t>non-diversified</t>
        </is>
      </c>
      <c r="E15" s="3">
        <f>IF(C15=D15,"PASS","FAIL")</f>
        <v/>
      </c>
      <c r="F15" s="3">
        <f>IF(L15/J15&gt;=0.75,"PASS","FAIL")</f>
        <v/>
      </c>
      <c r="G15" s="3">
        <f>IF(O15="None","PASS","FAIL")</f>
        <v/>
      </c>
      <c r="H15" s="3">
        <f>IF(T15="","",IF(T15&lt;=0.1,"PASS","FAIL"))</f>
        <v/>
      </c>
      <c r="I15" s="3">
        <f>IF(U15=0,"PASS",IF(U15&lt;=0.05*L15,"PASS","FAIL"))</f>
        <v/>
      </c>
      <c r="J15" s="3" t="n">
        <v>34420727.6</v>
      </c>
      <c r="K15" s="5" t="n">
        <v>0</v>
      </c>
      <c r="L15" s="3" t="n">
        <v>32638705.05</v>
      </c>
      <c r="M15" s="3" t="n">
        <v>2366.08</v>
      </c>
      <c r="N15" s="3" t="n">
        <v>1804631.01</v>
      </c>
      <c r="O15" t="inlineStr">
        <is>
          <t>(GOOGLE, 6,343, 1,804,631.01)</t>
        </is>
      </c>
      <c r="P15" t="inlineStr">
        <is>
          <t>NVDA, AAPL, MSFT</t>
        </is>
      </c>
      <c r="Q15" s="5" t="n">
        <v>0.2332351635378377</v>
      </c>
      <c r="R15" s="5" t="n">
        <v>0.7667648364621623</v>
      </c>
      <c r="S15" t="inlineStr">
        <is>
          <t>(GOOGLE, 6,343, 5.24%, 0.0000565%), (AMZN, 5,932, 4.28%, 0.0000555%), (AVGO, 3,909, 4.07%, 0.0000828%), (META, 1,304, 2.41%, 0.0000599%), (TSLA, 1,745, 2.32%, 0.0000525%), (JPM, 2,327, 2.10%, 0.0000855%), (CSCO, 9,213, 1.93%, 0.0002331%), (V, 1,733, 1.71%, 0.0001020%), (LIN, 1,304, 1.58%, 0.0002793%), (XOM, 4,651, 1.53%, 0.0001103%), (WMT, 5,161, 1.52%, 0.0000647%), (CB, 1,768, 1.45%, 0.0004492%), (AMT, 2,645, 1.38%, 0.0005650%), (MA, 822, 1.32%, 0.0000922%), (GE, 1,361, 1.20%, 0.0001290%), (UNH, 1,224, 1.16%, 0.0001351%), (JNJ, 2,011, 1.09%, 0.0000835%), (AMD, 1,358, 1.00%, 0.0000834%), (CAT, 607, 1.00%, 0.0001297%), (NEE, 4,199, 1.00%, 0.0002016%), (WM, 1,635, 0.95%, 0.0004058%), (ABBV, 1,476, 0.93%, 0.0000835%), (RTX, 1,674, 0.85%, 0.0001249%), (BAC, 5,518, 0.84%, 0.0000756%), (ABT, 2,307, 0.83%, 0.0001327%), (NFLX, 256, 0.82%, 0.0000604%), (CVX, 1,769, 0.78%, 0.0000879%), (ISRG, 474, 0.75%, 0.0001337%), (IBM, 839, 0.75%, 0.0000898%), (PG, 1,761, 0.75%, 0.0000754%), (MCD, 832, 0.73%, 0.0001168%), (GS, 315, 0.72%, 0.0001050%), (WFC, 2,752, 0.69%, 0.0000877%), (HD, 630, 0.68%, 0.0000633%), (CRM, 867, 0.64%, 0.0000911%), (KO, 3,184, 0.63%, 0.0000740%), (MET, 2,743, 0.63%, 0.0004152%), (MS, 1,244, 0.60%, 0.0000783%), (SO, 2,238, 0.59%, 0.0001971%), (AXP, 558, 0.59%, 0.0000810%), (DUK, 1,578, 0.57%, 0.0002031%), (ETN, 497, 0.55%, 0.0001280%), (PM, 1,277, 0.55%, 0.0000820%), (UBER, 2,025, 0.55%, 0.0000975%), (BKNG, 38, 0.54%, 0.0001179%), (BA, 940, 0.54%, 0.0001237%), (TMO, 320, 0.53%, 0.0000852%), (MRK, 2,113, 0.52%, 0.0000851%), (NKE, 2,720, 0.49%, 0.0002287%), (QCOM, 930, 0.48%, 0.0000868%), (INTU, 254, 0.48%, 0.0000911%), (AMAT, 690, 0.48%, 0.0000866%), (NOW, 187, 0.48%, 0.0000899%), (HON, 818, 0.47%, 0.0001288%), (PEP, 1,127, 0.47%, 0.0000824%), (C, 1,563, 0.46%, 0.0000849%), (BLK, 146, 0.46%, 0.0000941%), (MDT, 1,706, 0.45%, 0.0001330%), (DE, 320, 0.44%, 0.0001184%), (AMGN, 449, 0.41%, 0.0000834%), (SCHW, 1,499, 0.41%, 0.0000826%), (ACN, 567, 0.41%, 0.0000910%), (INTC, 3,610, 0.40%, 0.0000776%), (ADBE, 399, 0.39%, 0.0000953%), (T, 5,422, 0.39%, 0.0003532%), (CVS, 1,674, 0.38%, 0.0001319%), (SPGI, 263, 0.38%, 0.0000848%), (GILD, 1,041, 0.37%, 0.0000838%), (UNP, 583, 0.37%, 0.0000983%), (VZ, 3,181, 0.37%, 0.0000754%), (LMT, 265, 0.36%, 0.0001145%), (TXN, 764, 0.36%, 0.0000841%), (DIS, 1,083, 0.35%, 0.0000602%), (COP, 1,369, 0.35%, 0.0001108%), (PFE, 4,734, 0.34%, 0.0000833%), (DHR, 537, 0.33%, 0.0000760%), (MMM, 685, 0.33%, 0.0001289%), (SBUX, 1,316, 0.31%, 0.0001158%), (TJX, 715, 0.30%, 0.0000642%), (ELV, 309, 0.29%, 0.0001390%), (EMR, 717, 0.28%, 0.0001274%), (LOW, 360, 0.24%, 0.0000642%), (MO, 1,392, 0.23%, 0.0000829%), (BMY, 1,694, 0.23%, 0.0000832%), (UPS, 703, 0.19%, 0.0000951%), (CMCSA, 2,284, 0.18%, 0.0000628%), (MDLZ, 1,098, 0.18%, 0.0000851%), (USB, 1,290, 0.17%, 0.0000830%), (PYPL, 830, 0.16%, 0.0000887%), (FDX, 216, 0.16%, 0.0000915%), (TGT, 548, 0.15%, 0.0001206%), (CL, 611, 0.14%, 0.0000758%), (SOLS, 204, 0.03%, 0.0001285%), (LLY, 0, 0.00%, 0.0000000%), (PLTR, 0, 0.00%, 0.0000000%), (ORCL, 0, 0.00%, 0.0000000%), (COST, 0, 0.00%, 0.0000000%), (BRK/B, 0, 0.00%, 0.0000000%), (nan, 0, -0.01%, 0.0000000%), (nan, 0, -0.02%, 0.0000000%)</t>
        </is>
      </c>
      <c r="T15" s="5" t="n">
        <v>5.649939570211553e-06</v>
      </c>
      <c r="U15" s="3" t="n">
        <v>3757651.56</v>
      </c>
      <c r="V15" s="5" t="n">
        <v>0.1091682780116478</v>
      </c>
      <c r="W15" t="inlineStr"/>
    </row>
    <row r="16">
      <c r="A16" s="2" t="n">
        <v>45966</v>
      </c>
      <c r="B16" t="inlineStr">
        <is>
          <t>FDND</t>
        </is>
      </c>
      <c r="C16" t="inlineStr">
        <is>
          <t>non-diversified</t>
        </is>
      </c>
      <c r="D16" t="inlineStr">
        <is>
          <t>non-diversified</t>
        </is>
      </c>
      <c r="E16" s="3">
        <f>IF(C16=D16,"PASS","FAIL")</f>
        <v/>
      </c>
      <c r="F16" s="3">
        <f>IF(L16/J16&gt;=0.75,"PASS","FAIL")</f>
        <v/>
      </c>
      <c r="G16" s="3">
        <f>IF(O16="None","PASS","FAIL")</f>
        <v/>
      </c>
      <c r="H16" s="3">
        <f>IF(T16="","",IF(T16&lt;=0.1,"PASS","FAIL"))</f>
        <v/>
      </c>
      <c r="I16" s="3">
        <f>IF(U16=0,"PASS",IF(U16&lt;=0.05*L16,"PASS","FAIL"))</f>
        <v/>
      </c>
      <c r="J16" s="3" t="n">
        <v>10546876.15</v>
      </c>
      <c r="K16" s="5" t="n">
        <v>0</v>
      </c>
      <c r="L16" s="3" t="n">
        <v>10536747.25</v>
      </c>
      <c r="M16" s="3" t="n">
        <v>216.88</v>
      </c>
      <c r="N16" s="3" t="n">
        <v>2429742.78</v>
      </c>
      <c r="O16" t="inlineStr">
        <is>
          <t>(NFLX, 858, 942,478.68), (META, 1,432, 910,680.40), (CSCO, 7,997, 576,583.70)</t>
        </is>
      </c>
      <c r="P16" t="inlineStr">
        <is>
          <t>GOOGLE, AMZN</t>
        </is>
      </c>
      <c r="Q16" s="5" t="n">
        <v>0.232539691981318</v>
      </c>
      <c r="R16" s="5" t="n">
        <v>0.7674603080186819</v>
      </c>
      <c r="S16" t="inlineStr">
        <is>
          <t>(NFLX, 858, 8.94%, 0.0002025%), (META, 1,432, 8.63%, 0.0000658%), (CSCO, 7,997, 5.47%, 0.0002023%), (CRM, 1,998, 4.79%, 0.0002099%), (ANET, 3,215, 4.28%, 0.0002553%), (BKNG, 89, 4.14%, 0.0002761%), (SNOW, 1,385, 3.48%, 0.0004088%), (DASH, 1,537, 3.47%, 0.0003820%), (NET, 1,299, 2.81%, 0.0004121%), (RBLX, 2,678, 2.60%, 0.0004089%), (PYPL, 3,967, 2.56%, 0.0004240%), (ABNB, 1,782, 2.07%, 0.0004153%), (WDAY, 897, 1.97%, 0.0004134%), (DDOG, 1,342, 1.97%, 0.0004151%), (VEEV, 624, 1.75%, 0.0003807%), (CVNA, 573, 1.68%, 0.0004052%), (FLUT, 730, 1.50%, 0.0004172%), (CPRT, 3,694, 1.47%, 0.0003817%), (EBAY, 1,898, 1.46%, 0.0004199%), (CIEN, 587, 1.09%, 0.0004161%), (TEAM, 686, 1.05%, 0.0004082%), (CRWV, 908, 0.99%, 0.0002451%), (HUBS, 219, 0.96%, 0.0004181%), (ZM, 1,081, 0.86%, 0.0004057%), (VRSN, 349, 0.81%, 0.0003765%), (NTNX, 1,113, 0.74%, 0.0004141%), (GDDY, 575, 0.73%, 0.0004255%), (OKTA, 694, 0.57%, 0.0004120%), (DOCU, 839, 0.56%, 0.0004172%), (FFIV, 239, 0.56%, 0.0004114%), (DKNG, 2,062, 0.55%, 0.0004153%), (AKAM, 595, 0.41%, 0.0004150%), (DUOL, 165, 0.41%, 0.0004124%), (PAYC, 208, 0.36%, 0.0003761%), (CFLT, 1,212, 0.26%, 0.0004057%), (MARA, 1,538, 0.25%, 0.0004067%), (DBX, 769, 0.21%, 0.0003976%), (BOX, 601, 0.18%, 0.0004148%)</t>
        </is>
      </c>
      <c r="T16" s="5" t="n">
        <v>4.254796450537807e-06</v>
      </c>
      <c r="U16" s="3" t="n">
        <v>2920</v>
      </c>
      <c r="V16" s="5" t="n">
        <v>0.0002768592290713493</v>
      </c>
      <c r="W16" t="inlineStr"/>
    </row>
    <row r="17">
      <c r="A17" s="2" t="n">
        <v>45966</v>
      </c>
      <c r="B17" t="inlineStr">
        <is>
          <t>SDVD</t>
        </is>
      </c>
      <c r="C17" t="inlineStr">
        <is>
          <t>non-diversified</t>
        </is>
      </c>
      <c r="D17" t="inlineStr">
        <is>
          <t>diversified</t>
        </is>
      </c>
      <c r="E17" s="3">
        <f>IF(C17=D17,"PASS","FAIL")</f>
        <v/>
      </c>
      <c r="F17" s="3">
        <f>IF(L17/J17&gt;=0.75,"PASS","FAIL")</f>
        <v/>
      </c>
      <c r="G17" s="3">
        <f>IF(O17="None","PASS","FAIL")</f>
        <v/>
      </c>
      <c r="H17" s="3">
        <f>IF(T17="","",IF(T17&lt;=0.1,"PASS","FAIL"))</f>
        <v/>
      </c>
      <c r="I17" s="3">
        <f>IF(U17=0,"PASS",IF(U17&lt;=0.05*L17,"PASS","FAIL"))</f>
        <v/>
      </c>
      <c r="J17" s="3" t="n">
        <v>666356443.99</v>
      </c>
      <c r="K17" s="5" t="n">
        <v>0</v>
      </c>
      <c r="L17" s="3" t="n">
        <v>665402628.8</v>
      </c>
      <c r="M17" s="3" t="n">
        <v>15304.68</v>
      </c>
      <c r="N17" s="3" t="n">
        <v>0</v>
      </c>
      <c r="O17" t="inlineStr">
        <is>
          <t>None</t>
        </is>
      </c>
      <c r="P17" t="inlineStr">
        <is>
          <t>FIX, IDCC, EME, IBKR, ENS, MLI, WWD, IBP, ITT, PSMT, WFRD, WTS, FOXA, RL, ACM, YOU, J, CBOE, NTRS, WSM, WRB, WMS, NOV, COKE</t>
        </is>
      </c>
      <c r="Q17" s="5" t="n">
        <v>0.2501061869715294</v>
      </c>
      <c r="R17" s="5" t="n">
        <v>0.7498938130284706</v>
      </c>
      <c r="S17" t="inlineStr">
        <is>
          <t>(CADE, 160,034, 0.90%, 0.0871999%), (MTG, 210,753, 0.89%, 0.0941951%), (NYT, 101,361, 0.88%, 0.0627357%), (ULS, 66,889, 0.86%, 0.1065894%), (OTTR, 68,926, 0.85%, 0.1644795%), (PRDO, 186,913, 0.85%, 0.2905874%), (AIZ, 25,987, 0.85%, 0.0515010%), (AIT, 21,906, 0.85%, 0.0580785%), (SNA, 16,397, 0.84%, 0.0315281%), (EWBC, 55,523, 0.84%, 0.0402861%), (IBOC, 80,958, 0.83%, 0.1302332%), (WTFC, 42,757, 0.83%, 0.0638619%), (UNM, 71,925, 0.83%, 0.0429836%), (OLED, 37,168, 0.82%, 0.0781922%), (SEIC, 65,910, 0.81%, 0.0538307%), (FELE, 56,542, 0.81%, 0.1270310%), (SSD, 31,812, 0.81%, 0.0764394%), (POWL, 13,630, 0.81%, 0.1129382%), (FBP, 269,109, 0.81%, 0.1677009%), (MZTI, 30,581, 0.80%, 0.1112603%), (AOS, 80,269, 0.80%, 0.0708014%), (AGO, 64,031, 0.79%, 0.1344759%), (GGG, 63,737, 0.79%, 0.0384435%), (CFR, 41,647, 0.78%, 0.0651334%), (LMAT, 59,316, 0.77%, 0.2620252%), (EFSC, 94,983, 0.77%, 0.2566351%), (OFG, 127,578, 0.77%, 0.2865686%), (OZK, 113,983, 0.76%, 0.1018816%), (RGA, 26,852, 0.76%, 0.0408620%), (ALG, 28,292, 0.75%, 0.2336075%), (PRI, 19,639, 0.75%, 0.0615333%), (HBAN, 326,807, 0.75%, 0.0208740%), (BCO, 43,568, 0.74%, 0.1048681%), (CALM, 55,677, 0.74%, 0.1147989%), (WHD, 113,712, 0.73%, 0.1651827%), (SSB, 55,552, 0.73%, 0.0552672%), (DCI, 55,981, 0.73%, 0.0483297%), (ATMU, 103,615, 0.72%, 0.1261260%), (G, 119,095, 0.69%, 0.0683393%), (OSW, 207,799, 0.69%, 0.2038196%), (SYF, 61,636, 0.69%, 0.0171130%), (BHE, 98,061, 0.69%, 0.2748429%), (CHE, 10,222, 0.67%, 0.0721679%), (LECO, 19,609, 0.67%, 0.0356358%), (LNC, 108,798, 0.67%, 0.0572805%), (ALSN, 54,746, 0.66%, 0.0657778%), (INGR, 40,683, 0.66%, 0.0633880%), (DKS, 20,007, 0.66%, 0.0302652%), (PAYC, 23,740, 0.65%, 0.0429295%), (TPR, 39,707, 0.65%, 0.0194024%), (BRC, 56,381, 0.64%, 0.1294454%), (GHC, 4,112, 0.64%, 0.1209974%), (NIC, 34,320, 0.64%, 0.2319088%), (CAH, 21,382, 0.63%, 0.0089993%), (KTB, 54,722, 0.63%, 0.0984322%), (THG, 23,891, 0.63%, 0.0671398%), (TOL, 30,817, 0.62%, 0.0319735%), (PRIM, 31,444, 0.62%, 0.0581948%), (CW, 6,898, 0.61%, 0.0187066%), (RDN, 117,773, 0.60%, 0.0869347%), (AXS, 41,345, 0.60%, 0.0536685%), (TGLS, 71,257, 0.60%, 0.1516379%), (UMBF, 37,099, 0.60%, 0.0488436%), (DDS, 6,461, 0.60%, 0.0555702%), (IPAR, 42,448, 0.58%, 0.1323822%), (MSA, 24,208, 0.58%, 0.0618307%), (FULT, 219,871, 0.58%, 0.1207390%), (HOMB, 141,253, 0.57%, 0.0718690%), (ENSG, 19,528, 0.56%, 0.0337127%), (DLB, 54,948, 0.54%, 0.0898076%), (AYI, 9,816, 0.54%, 0.0320648%), (CBSH, 65,503, 0.53%, 0.0490884%), (FSS, 30,187, 0.51%, 0.0496427%), (CSGS, 43,434, 0.51%, 0.1522922%), (IEX, 20,157, 0.51%, 0.0269301%), (ESI, 121,756, 0.49%, 0.0503124%), (UNF, 21,607, 0.49%, 0.1483421%), (NTAP, 26,979, 0.47%, 0.0135153%), (ALLE, 18,813, 0.47%, 0.0218675%), (HCC, 46,606, 0.46%, 0.0886549%), (PHM, 25,191, 0.45%, 0.0129240%), (LEA, 27,353, 0.45%, 0.0527336%), (CINF, 18,570, 0.45%, 0.0119024%), (LZB, 91,619, 0.44%, 0.2223371%), (EXPO, 38,798, 0.43%, 0.0768260%), (ESNT, 46,542, 0.43%, 0.0472346%), (RGLD, 16,328, 0.42%, 0.0193464%), (ACT, 78,173, 0.42%, 0.0529966%), (HWC, 47,211, 0.42%, 0.0564636%), (HRB, 53,638, 0.41%, 0.0419480%), (WINA, 6,425, 0.41%, 0.1803696%), (CF, 31,481, 0.40%, 0.0201834%), (RJF, 16,578, 0.40%, 0.0083146%), (SHOO, 69,920, 0.39%, 0.0962391%), (BCPC, 17,047, 0.39%, 0.0526365%), (SFBS, 35,238, 0.38%, 0.0645127%), (WDFC, 12,517, 0.37%, 0.0925277%), (IDT, 45,443, 0.35%, 0.1933887%), (PKG, 11,662, 0.35%, 0.0129611%), (CSL, 6,839, 0.34%, 0.0163668%), (MTH, 32,395, 0.32%, 0.0460112%), (HL, 176,873, 0.32%, 0.0263951%), (CSW, 8,620, 0.31%, 0.0516579%), (MTX, 35,863, 0.30%, 0.1151880%), (NSSC, 39,557, 0.26%, 0.1109148%), (NHC, 13,263, 0.25%, 0.0855627%), (PEGA, 27,763, 0.25%, 0.0163578%), (LDOS, 8,476, 0.25%, 0.0066294%), (FTV, 31,449, 0.24%, 0.0099017%), (BOKF, 14,320, 0.23%, 0.0226411%), (INDB, 21,983, 0.23%, 0.0443409%), (ORI, 37,658, 0.23%, 0.0152184%), (TPB, 15,126, 0.23%, 0.0793151%), (CNR, 19,508, 0.23%, 0.0380722%), (USLM, 13,154, 0.22%, 0.0459297%), (SIGI, 19,243, 0.22%, 0.0318545%), (JKHY, 9,222, 0.22%, 0.0126911%), (FHI, 28,345, 0.21%, 0.0365563%), (VLTO, 14,178, 0.21%, 0.0057101%), (WING, 5,474, 0.21%, 0.0197000%), (CTRA, 52,444, 0.20%, 0.0068880%), (ZION, 25,944, 0.20%, 0.0175724%), (VRSN, 5,508, 0.20%, 0.0059417%), (PNFP, 15,485, 0.20%, 0.0199612%), (PHIN, 24,987, 0.20%, 0.0649981%), (RNR, 4,899, 0.20%, 0.0106247%), (FRME, 36,254, 0.20%, 0.0626960%), (CMC, 22,712, 0.20%, 0.0204671%), (EBC, 75,174, 0.19%, 0.0315279%), (KBH, 21,061, 0.19%, 0.0325193%), (CNO, 30,810, 0.19%, 0.0321608%), (WKC, 48,400, 0.19%, 0.0871150%), (ESAB, 10,997, 0.19%, 0.0181137%), (PRG, 42,712, 0.18%, 0.1080070%), (TEX, 25,576, 0.18%, 0.0389878%), (TNC, 15,854, 0.18%, 0.0874657%), (FCF, 74,417, 0.18%, 0.0713536%), (PFG, 14,426, 0.18%, 0.0065664%), (EG, 3,618, 0.17%, 0.0086188%), (DOV, 6,460, 0.17%, 0.0047101%), (TXRH, 6,976, 0.17%, 0.0104980%), (WAFD, 38,305, 0.17%, 0.0489918%), (SLM, 41,770, 0.17%, 0.0205724%), (MGY, 50,517, 0.16%, 0.0275819%), (NBHC, 29,353, 0.16%, 0.0776126%), (EQH, 23,344, 0.16%, 0.0077934%), (LII, 2,133, 0.16%, 0.0060816%), (ATKR, 14,860, 0.15%, 0.0441529%), (OMC, 13,365, 0.15%, 0.0069255%), (HUBG, 27,132, 0.15%, 0.0447881%), (SPB, 16,583, 0.14%, 0.0685049%), (IOSP, 11,815, 0.13%, 0.0476842%), (TNET, 14,998, 0.13%, 0.0312261%), (KMPR, 19,598, 0.13%, 0.0334740%), (TPL, 896, 0.12%, 0.0038991%), (SLVM, 15,181, 0.09%, 0.0376023%), (SM, 31,003, 0.08%, 0.0270640%)</t>
        </is>
      </c>
      <c r="T17" s="5" t="n">
        <v>0.002905873654125276</v>
      </c>
      <c r="U17" s="3" t="n">
        <v>412650</v>
      </c>
      <c r="V17" s="5" t="n">
        <v>0.0006192631642145456</v>
      </c>
      <c r="W17" t="inlineStr"/>
    </row>
    <row r="18">
      <c r="A18" s="2" t="n">
        <v>45966</v>
      </c>
      <c r="B18" t="inlineStr">
        <is>
          <t>RDVI</t>
        </is>
      </c>
      <c r="C18" t="inlineStr">
        <is>
          <t>non-diversified</t>
        </is>
      </c>
      <c r="D18" t="inlineStr">
        <is>
          <t>diversified</t>
        </is>
      </c>
      <c r="E18" s="3">
        <f>IF(C18=D18,"PASS","FAIL")</f>
        <v/>
      </c>
      <c r="F18" s="3">
        <f>IF(L18/J18&gt;=0.75,"PASS","FAIL")</f>
        <v/>
      </c>
      <c r="G18" s="3">
        <f>IF(O18="None","PASS","FAIL")</f>
        <v/>
      </c>
      <c r="H18" s="3">
        <f>IF(T18="","",IF(T18&lt;=0.1,"PASS","FAIL"))</f>
        <v/>
      </c>
      <c r="I18" s="3">
        <f>IF(U18=0,"PASS",IF(U18&lt;=0.05*L18,"PASS","FAIL"))</f>
        <v/>
      </c>
      <c r="J18" s="3" t="n">
        <v>2458207046.41</v>
      </c>
      <c r="K18" s="5" t="n">
        <v>0</v>
      </c>
      <c r="L18" s="3" t="n">
        <v>2455942934.32</v>
      </c>
      <c r="M18" s="3" t="n">
        <v>49956.07</v>
      </c>
      <c r="N18" s="3" t="n">
        <v>0</v>
      </c>
      <c r="O18" t="inlineStr">
        <is>
          <t>None</t>
        </is>
      </c>
      <c r="P18" t="inlineStr">
        <is>
          <t>KLAC, GOOGLE, AMAT, LRCX, NVDA, MLI, BK, AXP, JPM</t>
        </is>
      </c>
      <c r="Q18" s="5" t="n">
        <v>0.2296804136824061</v>
      </c>
      <c r="R18" s="5" t="n">
        <v>0.7703195863175939</v>
      </c>
      <c r="S18" t="inlineStr">
        <is>
          <t>(MSFT, 102,525, 2.11%, 0.0013794%), (EBAY, 634,733, 2.09%, 0.1404277%), (WSM, 255,153, 2.07%, 0.2095019%), (ROST, 312,872, 2.06%, 0.0962013%), (BKR, 1,069,309, 2.05%, 0.1083641%), (MPWR, 48,936, 1.99%, 0.1021479%), (PHM, 394,477, 1.92%, 0.2023821%), (TRV, 170,025, 1.91%, 0.0762227%), (EA, 231,358, 1.89%, 0.0927641%), (HIG, 361,984, 1.89%, 0.1299062%), (SNA, 134,606, 1.88%, 0.2588201%), (EWBC, 456,155, 1.87%, 0.3309745%), (RJF, 284,760, 1.85%, 0.1428199%), (UNM, 590,293, 1.84%, 0.3527690%), (CB, 159,153, 1.83%, 0.0404403%), (V, 131,182, 1.81%, 0.0077226%), (META, 69,753, 1.80%, 0.0032028%), (PCAR, 438,172, 1.80%, 0.0834289%), (GE, 141,441, 1.76%, 0.0134091%), (CTSH, 577,351, 1.75%, 0.1196219%), (BKNG, 8,545, 1.71%, 0.0265094%), (CRM, 160,138, 1.65%, 0.0168212%), (AAPL, 146,654, 1.61%, 0.0009925%), (QCOM, 217,603, 1.59%, 0.0203177%), (STT, 329,138, 1.57%, 0.1178387%), (SYF, 512,274, 1.55%, 0.1422307%), (ADP, 145,766, 1.54%, 0.0360407%), (BLK, 33,628, 1.47%, 0.0216744%), (ACN, 144,328, 1.46%, 0.0231721%), (PNC, 178,231, 1.34%, 0.0454487%), (LEN, 260,505, 1.28%, 0.1163990%), (ABT, 252,414, 1.28%, 0.0145160%), (ELV, 84,384, 1.09%, 0.0379700%), (ACM, 195,301, 1.05%, 0.1474570%), (GEV, 42,591, 0.97%, 0.0156977%), (MA, 42,023, 0.95%, 0.0047150%), (DHI, 155,731, 0.92%, 0.0528842%), (AFL, 202,428, 0.92%, 0.0386229%), (COST, 23,411, 0.89%, 0.0052825%), (ALL, 111,003, 0.88%, 0.0424191%), (AMP, 43,659, 0.82%, 0.0469928%), (PAYC, 100,238, 0.75%, 0.1812622%), (ODFL, 130,124, 0.75%, 0.0622310%), (PGR, 86,943, 0.74%, 0.0148266%), (CSCO, 194,954, 0.57%, 0.0049316%), (COKE, 103,396, 0.57%, 0.1371255%), (NTRS, 103,842, 0.54%, 0.0549087%), (FOXA, 203,050, 0.54%, 0.0974507%), (JNJ, 69,527, 0.53%, 0.0028858%), (MCK, 14,999, 0.52%, 0.0121522%), (BAC, 238,907, 0.51%, 0.0032716%), (MET, 148,994, 0.48%, 0.0225509%), (LNC, 283,980, 0.47%, 0.1495111%), (CINF, 72,223, 0.47%, 0.0462913%), (VLTO, 114,157, 0.46%, 0.0459759%), (XOM, 97,856, 0.45%, 0.0023204%), (CF, 128,748, 0.45%, 0.0825442%), (DOV, 60,713, 0.44%, 0.0442666%), (WTFC, 83,642, 0.44%, 0.1249278%), (RMD, 44,159, 0.44%, 0.0302529%), (MTB, 57,766, 0.43%, 0.0375859%), (EG, 29,786, 0.39%, 0.0709561%), (EOG, 86,620, 0.37%, 0.0158647%), (EQH, 201,297, 0.37%, 0.0672028%), (CSL, 25,274, 0.34%, 0.0604847%)</t>
        </is>
      </c>
      <c r="T18" s="5" t="n">
        <v>0.003527690276714518</v>
      </c>
      <c r="U18" s="3" t="n">
        <v>483575</v>
      </c>
      <c r="V18" s="5" t="n">
        <v>0.0001967185801969853</v>
      </c>
      <c r="W18" t="inlineStr"/>
    </row>
    <row r="19">
      <c r="A19" t="inlineStr">
        <is>
          <t>* To be classified as a diversified company under the 1940 Act, at least 75% of the value of the fund's total assets must be invested in:</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 1) cash and cash items (including receivables),</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 2) government securities,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row>
    <row r="22">
      <c r="A22" t="inlineStr">
        <is>
          <t>* 3) securities of other investment companies, and</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 4) other securities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 xml:space="preserve">* </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 Compliance Conditions: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 Condition 40 Act 1: 75% of the fund must be invested in diversified assets.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 Condition 40 Act 2a: No single issuer in the 75% can exceed 5% of total assets.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inlineStr">
        <is>
          <t>* Condition 40 Act 2b: No single issuer in the 75% can exceed 10% of the issuer's voting securities.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cols>
    <col width="50" customWidth="1" min="1" max="1"/>
    <col width="8" customWidth="1" min="2" max="2"/>
    <col width="17" customWidth="1" min="3" max="3"/>
    <col width="33" customWidth="1" min="4" max="4"/>
    <col width="29" customWidth="1" min="5" max="5"/>
    <col width="22" customWidth="1" min="6" max="6"/>
    <col width="19" customWidth="1" min="7" max="7"/>
    <col width="15" customWidth="1" min="8" max="8"/>
    <col width="25" customWidth="1" min="9" max="9"/>
    <col width="10" customWidth="1" min="10" max="10"/>
    <col width="23" customWidth="1" min="11" max="11"/>
    <col width="30" customWidth="1" min="12" max="12"/>
    <col width="24" customWidth="1" min="13" max="13"/>
    <col width="50" customWidth="1" min="14" max="14"/>
    <col width="22" customWidth="1" min="15" max="15"/>
    <col width="50" customWidth="1" min="16" max="16"/>
    <col width="27" customWidth="1" min="17" max="17"/>
    <col width="34" customWidth="1" min="18" max="18"/>
  </cols>
  <sheetData>
    <row r="1">
      <c r="A1" s="1" t="inlineStr">
        <is>
          <t>Date</t>
        </is>
      </c>
      <c r="B1" s="1" t="inlineStr">
        <is>
          <t>Fund</t>
        </is>
      </c>
      <c r="C1" s="1" t="inlineStr">
        <is>
          <t>condition_IRS_1</t>
        </is>
      </c>
      <c r="D1" s="1" t="inlineStr">
        <is>
          <t>condition_IRS_2_a_50</t>
        </is>
      </c>
      <c r="E1" s="1" t="inlineStr">
        <is>
          <t>condition_IRS_2_a_5</t>
        </is>
      </c>
      <c r="F1" s="1" t="inlineStr">
        <is>
          <t>condition_IRS_2_a_10</t>
        </is>
      </c>
      <c r="G1" s="1" t="inlineStr">
        <is>
          <t>condition_IRS_2_b</t>
        </is>
      </c>
      <c r="H1" s="1" t="inlineStr">
        <is>
          <t>total_assets</t>
        </is>
      </c>
      <c r="I1" s="1" t="inlineStr">
        <is>
          <t>qualifying_assets_value</t>
        </is>
      </c>
      <c r="J1" s="1" t="inlineStr">
        <is>
          <t>expenses</t>
        </is>
      </c>
      <c r="K1" s="1" t="inlineStr">
        <is>
          <t>five_pct_gross_assets</t>
        </is>
      </c>
      <c r="L1" s="1" t="inlineStr">
        <is>
          <t>sum_large_securities_weights</t>
        </is>
      </c>
      <c r="M1" s="1" t="inlineStr">
        <is>
          <t>large_securities_count</t>
        </is>
      </c>
      <c r="N1" s="1" t="inlineStr">
        <is>
          <t>large_securities</t>
        </is>
      </c>
      <c r="O1" s="1" t="inlineStr">
        <is>
          <t>overlap_weight</t>
        </is>
      </c>
      <c r="P1" s="1" t="inlineStr">
        <is>
          <t>overlap_constituents</t>
        </is>
      </c>
      <c r="Q1" s="1" t="inlineStr">
        <is>
          <t>bottom_50_largest_holding</t>
        </is>
      </c>
      <c r="R1" s="1" t="inlineStr">
        <is>
          <t>bottom_50_second_largest_holding</t>
        </is>
      </c>
    </row>
    <row r="2">
      <c r="A2" s="2" t="n">
        <v>45966</v>
      </c>
      <c r="B2" t="inlineStr">
        <is>
          <t>KNG</t>
        </is>
      </c>
      <c r="C2" t="inlineStr">
        <is>
          <t>PASS</t>
        </is>
      </c>
      <c r="D2" s="3">
        <f>IF(I2/H2&gt;=0.5,"PASS","FAIL")</f>
        <v/>
      </c>
      <c r="E2" s="3">
        <f>IF(L2&lt;=0.5,"PASS","FAIL")</f>
        <v/>
      </c>
      <c r="F2" t="inlineStr">
        <is>
          <t>PASS</t>
        </is>
      </c>
      <c r="G2" t="inlineStr">
        <is>
          <t>PASS</t>
        </is>
      </c>
      <c r="H2" s="3" t="n">
        <v>3507358501</v>
      </c>
      <c r="I2" s="3" t="n">
        <v>3478755199.07</v>
      </c>
      <c r="J2" s="3" t="n">
        <v>71007.59</v>
      </c>
      <c r="K2" s="5" t="n">
        <v>175367925.05</v>
      </c>
      <c r="L2" s="5" t="n">
        <v>0</v>
      </c>
      <c r="M2" s="3" t="n">
        <v>0</v>
      </c>
      <c r="N2" t="inlineStr">
        <is>
          <t>None</t>
        </is>
      </c>
      <c r="O2" s="5" t="n">
        <v>0</v>
      </c>
      <c r="P2" t="inlineStr">
        <is>
          <t>None</t>
        </is>
      </c>
      <c r="Q2" t="inlineStr">
        <is>
          <t>ABT (1.44%)</t>
        </is>
      </c>
      <c r="R2" t="inlineStr">
        <is>
          <t>ATO (1.44%)</t>
        </is>
      </c>
    </row>
    <row r="3">
      <c r="A3" s="2" t="n">
        <v>45966</v>
      </c>
      <c r="B3" t="inlineStr">
        <is>
          <t>P30128</t>
        </is>
      </c>
      <c r="C3" t="inlineStr">
        <is>
          <t>PASS</t>
        </is>
      </c>
      <c r="D3" s="3">
        <f>IF(I3/H3&gt;=0.5,"PASS","FAIL")</f>
        <v/>
      </c>
      <c r="E3" s="3">
        <f>IF(L3&lt;=0.5,"PASS","FAIL")</f>
        <v/>
      </c>
      <c r="F3" t="inlineStr">
        <is>
          <t>PASS</t>
        </is>
      </c>
      <c r="G3" t="inlineStr">
        <is>
          <t>PASS</t>
        </is>
      </c>
      <c r="H3" s="3" t="n">
        <v>40395197.17</v>
      </c>
      <c r="I3" s="3" t="n">
        <v>39286536.671525</v>
      </c>
      <c r="J3" s="3" t="n">
        <v>2576.04</v>
      </c>
      <c r="K3" s="5" t="n">
        <v>2019759.8585</v>
      </c>
      <c r="L3" s="5" t="n">
        <v>0.3225104880813606</v>
      </c>
      <c r="M3" s="3" t="n">
        <v>4</v>
      </c>
      <c r="N3" t="inlineStr">
        <is>
          <t>(NVDA, 10.03%), (AAPL, 8.52%), (MSFT, 7.90%), (GOOGLE, 5.80%)</t>
        </is>
      </c>
      <c r="O3" s="5" t="n">
        <v>0.09757237636290511</v>
      </c>
      <c r="P3" t="inlineStr">
        <is>
          <t>AAPL: 6.93%, ABBV: 0.66%, ABT: 0.38%, ACN: 0.26%, ADBE: 0.25%, AMAT: 0.32%, AMD: 0.70%, AMGN: 0.28%, AMT: 0.15%, AMZN: 4.19%, AVGO: 2.86%, AXP: 0.34%, BA: 0.26%, BAC: 0.63%, BKNG: 0.28%, BLK: 0.26%, BMY: 0.16%, BRK/B: 1.55%, C: 0.32%, CAT: 0.44%, CB: 0.18%, CL: 0.11%, CMCSA: 0.17%, COP: 0.19%, COST: 0.72%, CRM: 0.42%, CSCO: 0.50%, CVS: 0.17%, CVX: 0.51%, DE: 0.20%, DHR: 0.24%, DIS: 0.35%, DUK: 0.17%, ELV: 0.12%, EMR: 0.13%, ETN: 0.25%, FDX: 0.09%, GE: 0.56%, GILD: 0.26%, GOOG: 2.25%, GS: 0.41%, HD: 0.66%, HON: 0.22%, IBM: 0.48%, INTC: 0.28%, INTU: 0.32%, ISRG: 0.33%, JNJ: 0.78%, JPM: 1.47%, KO: 0.46%, LIN: 0.34%, LLY: 1.25%, LMT: 0.17%, LOW: 0.23%, MA: 0.79%, MCD: 0.37%, MDLZ: 0.13%, MDT: 0.20%, MET: 0.08%, META: 2.35%, MMM: 0.15%, MO: 0.17%, MRK: 0.36%, MS: 0.34%, MSFT: 6.62%, NEE: 0.29%, NFLX: 0.80%, NKE: 0.13%, NOW: 0.32%, NVDA: 8.39%, ORCL: 0.71%, PEP: 0.34%, PFE: 0.24%, PG: 0.60%, PLTR: 0.75%, PM: 0.40%, PYPL: 0.11%, QCOM: 0.32%, RTX: 0.41%, SBUX: 0.16%, SCHW: 0.28%, SO: 0.18%, SOLS: 0.01%, SPGI: 0.27%, T: 0.30%, TGT: 0.07%, TJX: 0.27%, TMO: 0.37%, TSLA: 2.16%, TXN: 0.25%, UBER: 0.34%, UNH: 0.52%, UNP: 0.23%, UPS: 0.12%, USB: 0.12%, V: 1.00%, VZ: 0.29%, WFC: 0.48%, WM: 0.13%, WMT: 0.78%, XOM: 0.84%</t>
        </is>
      </c>
      <c r="Q3" t="inlineStr">
        <is>
          <t>JPM (2.42%)</t>
        </is>
      </c>
      <c r="R3" t="inlineStr">
        <is>
          <t>CSCO (2.08%)</t>
        </is>
      </c>
    </row>
    <row r="4">
      <c r="A4" s="2" t="n">
        <v>45966</v>
      </c>
      <c r="B4" t="inlineStr">
        <is>
          <t>TR2B1</t>
        </is>
      </c>
      <c r="C4" t="inlineStr">
        <is>
          <t>PASS</t>
        </is>
      </c>
      <c r="D4" s="3">
        <f>IF(I4/H4&gt;=0.5,"PASS","FAIL")</f>
        <v/>
      </c>
      <c r="E4" s="3">
        <f>IF(L4&lt;=0.5,"PASS","FAIL")</f>
        <v/>
      </c>
      <c r="F4" t="inlineStr">
        <is>
          <t>PASS</t>
        </is>
      </c>
      <c r="G4" t="inlineStr">
        <is>
          <t>PASS</t>
        </is>
      </c>
      <c r="H4" s="3" t="n">
        <v>135425970.28</v>
      </c>
      <c r="I4" s="3" t="n">
        <v>135167682.0102749</v>
      </c>
      <c r="J4" s="3" t="n">
        <v>8798.67</v>
      </c>
      <c r="K4" s="5" t="n">
        <v>6771298.514</v>
      </c>
      <c r="L4" s="5" t="n">
        <v>0.3232875623850696</v>
      </c>
      <c r="M4" s="3" t="n">
        <v>4</v>
      </c>
      <c r="N4" t="inlineStr">
        <is>
          <t>(NVDA, 10.02%), (AAPL, 8.52%), (MSFT, 7.89%), (GOOGLE, 5.89%)</t>
        </is>
      </c>
      <c r="O4" s="5" t="n">
        <v>0.07931184135559584</v>
      </c>
      <c r="P4" t="inlineStr">
        <is>
          <t>AAPL: 6.93%, ABBV: 0.66%, ABT: 0.38%, ACN: 0.26%, ADBE: 0.25%, AMAT: 0.32%, AMD: 0.70%, AMGN: 0.28%, AMT: 0.15%, AMZN: 4.19%, AVGO: 2.86%, AXP: 0.34%, BA: 0.26%, BAC: 0.63%, BKNG: 0.28%, BLK: 0.26%, BMY: 0.16%, BRK/B: 1.55%, C: 0.32%, CAT: 0.44%, CB: 0.18%, CL: 0.11%, CMCSA: 0.17%, COP: 0.19%, COST: 0.72%, CRM: 0.42%, CSCO: 0.50%, CVS: 0.17%, CVX: 0.51%, DE: 0.20%, DHR: 0.24%, DIS: 0.35%, DUK: 0.17%, ELV: 0.12%, EMR: 0.13%, ETN: 0.25%, FDX: 0.09%, GE: 0.56%, GILD: 0.26%, GOOG: 2.25%, GS: 0.41%, HD: 0.66%, HON: 0.22%, IBM: 0.48%, INTC: 0.28%, INTU: 0.32%, ISRG: 0.33%, JNJ: 0.78%, JPM: 1.47%, KO: 0.46%, LIN: 0.34%, LLY: 1.25%, LMT: 0.17%, LOW: 0.23%, MA: 0.79%, MCD: 0.37%, MDLZ: 0.13%, MDT: 0.20%, MET: 0.08%, META: 2.35%, MMM: 0.15%, MO: 0.17%, MRK: 0.36%, MS: 0.34%, MSFT: 6.62%, NEE: 0.29%, NFLX: 0.80%, NKE: 0.13%, NOW: 0.32%, NVDA: 8.39%, ORCL: 0.71%, PEP: 0.34%, PFE: 0.24%, PG: 0.60%, PLTR: 0.75%, PM: 0.40%, PYPL: 0.11%, QCOM: 0.32%, RTX: 0.41%, SBUX: 0.16%, SCHW: 0.28%, SO: 0.18%, SOLS: 0.01%, SPGI: 0.27%, T: 0.30%, TGT: 0.07%, TJX: 0.27%, TMO: 0.37%, TSLA: 2.16%, TXN: 0.25%, UBER: 0.34%, UNH: 0.52%, UNP: 0.23%, UPS: 0.12%, USB: 0.12%, V: 1.00%, VZ: 0.29%, WFC: 0.48%, WM: 0.13%, WMT: 0.78%, XOM: 0.84%</t>
        </is>
      </c>
      <c r="Q4" t="inlineStr">
        <is>
          <t>JPM (2.44%)</t>
        </is>
      </c>
      <c r="R4" t="inlineStr">
        <is>
          <t>CSCO (2.13%)</t>
        </is>
      </c>
    </row>
    <row r="5">
      <c r="A5" s="2" t="n">
        <v>45966</v>
      </c>
      <c r="B5" t="inlineStr">
        <is>
          <t>DOGG</t>
        </is>
      </c>
      <c r="C5" t="inlineStr">
        <is>
          <t>PASS</t>
        </is>
      </c>
      <c r="D5" s="3">
        <f>IF(I5/H5&gt;=0.5,"PASS","FAIL")</f>
        <v/>
      </c>
      <c r="E5" s="3">
        <f>IF(L5&lt;=0.5,"PASS","FAIL")</f>
        <v/>
      </c>
      <c r="F5" t="inlineStr">
        <is>
          <t>PASS</t>
        </is>
      </c>
      <c r="G5" t="inlineStr">
        <is>
          <t>PASS</t>
        </is>
      </c>
      <c r="H5" s="3" t="n">
        <v>52353768.7</v>
      </c>
      <c r="I5" s="3" t="n">
        <v>45550982.24446592</v>
      </c>
      <c r="J5" s="3" t="n">
        <v>860.22</v>
      </c>
      <c r="K5" s="5" t="n">
        <v>2617688.435000001</v>
      </c>
      <c r="L5" s="5" t="n">
        <v>0</v>
      </c>
      <c r="M5" s="3" t="n">
        <v>0</v>
      </c>
      <c r="N5" t="inlineStr">
        <is>
          <t>None</t>
        </is>
      </c>
      <c r="O5" s="5" t="n">
        <v>0</v>
      </c>
      <c r="P5" t="inlineStr">
        <is>
          <t>None</t>
        </is>
      </c>
      <c r="Q5" t="inlineStr">
        <is>
          <t>KO (4.48%)</t>
        </is>
      </c>
      <c r="R5" t="inlineStr">
        <is>
          <t>KO (4.47%)</t>
        </is>
      </c>
    </row>
    <row r="6">
      <c r="A6" s="2" t="n">
        <v>45966</v>
      </c>
      <c r="B6" t="inlineStr">
        <is>
          <t>P3727</t>
        </is>
      </c>
      <c r="C6" t="inlineStr">
        <is>
          <t>PASS</t>
        </is>
      </c>
      <c r="D6" s="3">
        <f>IF(I6/H6&gt;=0.5,"PASS","FAIL")</f>
        <v/>
      </c>
      <c r="E6" s="3">
        <f>IF(L6&lt;=0.5,"PASS","FAIL")</f>
        <v/>
      </c>
      <c r="F6" t="inlineStr">
        <is>
          <t>PASS</t>
        </is>
      </c>
      <c r="G6" t="inlineStr">
        <is>
          <t>PASS</t>
        </is>
      </c>
      <c r="H6" s="3" t="n">
        <v>79127966.86</v>
      </c>
      <c r="I6" s="3" t="n">
        <v>78247397.4346</v>
      </c>
      <c r="J6" s="3" t="n">
        <v>5210.44</v>
      </c>
      <c r="K6" s="5" t="n">
        <v>3956398.343</v>
      </c>
      <c r="L6" s="5" t="n">
        <v>0.3158062142917625</v>
      </c>
      <c r="M6" s="3" t="n">
        <v>4</v>
      </c>
      <c r="N6" t="inlineStr">
        <is>
          <t>(NVDA, 9.78%), (AAPL, 8.32%), (MSFT, 7.70%), (GOOGLE, 5.77%)</t>
        </is>
      </c>
      <c r="O6" s="5" t="n">
        <v>0.07448880210745755</v>
      </c>
      <c r="P6" t="inlineStr">
        <is>
          <t>AAPL: 6.93%, ABBV: 0.66%, ABT: 0.38%, ACN: 0.26%, ADBE: 0.25%, AMAT: 0.32%, AMD: 0.70%, AMGN: 0.28%, AMT: 0.15%, AMZN: 4.19%, AVGO: 2.86%, AXP: 0.34%, BA: 0.26%, BAC: 0.63%, BKNG: 0.28%, BLK: 0.26%, BMY: 0.16%, BRK/B: 1.55%, C: 0.32%, CAT: 0.44%, CB: 0.18%, CL: 0.11%, CMCSA: 0.17%, COP: 0.19%, COST: 0.72%, CRM: 0.42%, CSCO: 0.50%, CVS: 0.17%, CVX: 0.51%, DE: 0.20%, DHR: 0.24%, DIS: 0.35%, DUK: 0.17%, ELV: 0.12%, EMR: 0.13%, ETN: 0.25%, FDX: 0.09%, GE: 0.56%, GILD: 0.26%, GOOG: 2.25%, GS: 0.41%, HD: 0.66%, HON: 0.22%, IBM: 0.48%, INTC: 0.28%, INTU: 0.32%, ISRG: 0.33%, JNJ: 0.78%, JPM: 1.47%, KO: 0.46%, LIN: 0.34%, LLY: 1.25%, LMT: 0.17%, LOW: 0.23%, MA: 0.79%, MCD: 0.37%, MDLZ: 0.13%, MDT: 0.20%, MET: 0.08%, META: 2.35%, MMM: 0.15%, MO: 0.17%, MRK: 0.36%, MS: 0.34%, MSFT: 6.62%, NEE: 0.29%, NFLX: 0.80%, NKE: 0.13%, NOW: 0.32%, NVDA: 8.39%, ORCL: 0.71%, PEP: 0.34%, PFE: 0.24%, PG: 0.60%, PLTR: 0.75%, PM: 0.40%, PYPL: 0.11%, QCOM: 0.32%, RTX: 0.41%, SBUX: 0.16%, SCHW: 0.28%, SO: 0.18%, SOLS: 0.01%, SPGI: 0.27%, T: 0.30%, TGT: 0.07%, TJX: 0.27%, TMO: 0.37%, TSLA: 2.16%, TXN: 0.25%, UBER: 0.34%, UNH: 0.52%, UNP: 0.23%, UPS: 0.12%, USB: 0.12%, V: 1.00%, VZ: 0.29%, WFC: 0.48%, WM: 0.13%, WMT: 0.78%, XOM: 0.84%</t>
        </is>
      </c>
      <c r="Q6" t="inlineStr">
        <is>
          <t>CSCO (2.09%)</t>
        </is>
      </c>
      <c r="R6" t="inlineStr">
        <is>
          <t>V (1.92%)</t>
        </is>
      </c>
    </row>
    <row r="7">
      <c r="A7" s="2" t="n">
        <v>45966</v>
      </c>
      <c r="B7" t="inlineStr">
        <is>
          <t>HE3B2</t>
        </is>
      </c>
      <c r="C7" t="inlineStr">
        <is>
          <t>PASS</t>
        </is>
      </c>
      <c r="D7" s="3">
        <f>IF(I7/H7&gt;=0.5,"PASS","FAIL")</f>
        <v/>
      </c>
      <c r="E7" s="3">
        <f>IF(L7&lt;=0.5,"PASS","FAIL")</f>
        <v/>
      </c>
      <c r="F7" t="inlineStr">
        <is>
          <t>PASS</t>
        </is>
      </c>
      <c r="G7" t="inlineStr">
        <is>
          <t>PASS</t>
        </is>
      </c>
      <c r="H7" s="3" t="n">
        <v>24562469.76</v>
      </c>
      <c r="I7" s="3" t="n">
        <v>23722930.876825</v>
      </c>
      <c r="J7" s="3" t="n">
        <v>1521.09</v>
      </c>
      <c r="K7" s="5" t="n">
        <v>1228123.488</v>
      </c>
      <c r="L7" s="5" t="n">
        <v>0.3309915039786425</v>
      </c>
      <c r="M7" s="3" t="n">
        <v>4</v>
      </c>
      <c r="N7" t="inlineStr">
        <is>
          <t>(NVDA, 10.32%), (AAPL, 8.76%), (MSFT, 8.13%), (GOOGLE, 5.89%)</t>
        </is>
      </c>
      <c r="O7" s="5" t="n">
        <v>0.1135290047813579</v>
      </c>
      <c r="P7" t="inlineStr">
        <is>
          <t>AAPL: 6.93%, ABBV: 0.66%, ABT: 0.38%, ACN: 0.26%, ADBE: 0.25%, AMAT: 0.32%, AMD: 0.70%, AMGN: 0.28%, AMT: 0.15%, AMZN: 4.19%, AVGO: 2.86%, AXP: 0.34%, BA: 0.26%, BAC: 0.63%, BKNG: 0.28%, BLK: 0.26%, BMY: 0.16%, BRK/B: 1.55%, C: 0.32%, CAT: 0.44%, CB: 0.18%, CL: 0.11%, CMCSA: 0.17%, COP: 0.19%, COST: 0.72%, CRM: 0.42%, CSCO: 0.50%, CVS: 0.17%, CVX: 0.51%, DE: 0.20%, DHR: 0.24%, DIS: 0.35%, DUK: 0.17%, ELV: 0.12%, EMR: 0.13%, ETN: 0.25%, FDX: 0.09%, GE: 0.56%, GILD: 0.26%, GOOG: 2.25%, GS: 0.41%, HD: 0.66%, HON: 0.22%, IBM: 0.48%, INTC: 0.28%, INTU: 0.32%, ISRG: 0.33%, JNJ: 0.78%, JPM: 1.47%, KO: 0.46%, LIN: 0.34%, LLY: 1.25%, LMT: 0.17%, LOW: 0.23%, MA: 0.79%, MCD: 0.37%, MDLZ: 0.13%, MDT: 0.20%, MET: 0.08%, META: 2.35%, MMM: 0.15%, MO: 0.17%, MRK: 0.36%, MS: 0.34%, MSFT: 6.62%, NEE: 0.29%, NFLX: 0.80%, NKE: 0.13%, NOW: 0.32%, NVDA: 8.39%, ORCL: 0.71%, PEP: 0.34%, PFE: 0.24%, PG: 0.60%, PLTR: 0.75%, PM: 0.40%, PYPL: 0.11%, QCOM: 0.32%, RTX: 0.41%, SBUX: 0.16%, SCHW: 0.28%, SO: 0.18%, SOLS: 0.01%, SPGI: 0.27%, T: 0.30%, TGT: 0.07%, TJX: 0.27%, TMO: 0.37%, TSLA: 2.16%, TXN: 0.25%, UBER: 0.34%, UNH: 0.52%, UNP: 0.23%, UPS: 0.12%, USB: 0.12%, V: 1.00%, VZ: 0.29%, WFC: 0.48%, WM: 0.13%, WMT: 0.78%, XOM: 0.84%</t>
        </is>
      </c>
      <c r="Q7" t="inlineStr">
        <is>
          <t>JPM (2.47%)</t>
        </is>
      </c>
      <c r="R7" t="inlineStr">
        <is>
          <t>CSCO (2.11%)</t>
        </is>
      </c>
    </row>
    <row r="8">
      <c r="A8" s="2" t="n">
        <v>45966</v>
      </c>
      <c r="B8" t="inlineStr">
        <is>
          <t>TR2B2</t>
        </is>
      </c>
      <c r="C8" t="inlineStr">
        <is>
          <t>PASS</t>
        </is>
      </c>
      <c r="D8" s="3">
        <f>IF(I8/H8&gt;=0.5,"PASS","FAIL")</f>
        <v/>
      </c>
      <c r="E8" s="3">
        <f>IF(L8&lt;=0.5,"PASS","FAIL")</f>
        <v/>
      </c>
      <c r="F8" t="inlineStr">
        <is>
          <t>PASS</t>
        </is>
      </c>
      <c r="G8" t="inlineStr">
        <is>
          <t>PASS</t>
        </is>
      </c>
      <c r="H8" s="3" t="n">
        <v>165234594.9</v>
      </c>
      <c r="I8" s="3" t="n">
        <v>160217156.099275</v>
      </c>
      <c r="J8" s="3" t="n">
        <v>10415.67</v>
      </c>
      <c r="K8" s="5" t="n">
        <v>8261729.745000001</v>
      </c>
      <c r="L8" s="5" t="n">
        <v>0.3254113976943402</v>
      </c>
      <c r="M8" s="3" t="n">
        <v>4</v>
      </c>
      <c r="N8" t="inlineStr">
        <is>
          <t>(NVDA, 10.12%), (AAPL, 8.60%), (MSFT, 7.97%), (GOOGLE, 5.85%)</t>
        </is>
      </c>
      <c r="O8" s="5" t="n">
        <v>0.1000314810544253</v>
      </c>
      <c r="P8" t="inlineStr">
        <is>
          <t>AAPL: 6.93%, ABBV: 0.66%, ABT: 0.38%, ACN: 0.26%, ADBE: 0.25%, AMAT: 0.32%, AMD: 0.70%, AMGN: 0.28%, AMT: 0.15%, AMZN: 4.19%, AVGO: 2.86%, AXP: 0.34%, BA: 0.26%, BAC: 0.63%, BKNG: 0.28%, BLK: 0.26%, BMY: 0.16%, BRK/B: 1.55%, C: 0.32%, CAT: 0.44%, CB: 0.18%, CL: 0.11%, CMCSA: 0.17%, COP: 0.19%, COST: 0.72%, CRM: 0.42%, CSCO: 0.50%, CVS: 0.17%, CVX: 0.51%, DE: 0.20%, DHR: 0.24%, DIS: 0.35%, DUK: 0.17%, ELV: 0.12%, EMR: 0.13%, ETN: 0.25%, FDX: 0.09%, GE: 0.56%, GILD: 0.26%, GOOG: 2.25%, GS: 0.41%, HD: 0.66%, HON: 0.22%, IBM: 0.48%, INTC: 0.28%, INTU: 0.32%, ISRG: 0.33%, JNJ: 0.78%, JPM: 1.47%, KO: 0.46%, LIN: 0.34%, LLY: 1.25%, LMT: 0.17%, LOW: 0.23%, MA: 0.79%, MCD: 0.37%, MDLZ: 0.13%, MDT: 0.20%, MET: 0.08%, META: 2.35%, MMM: 0.15%, MO: 0.17%, MRK: 0.36%, MS: 0.34%, MSFT: 6.62%, NEE: 0.29%, NFLX: 0.80%, NKE: 0.13%, NOW: 0.32%, NVDA: 8.39%, ORCL: 0.71%, PEP: 0.34%, PFE: 0.24%, PG: 0.60%, PLTR: 0.75%, PM: 0.40%, PYPL: 0.11%, QCOM: 0.32%, RTX: 0.41%, SBUX: 0.16%, SCHW: 0.28%, SO: 0.18%, SOLS: 0.01%, SPGI: 0.27%, T: 0.30%, TGT: 0.07%, TJX: 0.27%, TMO: 0.37%, TSLA: 2.16%, TXN: 0.25%, UBER: 0.34%, UNH: 0.52%, UNP: 0.23%, UPS: 0.12%, USB: 0.12%, V: 1.00%, VZ: 0.29%, WFC: 0.48%, WM: 0.13%, WMT: 0.78%, XOM: 0.84%</t>
        </is>
      </c>
      <c r="Q8" t="inlineStr">
        <is>
          <t>JPM (2.44%)</t>
        </is>
      </c>
      <c r="R8" t="inlineStr">
        <is>
          <t>CSCO (2.10%)</t>
        </is>
      </c>
    </row>
    <row r="9">
      <c r="A9" s="2" t="n">
        <v>45966</v>
      </c>
      <c r="B9" t="inlineStr">
        <is>
          <t>TDVI</t>
        </is>
      </c>
      <c r="C9" t="inlineStr">
        <is>
          <t>PASS</t>
        </is>
      </c>
      <c r="D9" s="3">
        <f>IF(I9/H9&gt;=0.5,"PASS","FAIL")</f>
        <v/>
      </c>
      <c r="E9" s="3">
        <f>IF(L9&lt;=0.5,"PASS","FAIL")</f>
        <v/>
      </c>
      <c r="F9" t="inlineStr">
        <is>
          <t>FAIL</t>
        </is>
      </c>
      <c r="G9" t="inlineStr">
        <is>
          <t>PASS</t>
        </is>
      </c>
      <c r="H9" s="3" t="n">
        <v>199592567.27</v>
      </c>
      <c r="I9" s="3" t="n">
        <v>198881950.906</v>
      </c>
      <c r="J9" s="3" t="n">
        <v>3981.73</v>
      </c>
      <c r="K9" s="5" t="n">
        <v>9979628.363500001</v>
      </c>
      <c r="L9" s="5" t="n">
        <v>0.3923291853438114</v>
      </c>
      <c r="M9" s="3" t="n">
        <v>5</v>
      </c>
      <c r="N9" t="inlineStr">
        <is>
          <t>(IBM, 9.40%), (AVGO, 9.01%), (MSFT, 7.47%), (ORCL, 7.33%), (TXN, 6.03%)</t>
        </is>
      </c>
      <c r="O9" s="5" t="n">
        <v>0</v>
      </c>
      <c r="P9" t="inlineStr">
        <is>
          <t>None</t>
        </is>
      </c>
      <c r="Q9" t="inlineStr">
        <is>
          <t>AMAT (2.70%)</t>
        </is>
      </c>
      <c r="R9" t="inlineStr">
        <is>
          <t>LRCX (2.61%)</t>
        </is>
      </c>
    </row>
    <row r="10">
      <c r="A10" s="2" t="n">
        <v>45966</v>
      </c>
      <c r="B10" t="inlineStr">
        <is>
          <t>P21026</t>
        </is>
      </c>
      <c r="C10" t="inlineStr">
        <is>
          <t>PASS</t>
        </is>
      </c>
      <c r="D10" s="3">
        <f>IF(I10/H10&gt;=0.5,"PASS","FAIL")</f>
        <v/>
      </c>
      <c r="E10" s="3">
        <f>IF(L10&lt;=0.5,"PASS","FAIL")</f>
        <v/>
      </c>
      <c r="F10" t="inlineStr">
        <is>
          <t>PASS</t>
        </is>
      </c>
      <c r="G10" t="inlineStr">
        <is>
          <t>PASS</t>
        </is>
      </c>
      <c r="H10" s="3" t="n">
        <v>23354046.68</v>
      </c>
      <c r="I10" s="3" t="n">
        <v>22933856.205175</v>
      </c>
      <c r="J10" s="3" t="n">
        <v>1564.17</v>
      </c>
      <c r="K10" s="5" t="n">
        <v>1167702.334</v>
      </c>
      <c r="L10" s="5" t="n">
        <v>0.30723963192785</v>
      </c>
      <c r="M10" s="3" t="n">
        <v>4</v>
      </c>
      <c r="N10" t="inlineStr">
        <is>
          <t>(NVDA, 9.49%), (AAPL, 8.07%), (MSFT, 7.47%), (GOOGLE, 5.69%)</t>
        </is>
      </c>
      <c r="O10" s="5" t="n">
        <v>0.05412313559591635</v>
      </c>
      <c r="P10" t="inlineStr">
        <is>
          <t>AAPL: 6.93%, ABBV: 0.66%, ABT: 0.38%, ACN: 0.26%, ADBE: 0.25%, AMAT: 0.32%, AMD: 0.70%, AMGN: 0.28%, AMT: 0.15%, AMZN: 4.19%, AVGO: 2.86%, AXP: 0.34%, BA: 0.26%, BAC: 0.63%, BKNG: 0.28%, BLK: 0.26%, BMY: 0.16%, BRK/B: 1.55%, C: 0.32%, CAT: 0.44%, CB: 0.18%, CL: 0.11%, CMCSA: 0.17%, COP: 0.19%, COST: 0.72%, CRM: 0.42%, CSCO: 0.50%, CVS: 0.17%, CVX: 0.51%, DE: 0.20%, DHR: 0.24%, DIS: 0.35%, DUK: 0.17%, ELV: 0.12%, EMR: 0.13%, ETN: 0.25%, FDX: 0.09%, GE: 0.56%, GILD: 0.26%, GOOG: 2.25%, GS: 0.41%, HD: 0.66%, HON: 0.22%, IBM: 0.48%, INTC: 0.28%, INTU: 0.32%, ISRG: 0.33%, JNJ: 0.78%, JPM: 1.47%, KO: 0.46%, LIN: 0.34%, LLY: 1.25%, LMT: 0.17%, LOW: 0.23%, MA: 0.79%, MCD: 0.37%, MDLZ: 0.13%, MDT: 0.20%, MET: 0.08%, META: 2.35%, MMM: 0.15%, MO: 0.17%, MRK: 0.36%, MS: 0.34%, MSFT: 6.62%, NEE: 0.29%, NFLX: 0.80%, NKE: 0.13%, NOW: 0.32%, NVDA: 8.39%, ORCL: 0.71%, PEP: 0.34%, PFE: 0.24%, PG: 0.60%, PLTR: 0.75%, PM: 0.40%, PYPL: 0.11%, QCOM: 0.32%, RTX: 0.41%, SBUX: 0.16%, SCHW: 0.28%, SO: 0.18%, SOLS: 0.01%, SPGI: 0.27%, T: 0.30%, TGT: 0.07%, TJX: 0.27%, TMO: 0.37%, TSLA: 2.16%, TXN: 0.25%, UBER: 0.34%, UNH: 0.52%, UNP: 0.23%, UPS: 0.12%, USB: 0.12%, V: 1.00%, VZ: 0.29%, WFC: 0.48%, WM: 0.13%, WMT: 0.78%, XOM: 0.84%</t>
        </is>
      </c>
      <c r="Q10" t="inlineStr">
        <is>
          <t>V (1.88%)</t>
        </is>
      </c>
      <c r="R10" t="inlineStr">
        <is>
          <t>LIN (1.69%)</t>
        </is>
      </c>
    </row>
    <row r="11">
      <c r="A11" s="2" t="n">
        <v>45966</v>
      </c>
      <c r="B11" t="inlineStr">
        <is>
          <t>HE3B1</t>
        </is>
      </c>
      <c r="C11" t="inlineStr">
        <is>
          <t>PASS</t>
        </is>
      </c>
      <c r="D11" s="3">
        <f>IF(I11/H11&gt;=0.5,"PASS","FAIL")</f>
        <v/>
      </c>
      <c r="E11" s="3">
        <f>IF(L11&lt;=0.5,"PASS","FAIL")</f>
        <v/>
      </c>
      <c r="F11" t="inlineStr">
        <is>
          <t>PASS</t>
        </is>
      </c>
      <c r="G11" t="inlineStr">
        <is>
          <t>PASS</t>
        </is>
      </c>
      <c r="H11" s="3" t="n">
        <v>43655547.47</v>
      </c>
      <c r="I11" s="3" t="n">
        <v>43533236.58670001</v>
      </c>
      <c r="J11" s="3" t="n">
        <v>2725.54</v>
      </c>
      <c r="K11" s="5" t="n">
        <v>2182777.3735</v>
      </c>
      <c r="L11" s="5" t="n">
        <v>0.3315085691998579</v>
      </c>
      <c r="M11" s="3" t="n">
        <v>4</v>
      </c>
      <c r="N11" t="inlineStr">
        <is>
          <t>(NVDA, 10.09%), (AAPL, 8.56%), (MSFT, 7.95%), (GOOGLE, 6.55%)</t>
        </is>
      </c>
      <c r="O11" s="5" t="n">
        <v>0.1154798922213585</v>
      </c>
      <c r="P11" t="inlineStr">
        <is>
          <t>AAPL: 6.93%, ABBV: 0.66%, ABT: 0.38%, ACN: 0.26%, ADBE: 0.25%, AMAT: 0.32%, AMD: 0.70%, AMGN: 0.28%, AMT: 0.15%, AMZN: 4.19%, AVGO: 2.86%, AXP: 0.34%, BA: 0.26%, BAC: 0.63%, BKNG: 0.28%, BLK: 0.26%, BMY: 0.16%, BRK/B: 1.55%, C: 0.32%, CAT: 0.44%, CB: 0.18%, CL: 0.11%, CMCSA: 0.17%, COP: 0.19%, COST: 0.72%, CRM: 0.42%, CSCO: 0.50%, CVS: 0.17%, CVX: 0.51%, DE: 0.20%, DHR: 0.24%, DIS: 0.35%, DUK: 0.17%, ELV: 0.12%, EMR: 0.13%, ETN: 0.25%, FDX: 0.09%, GE: 0.56%, GILD: 0.26%, GOOG: 2.25%, GS: 0.41%, HD: 0.66%, HON: 0.22%, IBM: 0.48%, INTC: 0.28%, INTU: 0.32%, ISRG: 0.33%, JNJ: 0.78%, JPM: 1.47%, KO: 0.46%, LIN: 0.34%, LLY: 1.25%, LMT: 0.17%, LOW: 0.23%, MA: 0.79%, MCD: 0.37%, MDLZ: 0.13%, MDT: 0.20%, MET: 0.08%, META: 2.35%, MMM: 0.15%, MO: 0.17%, MRK: 0.36%, MS: 0.34%, MSFT: 6.62%, NEE: 0.29%, NFLX: 0.80%, NKE: 0.13%, NOW: 0.32%, NVDA: 8.39%, ORCL: 0.71%, PEP: 0.34%, PFE: 0.24%, PG: 0.60%, PLTR: 0.75%, PM: 0.40%, PYPL: 0.11%, QCOM: 0.32%, RTX: 0.41%, SBUX: 0.16%, SCHW: 0.28%, SO: 0.18%, SOLS: 0.01%, SPGI: 0.27%, T: 0.30%, TGT: 0.07%, TJX: 0.27%, TMO: 0.37%, TSLA: 2.16%, TXN: 0.25%, UBER: 0.34%, UNH: 0.52%, UNP: 0.23%, UPS: 0.12%, USB: 0.12%, V: 1.00%, VZ: 0.29%, WFC: 0.48%, WM: 0.13%, WMT: 0.78%, XOM: 0.84%</t>
        </is>
      </c>
      <c r="Q11" t="inlineStr">
        <is>
          <t>JPM (2.90%)</t>
        </is>
      </c>
      <c r="R11" t="inlineStr">
        <is>
          <t>CSCO (2.16%)</t>
        </is>
      </c>
    </row>
    <row r="12">
      <c r="A12" s="2" t="n">
        <v>45966</v>
      </c>
      <c r="B12" t="inlineStr">
        <is>
          <t>R21126</t>
        </is>
      </c>
      <c r="C12" t="inlineStr">
        <is>
          <t>PASS</t>
        </is>
      </c>
      <c r="D12" s="3">
        <f>IF(I12/H12&gt;=0.5,"PASS","FAIL")</f>
        <v/>
      </c>
      <c r="E12" s="3">
        <f>IF(L12&lt;=0.5,"PASS","FAIL")</f>
        <v/>
      </c>
      <c r="F12" t="inlineStr">
        <is>
          <t>PASS</t>
        </is>
      </c>
      <c r="G12" t="inlineStr">
        <is>
          <t>PASS</t>
        </is>
      </c>
      <c r="H12" s="3" t="n">
        <v>53514033.56</v>
      </c>
      <c r="I12" s="3" t="n">
        <v>51296005.82439099</v>
      </c>
      <c r="J12" s="3" t="n">
        <v>3568.27</v>
      </c>
      <c r="K12" s="5" t="n">
        <v>2675701.678</v>
      </c>
      <c r="L12" s="5" t="n">
        <v>0</v>
      </c>
      <c r="M12" s="3" t="n">
        <v>0</v>
      </c>
      <c r="N12" t="inlineStr">
        <is>
          <t>None</t>
        </is>
      </c>
      <c r="O12" s="5" t="n">
        <v>0.034571458201085</v>
      </c>
      <c r="P12" t="inlineStr">
        <is>
          <t>AAPL: 6.93%, ABT: 0.38%, ACN: 0.26%, ADP: 0.18%, AFL: 0.09%, ALL: 0.09%, AMAT: 0.32%, AMP: 0.07%, AXP: 0.34%, BAC: 0.63%, BK: 0.13%, BKNG: 0.28%, BKR: 0.08%, BLK: 0.26%, CB: 0.18%, CF: 0.02%, CINF: 0.04%, COST: 0.72%, CRM: 0.42%, CSCO: 0.50%, CTSH: 0.06%, DHI: 0.07%, DOV: 0.04%, EA: 0.08%, EBAY: 0.06%, EG: 0.02%, ELV: 0.12%, EOG: 0.10%, FOXA: 0.02%, GE: 0.56%, GEV: 0.26%, GOOGL: 2.79%, HIG: 0.06%, JNJ: 0.78%, JPM: 1.47%, KLAC: 0.27%, LEN: 0.05%, LRCX: 0.34%, MA: 0.79%, MCK: 0.18%, MET: 0.08%, META: 2.35%, MPWR: 0.08%, MSFT: 6.62%, MTB: 0.05%, NTRS: 0.04%, NVDA: 8.39%, ODFL: 0.05%, PAYC: 0.02%, PCAR: 0.09%, PGR: 0.21%, PHM: 0.04%, PNC: 0.12%, QCOM: 0.32%, RJF: 0.05%, RMD: 0.06%, ROST: 0.09%, SNA: 0.03%, STT: 0.06%, SYF: 0.05%, TRV: 0.11%, V: 1.00%, VLTO: 0.04%, WSM: 0.04%, XOM: 0.84%</t>
        </is>
      </c>
      <c r="Q12" t="inlineStr">
        <is>
          <t>HIG (1.90%)</t>
        </is>
      </c>
      <c r="R12" t="inlineStr">
        <is>
          <t>SNA (1.88%)</t>
        </is>
      </c>
    </row>
    <row r="13">
      <c r="A13" s="2" t="n">
        <v>45966</v>
      </c>
      <c r="B13" t="inlineStr">
        <is>
          <t>P31027</t>
        </is>
      </c>
      <c r="C13" t="inlineStr">
        <is>
          <t>PASS</t>
        </is>
      </c>
      <c r="D13" s="3">
        <f>IF(I13/H13&gt;=0.5,"PASS","FAIL")</f>
        <v/>
      </c>
      <c r="E13" s="3">
        <f>IF(L13&lt;=0.5,"PASS","FAIL")</f>
        <v/>
      </c>
      <c r="F13" t="inlineStr">
        <is>
          <t>PASS</t>
        </is>
      </c>
      <c r="G13" t="inlineStr">
        <is>
          <t>PASS</t>
        </is>
      </c>
      <c r="H13" s="3" t="n">
        <v>15561558.53</v>
      </c>
      <c r="I13" s="3" t="n">
        <v>15432965.00545</v>
      </c>
      <c r="J13" s="3" t="n">
        <v>1006.24</v>
      </c>
      <c r="K13" s="5" t="n">
        <v>778077.9265000001</v>
      </c>
      <c r="L13" s="5" t="n">
        <v>0.3241115791610175</v>
      </c>
      <c r="M13" s="3" t="n">
        <v>4</v>
      </c>
      <c r="N13" t="inlineStr">
        <is>
          <t>(NVDA, 10.08%), (AAPL, 8.56%), (MSFT, 7.94%), (GOOGLE, 5.83%)</t>
        </is>
      </c>
      <c r="O13" s="5" t="n">
        <v>0.09890407072549179</v>
      </c>
      <c r="P13" t="inlineStr">
        <is>
          <t>AAPL: 6.93%, ABBV: 0.66%, ABT: 0.38%, ACN: 0.26%, ADBE: 0.25%, AMAT: 0.32%, AMD: 0.70%, AMGN: 0.28%, AMT: 0.15%, AMZN: 4.19%, AVGO: 2.86%, AXP: 0.34%, BA: 0.26%, BAC: 0.63%, BKNG: 0.28%, BLK: 0.26%, BMY: 0.16%, BRK/B: 1.55%, C: 0.32%, CAT: 0.44%, CB: 0.18%, CL: 0.11%, CMCSA: 0.17%, COP: 0.19%, COST: 0.72%, CRM: 0.42%, CSCO: 0.50%, CVS: 0.17%, CVX: 0.51%, DE: 0.20%, DHR: 0.24%, DIS: 0.35%, DUK: 0.17%, ELV: 0.12%, EMR: 0.13%, ETN: 0.25%, FDX: 0.09%, GE: 0.56%, GILD: 0.26%, GOOG: 2.25%, GS: 0.41%, HD: 0.66%, HON: 0.22%, IBM: 0.48%, INTC: 0.28%, INTU: 0.32%, ISRG: 0.33%, JNJ: 0.78%, JPM: 1.47%, KO: 0.46%, LIN: 0.34%, LLY: 1.25%, LMT: 0.17%, LOW: 0.23%, MA: 0.79%, MCD: 0.37%, MDLZ: 0.13%, MDT: 0.20%, MET: 0.08%, META: 2.35%, MMM: 0.15%, MO: 0.17%, MRK: 0.36%, MS: 0.34%, MSFT: 6.62%, NEE: 0.29%, NFLX: 0.80%, NKE: 0.13%, NOW: 0.32%, NVDA: 8.39%, ORCL: 0.71%, PEP: 0.34%, PFE: 0.24%, PG: 0.60%, PLTR: 0.75%, PM: 0.40%, PYPL: 0.11%, QCOM: 0.32%, RTX: 0.41%, SBUX: 0.16%, SCHW: 0.28%, SO: 0.18%, SOLS: 0.01%, SPGI: 0.27%, T: 0.30%, TGT: 0.07%, TJX: 0.27%, TMO: 0.37%, TSLA: 2.16%, TXN: 0.25%, UBER: 0.34%, UNH: 0.52%, UNP: 0.23%, UPS: 0.12%, USB: 0.12%, V: 1.00%, VZ: 0.29%, WFC: 0.48%, WM: 0.13%, WMT: 0.78%, XOM: 0.84%</t>
        </is>
      </c>
      <c r="Q13" t="inlineStr">
        <is>
          <t>JPM (2.43%)</t>
        </is>
      </c>
      <c r="R13" t="inlineStr">
        <is>
          <t>CSCO (2.10%)</t>
        </is>
      </c>
    </row>
    <row r="14">
      <c r="A14" s="2" t="n">
        <v>45966</v>
      </c>
      <c r="B14" t="inlineStr">
        <is>
          <t>FGSI</t>
        </is>
      </c>
      <c r="C14" t="inlineStr">
        <is>
          <t>PASS</t>
        </is>
      </c>
      <c r="D14" s="3">
        <f>IF(I14/H14&gt;=0.5,"PASS","FAIL")</f>
        <v/>
      </c>
      <c r="E14" s="3">
        <f>IF(L14&lt;=0.5,"PASS","FAIL")</f>
        <v/>
      </c>
      <c r="F14" t="inlineStr">
        <is>
          <t>PASS</t>
        </is>
      </c>
      <c r="G14" t="inlineStr">
        <is>
          <t>PASS</t>
        </is>
      </c>
      <c r="H14" s="3" t="n">
        <v>3044137.35</v>
      </c>
      <c r="I14" s="3" t="n">
        <v>3031595.396999999</v>
      </c>
      <c r="J14" s="3" t="n">
        <v>71.01000000000001</v>
      </c>
      <c r="K14" s="5" t="n">
        <v>152206.8675</v>
      </c>
      <c r="L14" s="5" t="n">
        <v>0</v>
      </c>
      <c r="M14" s="3" t="n">
        <v>0</v>
      </c>
      <c r="N14" t="inlineStr">
        <is>
          <t>None</t>
        </is>
      </c>
      <c r="O14" s="5" t="n">
        <v>0</v>
      </c>
      <c r="P14" t="inlineStr">
        <is>
          <t>None</t>
        </is>
      </c>
      <c r="Q14" t="inlineStr">
        <is>
          <t>MPWR (2.01%)</t>
        </is>
      </c>
      <c r="R14" t="inlineStr">
        <is>
          <t>INTU (2.00%)</t>
        </is>
      </c>
    </row>
    <row r="15">
      <c r="A15" s="2" t="n">
        <v>45966</v>
      </c>
      <c r="B15" t="inlineStr">
        <is>
          <t>P2726</t>
        </is>
      </c>
      <c r="C15" t="inlineStr">
        <is>
          <t>PASS</t>
        </is>
      </c>
      <c r="D15" s="3">
        <f>IF(I15/H15&gt;=0.5,"PASS","FAIL")</f>
        <v/>
      </c>
      <c r="E15" s="3">
        <f>IF(L15&lt;=0.5,"PASS","FAIL")</f>
        <v/>
      </c>
      <c r="F15" t="inlineStr">
        <is>
          <t>PASS</t>
        </is>
      </c>
      <c r="G15" t="inlineStr">
        <is>
          <t>PASS</t>
        </is>
      </c>
      <c r="H15" s="3" t="n">
        <v>34420727.6</v>
      </c>
      <c r="I15" s="3" t="n">
        <v>34171379.73995</v>
      </c>
      <c r="J15" s="3" t="n">
        <v>2366.08</v>
      </c>
      <c r="K15" s="5" t="n">
        <v>1721036.38</v>
      </c>
      <c r="L15" s="5" t="n">
        <v>0.3012934991308425</v>
      </c>
      <c r="M15" s="3" t="n">
        <v>4</v>
      </c>
      <c r="N15" t="inlineStr">
        <is>
          <t>(NVDA, 9.28%), (AAPL, 7.90%), (MSFT, 7.30%), (GOOGLE, 5.65%)</t>
        </is>
      </c>
      <c r="O15" s="5" t="n">
        <v>0.0350373450545537</v>
      </c>
      <c r="P15" t="inlineStr">
        <is>
          <t>AAPL: 6.93%, ABBV: 0.66%, ABT: 0.38%, ACN: 0.26%, ADBE: 0.25%, AMAT: 0.32%, AMD: 0.70%, AMGN: 0.28%, AMT: 0.15%, AMZN: 4.19%, AVGO: 2.86%, AXP: 0.34%, BA: 0.26%, BAC: 0.63%, BKNG: 0.28%, BLK: 0.26%, BMY: 0.16%, BRK/B: 1.55%, C: 0.32%, CAT: 0.44%, CB: 0.18%, CL: 0.11%, CMCSA: 0.17%, COP: 0.19%, COST: 0.72%, CRM: 0.42%, CSCO: 0.50%, CVS: 0.17%, CVX: 0.51%, DE: 0.20%, DHR: 0.24%, DIS: 0.35%, DUK: 0.17%, ELV: 0.12%, EMR: 0.13%, ETN: 0.25%, FDX: 0.09%, GE: 0.56%, GILD: 0.26%, GOOG: 2.25%, GS: 0.41%, HD: 0.66%, HON: 0.22%, IBM: 0.48%, INTC: 0.28%, INTU: 0.32%, ISRG: 0.33%, JNJ: 0.78%, JPM: 1.47%, KO: 0.46%, LIN: 0.34%, LLY: 1.25%, LMT: 0.17%, LOW: 0.23%, MA: 0.79%, MCD: 0.37%, MDLZ: 0.13%, MDT: 0.20%, MET: 0.08%, META: 2.35%, MMM: 0.15%, MO: 0.17%, MRK: 0.36%, MS: 0.34%, MSFT: 6.62%, NEE: 0.29%, NFLX: 0.80%, NKE: 0.13%, NOW: 0.32%, NVDA: 8.39%, ORCL: 0.71%, PEP: 0.34%, PFE: 0.24%, PG: 0.60%, PLTR: 0.75%, PM: 0.40%, PYPL: 0.11%, QCOM: 0.32%, RTX: 0.41%, SBUX: 0.16%, SCHW: 0.28%, SO: 0.18%, SOLS: 0.01%, SPGI: 0.27%, T: 0.30%, TGT: 0.07%, TJX: 0.27%, TMO: 0.37%, TSLA: 2.16%, TXN: 0.25%, UBER: 0.34%, UNH: 0.52%, UNP: 0.23%, UPS: 0.12%, USB: 0.12%, V: 1.00%, VZ: 0.29%, WFC: 0.48%, WM: 0.13%, WMT: 0.78%, XOM: 0.84%</t>
        </is>
      </c>
      <c r="Q15" t="inlineStr">
        <is>
          <t>V (1.86%)</t>
        </is>
      </c>
      <c r="R15" t="inlineStr">
        <is>
          <t>LIN (1.69%)</t>
        </is>
      </c>
    </row>
    <row r="16">
      <c r="A16" s="2" t="n">
        <v>45966</v>
      </c>
      <c r="B16" t="inlineStr">
        <is>
          <t>FDND</t>
        </is>
      </c>
      <c r="C16" t="inlineStr">
        <is>
          <t>PASS</t>
        </is>
      </c>
      <c r="D16" s="3">
        <f>IF(I16/H16&gt;=0.5,"PASS","FAIL")</f>
        <v/>
      </c>
      <c r="E16" s="3">
        <f>IF(L16&lt;=0.5,"PASS","FAIL")</f>
        <v/>
      </c>
      <c r="F16" t="inlineStr">
        <is>
          <t>PASS</t>
        </is>
      </c>
      <c r="G16" t="inlineStr">
        <is>
          <t>PASS</t>
        </is>
      </c>
      <c r="H16" s="3" t="n">
        <v>10546876.15</v>
      </c>
      <c r="I16" s="3" t="n">
        <v>10523131.71</v>
      </c>
      <c r="J16" s="3" t="n">
        <v>216.88</v>
      </c>
      <c r="K16" s="5" t="n">
        <v>527343.8075</v>
      </c>
      <c r="L16" s="5" t="n">
        <v>0.4631367370039174</v>
      </c>
      <c r="M16" s="3" t="n">
        <v>5</v>
      </c>
      <c r="N16" t="inlineStr">
        <is>
          <t>(GOOGLE, 12.15%), (AMZN, 11.10%), (NFLX, 8.94%), (META, 8.64%), (CSCO, 5.47%)</t>
        </is>
      </c>
      <c r="O16" s="5" t="n">
        <v>0</v>
      </c>
      <c r="P16" t="inlineStr">
        <is>
          <t>None</t>
        </is>
      </c>
      <c r="Q16" t="inlineStr">
        <is>
          <t>CRM (4.79%)</t>
        </is>
      </c>
      <c r="R16" t="inlineStr">
        <is>
          <t>ANET (4.28%)</t>
        </is>
      </c>
    </row>
    <row r="17">
      <c r="A17" s="2" t="n">
        <v>45966</v>
      </c>
      <c r="B17" t="inlineStr">
        <is>
          <t>SDVD</t>
        </is>
      </c>
      <c r="C17" t="inlineStr">
        <is>
          <t>PASS</t>
        </is>
      </c>
      <c r="D17" s="3">
        <f>IF(I17/H17&gt;=0.5,"PASS","FAIL")</f>
        <v/>
      </c>
      <c r="E17" s="3">
        <f>IF(L17&lt;=0.5,"PASS","FAIL")</f>
        <v/>
      </c>
      <c r="F17" t="inlineStr">
        <is>
          <t>PASS</t>
        </is>
      </c>
      <c r="G17" t="inlineStr">
        <is>
          <t>PASS</t>
        </is>
      </c>
      <c r="H17" s="3" t="n">
        <v>666356443.99</v>
      </c>
      <c r="I17" s="3" t="n">
        <v>664032532.76</v>
      </c>
      <c r="J17" s="3" t="n">
        <v>15304.68</v>
      </c>
      <c r="K17" s="5" t="n">
        <v>33317822.1995</v>
      </c>
      <c r="L17" s="5" t="n">
        <v>0</v>
      </c>
      <c r="M17" s="3" t="n">
        <v>0</v>
      </c>
      <c r="N17" t="inlineStr">
        <is>
          <t>None</t>
        </is>
      </c>
      <c r="O17" s="5" t="n">
        <v>0</v>
      </c>
      <c r="P17" t="inlineStr">
        <is>
          <t>None</t>
        </is>
      </c>
      <c r="Q17" t="inlineStr">
        <is>
          <t>PRI (0.75%)</t>
        </is>
      </c>
      <c r="R17" t="inlineStr">
        <is>
          <t>HBAN (0.75%)</t>
        </is>
      </c>
    </row>
    <row r="18">
      <c r="A18" s="2" t="n">
        <v>45966</v>
      </c>
      <c r="B18" t="inlineStr">
        <is>
          <t>RDVI</t>
        </is>
      </c>
      <c r="C18" t="inlineStr">
        <is>
          <t>PASS</t>
        </is>
      </c>
      <c r="D18" s="3">
        <f>IF(I18/H18&gt;=0.5,"PASS","FAIL")</f>
        <v/>
      </c>
      <c r="E18" s="3">
        <f>IF(L18&lt;=0.5,"PASS","FAIL")</f>
        <v/>
      </c>
      <c r="F18" t="inlineStr">
        <is>
          <t>PASS</t>
        </is>
      </c>
      <c r="G18" t="inlineStr">
        <is>
          <t>PASS</t>
        </is>
      </c>
      <c r="H18" s="3" t="n">
        <v>2458207046.41</v>
      </c>
      <c r="I18" s="3" t="n">
        <v>2448884480.855</v>
      </c>
      <c r="J18" s="3" t="n">
        <v>49956.07</v>
      </c>
      <c r="K18" s="5" t="n">
        <v>122910352.3205</v>
      </c>
      <c r="L18" s="5" t="n">
        <v>0</v>
      </c>
      <c r="M18" s="3" t="n">
        <v>0</v>
      </c>
      <c r="N18" t="inlineStr">
        <is>
          <t>None</t>
        </is>
      </c>
      <c r="O18" s="5" t="n">
        <v>0</v>
      </c>
      <c r="P18" t="inlineStr">
        <is>
          <t>None</t>
        </is>
      </c>
      <c r="Q18" t="inlineStr">
        <is>
          <t>UNM (1.85%)</t>
        </is>
      </c>
      <c r="R18" t="inlineStr">
        <is>
          <t>CB (1.84%)</t>
        </is>
      </c>
    </row>
    <row r="19">
      <c r="A19" t="inlineStr">
        <is>
          <t>* IRS Condition 1: 90% of income must come from qualifying sources.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row>
    <row r="20">
      <c r="A20" t="inlineStr">
        <is>
          <t>* IRS Condition 2a: At least 50% of assets must be allocated to qualifying securities.</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row>
    <row r="21">
      <c r="A21" t="inlineStr">
        <is>
          <t>* IRS Condition 2a5: for 50% of portfolio, no issuer is more than 5% of fund assets.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is>
          <t>* IRS Condition 2a10: for 50% of portfolio, fund doesn't hold more than 10% of any issuer's outstanding float.</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row>
    <row r="23">
      <c r="A23" t="inlineStr">
        <is>
          <t>* IRS Condition 2b: No single issuer may constitute more than 25% of assets.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50" customWidth="1" min="1" max="1"/>
    <col width="8" customWidth="1" min="2" max="2"/>
    <col width="15" customWidth="1" min="3" max="3"/>
    <col width="22" customWidth="1" min="4" max="4"/>
    <col width="21" customWidth="1" min="5" max="5"/>
    <col width="28" customWidth="1" min="6" max="6"/>
    <col width="30" customWidth="1" min="7" max="7"/>
    <col width="32" customWidth="1" min="8" max="8"/>
  </cols>
  <sheetData>
    <row r="1">
      <c r="A1" s="1" t="inlineStr">
        <is>
          <t>Date</t>
        </is>
      </c>
      <c r="B1" s="1" t="inlineStr">
        <is>
          <t>Fund</t>
        </is>
      </c>
      <c r="C1" s="1" t="inlineStr">
        <is>
          <t>Total Assets</t>
        </is>
      </c>
      <c r="D1" s="1" t="inlineStr">
        <is>
          <t>Total Illiquid Value</t>
        </is>
      </c>
      <c r="E1" s="1" t="inlineStr">
        <is>
          <t>Illiquid Percentage</t>
        </is>
      </c>
      <c r="F1" s="1" t="inlineStr">
        <is>
          <t>Equity Holdings Percentage</t>
        </is>
      </c>
      <c r="G1" s="1" t="inlineStr">
        <is>
          <t>Max 15% Illiquid Compliance</t>
        </is>
      </c>
      <c r="H1" s="1" t="inlineStr">
        <is>
          <t>Equity Holdings 85% Compliance</t>
        </is>
      </c>
    </row>
    <row r="2">
      <c r="A2" s="2" t="n">
        <v>45966</v>
      </c>
      <c r="B2" t="inlineStr">
        <is>
          <t>KNG</t>
        </is>
      </c>
      <c r="C2" s="3" t="n">
        <v>3507358501</v>
      </c>
      <c r="D2" s="3" t="n">
        <v>0</v>
      </c>
      <c r="E2" s="5" t="n">
        <v>0</v>
      </c>
      <c r="F2" s="5" t="n">
        <v>0.9972526692303473</v>
      </c>
      <c r="G2" s="3">
        <f>IF(E2&lt;=0.15,"PASS","FAIL")</f>
        <v/>
      </c>
      <c r="H2" s="3">
        <f>IF(F2&gt;=0.85,"PASS","FAIL")</f>
        <v/>
      </c>
    </row>
    <row r="3">
      <c r="A3" s="2" t="n">
        <v>45966</v>
      </c>
      <c r="B3" t="inlineStr">
        <is>
          <t>P30128</t>
        </is>
      </c>
      <c r="C3" s="3" t="n">
        <v>40395197.17</v>
      </c>
      <c r="D3" s="3" t="n">
        <v>0</v>
      </c>
      <c r="E3" s="5" t="n">
        <v>0</v>
      </c>
      <c r="F3" s="5" t="n">
        <v>0.8749822693339756</v>
      </c>
      <c r="G3" s="3">
        <f>IF(E3&lt;=0.15,"PASS","FAIL")</f>
        <v/>
      </c>
      <c r="H3" s="3">
        <f>IF(F3&gt;=0.85,"PASS","FAIL")</f>
        <v/>
      </c>
    </row>
    <row r="4">
      <c r="A4" s="2" t="n">
        <v>45966</v>
      </c>
      <c r="B4" t="inlineStr">
        <is>
          <t>TR2B1</t>
        </is>
      </c>
      <c r="C4" s="3" t="n">
        <v>135425970.28</v>
      </c>
      <c r="D4" s="3" t="n">
        <v>0</v>
      </c>
      <c r="E4" s="5" t="n">
        <v>0</v>
      </c>
      <c r="F4" s="5" t="n">
        <v>0.9187809301476025</v>
      </c>
      <c r="G4" s="3">
        <f>IF(E4&lt;=0.15,"PASS","FAIL")</f>
        <v/>
      </c>
      <c r="H4" s="3">
        <f>IF(F4&gt;=0.85,"PASS","FAIL")</f>
        <v/>
      </c>
    </row>
    <row r="5">
      <c r="A5" s="2" t="n">
        <v>45966</v>
      </c>
      <c r="B5" t="inlineStr">
        <is>
          <t>DOGG</t>
        </is>
      </c>
      <c r="C5" s="3" t="n">
        <v>52353768.7</v>
      </c>
      <c r="D5" s="3" t="n">
        <v>0</v>
      </c>
      <c r="E5" s="5" t="n">
        <v>0</v>
      </c>
      <c r="F5" s="5" t="n">
        <v>0.3536596672934454</v>
      </c>
      <c r="G5" s="3">
        <f>IF(E5&lt;=0.15,"PASS","FAIL")</f>
        <v/>
      </c>
      <c r="H5" s="3">
        <f>IF(F5&gt;=0.85,"PASS","FAIL")</f>
        <v/>
      </c>
    </row>
    <row r="6">
      <c r="A6" s="2" t="n">
        <v>45966</v>
      </c>
      <c r="B6" t="inlineStr">
        <is>
          <t>P3727</t>
        </is>
      </c>
      <c r="C6" s="3" t="n">
        <v>79127966.86</v>
      </c>
      <c r="D6" s="3" t="n">
        <v>0</v>
      </c>
      <c r="E6" s="5" t="n">
        <v>0</v>
      </c>
      <c r="F6" s="5" t="n">
        <v>0.914382775662789</v>
      </c>
      <c r="G6" s="3">
        <f>IF(E6&lt;=0.15,"PASS","FAIL")</f>
        <v/>
      </c>
      <c r="H6" s="3">
        <f>IF(F6&gt;=0.85,"PASS","FAIL")</f>
        <v/>
      </c>
    </row>
    <row r="7">
      <c r="A7" s="2" t="n">
        <v>45966</v>
      </c>
      <c r="B7" t="inlineStr">
        <is>
          <t>HE3B2</t>
        </is>
      </c>
      <c r="C7" s="3" t="n">
        <v>24562469.76</v>
      </c>
      <c r="D7" s="3" t="n">
        <v>0</v>
      </c>
      <c r="E7" s="5" t="n">
        <v>0</v>
      </c>
      <c r="F7" s="5" t="n">
        <v>0.8522912530600505</v>
      </c>
      <c r="G7" s="3">
        <f>IF(E7&lt;=0.15,"PASS","FAIL")</f>
        <v/>
      </c>
      <c r="H7" s="3">
        <f>IF(F7&gt;=0.85,"PASS","FAIL")</f>
        <v/>
      </c>
    </row>
    <row r="8">
      <c r="A8" s="2" t="n">
        <v>45966</v>
      </c>
      <c r="B8" t="inlineStr">
        <is>
          <t>TR2B2</t>
        </is>
      </c>
      <c r="C8" s="3" t="n">
        <v>165234594.9</v>
      </c>
      <c r="D8" s="3" t="n">
        <v>0</v>
      </c>
      <c r="E8" s="5" t="n">
        <v>0</v>
      </c>
      <c r="F8" s="5" t="n">
        <v>0.8696029722889466</v>
      </c>
      <c r="G8" s="3">
        <f>IF(E8&lt;=0.15,"PASS","FAIL")</f>
        <v/>
      </c>
      <c r="H8" s="3">
        <f>IF(F8&gt;=0.85,"PASS","FAIL")</f>
        <v/>
      </c>
    </row>
    <row r="9">
      <c r="A9" s="2" t="n">
        <v>45966</v>
      </c>
      <c r="B9" t="inlineStr">
        <is>
          <t>TDVI</t>
        </is>
      </c>
      <c r="C9" s="3" t="n">
        <v>199592567.27</v>
      </c>
      <c r="D9" s="3" t="n">
        <v>0</v>
      </c>
      <c r="E9" s="5" t="n">
        <v>0</v>
      </c>
      <c r="F9" s="5" t="n">
        <v>0.9966067555858236</v>
      </c>
      <c r="G9" s="3">
        <f>IF(E9&lt;=0.15,"PASS","FAIL")</f>
        <v/>
      </c>
      <c r="H9" s="3">
        <f>IF(F9&gt;=0.85,"PASS","FAIL")</f>
        <v/>
      </c>
    </row>
    <row r="10">
      <c r="A10" s="2" t="n">
        <v>45966</v>
      </c>
      <c r="B10" t="inlineStr">
        <is>
          <t>P21026</t>
        </is>
      </c>
      <c r="C10" s="3" t="n">
        <v>23354046.68</v>
      </c>
      <c r="D10" s="3" t="n">
        <v>0</v>
      </c>
      <c r="E10" s="5" t="n">
        <v>0</v>
      </c>
      <c r="F10" s="5" t="n">
        <v>0.927884673132802</v>
      </c>
      <c r="G10" s="3">
        <f>IF(E10&lt;=0.15,"PASS","FAIL")</f>
        <v/>
      </c>
      <c r="H10" s="3">
        <f>IF(F10&gt;=0.85,"PASS","FAIL")</f>
        <v/>
      </c>
    </row>
    <row r="11">
      <c r="A11" s="2" t="n">
        <v>45966</v>
      </c>
      <c r="B11" t="inlineStr">
        <is>
          <t>HE3B1</t>
        </is>
      </c>
      <c r="C11" s="3" t="n">
        <v>43655547.47</v>
      </c>
      <c r="D11" s="3" t="n">
        <v>0</v>
      </c>
      <c r="E11" s="5" t="n">
        <v>0</v>
      </c>
      <c r="F11" s="5" t="n">
        <v>0.8817183817578179</v>
      </c>
      <c r="G11" s="3">
        <f>IF(E11&lt;=0.15,"PASS","FAIL")</f>
        <v/>
      </c>
      <c r="H11" s="3">
        <f>IF(F11&gt;=0.85,"PASS","FAIL")</f>
        <v/>
      </c>
    </row>
    <row r="12">
      <c r="A12" s="2" t="n">
        <v>45966</v>
      </c>
      <c r="B12" t="inlineStr">
        <is>
          <t>R21126</t>
        </is>
      </c>
      <c r="C12" s="3" t="n">
        <v>53514033.56</v>
      </c>
      <c r="D12" s="3" t="n">
        <v>0</v>
      </c>
      <c r="E12" s="5" t="n">
        <v>0</v>
      </c>
      <c r="F12" s="5" t="n">
        <v>0.9239809515491136</v>
      </c>
      <c r="G12" s="3">
        <f>IF(E12&lt;=0.15,"PASS","FAIL")</f>
        <v/>
      </c>
      <c r="H12" s="3">
        <f>IF(F12&gt;=0.85,"PASS","FAIL")</f>
        <v/>
      </c>
    </row>
    <row r="13">
      <c r="A13" s="2" t="n">
        <v>45966</v>
      </c>
      <c r="B13" t="inlineStr">
        <is>
          <t>P31027</t>
        </is>
      </c>
      <c r="C13" s="3" t="n">
        <v>15561558.53</v>
      </c>
      <c r="D13" s="3" t="n">
        <v>0</v>
      </c>
      <c r="E13" s="5" t="n">
        <v>0</v>
      </c>
      <c r="F13" s="5" t="n">
        <v>0.8928323916409162</v>
      </c>
      <c r="G13" s="3">
        <f>IF(E13&lt;=0.15,"PASS","FAIL")</f>
        <v/>
      </c>
      <c r="H13" s="3">
        <f>IF(F13&gt;=0.85,"PASS","FAIL")</f>
        <v/>
      </c>
    </row>
    <row r="14">
      <c r="A14" s="2" t="n">
        <v>45966</v>
      </c>
      <c r="B14" t="inlineStr">
        <is>
          <t>FGSI</t>
        </is>
      </c>
      <c r="C14" s="3" t="n">
        <v>3044137.35</v>
      </c>
      <c r="D14" s="3" t="n">
        <v>0</v>
      </c>
      <c r="E14" s="5" t="n">
        <v>0</v>
      </c>
      <c r="F14" s="5" t="n">
        <v>0.9960386304514152</v>
      </c>
      <c r="G14" s="3">
        <f>IF(E14&lt;=0.15,"PASS","FAIL")</f>
        <v/>
      </c>
      <c r="H14" s="3">
        <f>IF(F14&gt;=0.85,"PASS","FAIL")</f>
        <v/>
      </c>
    </row>
    <row r="15">
      <c r="A15" s="2" t="n">
        <v>45966</v>
      </c>
      <c r="B15" t="inlineStr">
        <is>
          <t>P2726</t>
        </is>
      </c>
      <c r="C15" s="3" t="n">
        <v>34420727.6</v>
      </c>
      <c r="D15" s="3" t="n">
        <v>0</v>
      </c>
      <c r="E15" s="5" t="n">
        <v>0</v>
      </c>
      <c r="F15" s="5" t="n">
        <v>0.9577185355605323</v>
      </c>
      <c r="G15" s="3">
        <f>IF(E15&lt;=0.15,"PASS","FAIL")</f>
        <v/>
      </c>
      <c r="H15" s="3">
        <f>IF(F15&gt;=0.85,"PASS","FAIL")</f>
        <v/>
      </c>
    </row>
    <row r="16">
      <c r="A16" s="2" t="n">
        <v>45966</v>
      </c>
      <c r="B16" t="inlineStr">
        <is>
          <t>FDND</t>
        </is>
      </c>
      <c r="C16" s="3" t="n">
        <v>10546876.15</v>
      </c>
      <c r="D16" s="3" t="n">
        <v>0</v>
      </c>
      <c r="E16" s="5" t="n">
        <v>0</v>
      </c>
      <c r="F16" s="5" t="n">
        <v>0.9980255347930674</v>
      </c>
      <c r="G16" s="3">
        <f>IF(E16&lt;=0.15,"PASS","FAIL")</f>
        <v/>
      </c>
      <c r="H16" s="3">
        <f>IF(F16&gt;=0.85,"PASS","FAIL")</f>
        <v/>
      </c>
    </row>
    <row r="17">
      <c r="A17" s="2" t="n">
        <v>45966</v>
      </c>
      <c r="B17" t="inlineStr">
        <is>
          <t>SDVD</t>
        </is>
      </c>
      <c r="C17" s="3" t="n">
        <v>666356443.99</v>
      </c>
      <c r="D17" s="3" t="n">
        <v>0</v>
      </c>
      <c r="E17" s="5" t="n">
        <v>0</v>
      </c>
      <c r="F17" s="5" t="n">
        <v>0.9971317734716336</v>
      </c>
      <c r="G17" s="3">
        <f>IF(E17&lt;=0.15,"PASS","FAIL")</f>
        <v/>
      </c>
      <c r="H17" s="3">
        <f>IF(F17&gt;=0.85,"PASS","FAIL")</f>
        <v/>
      </c>
    </row>
    <row r="18">
      <c r="A18" s="2" t="n">
        <v>45966</v>
      </c>
      <c r="B18" t="inlineStr">
        <is>
          <t>RDVI</t>
        </is>
      </c>
      <c r="C18" s="3" t="n">
        <v>2458207046.41</v>
      </c>
      <c r="D18" s="3" t="n">
        <v>0</v>
      </c>
      <c r="E18" s="5" t="n">
        <v>0</v>
      </c>
      <c r="F18" s="5" t="n">
        <v>0.9964042937034503</v>
      </c>
      <c r="G18" s="3">
        <f>IF(E18&lt;=0.15,"PASS","FAIL")</f>
        <v/>
      </c>
      <c r="H18" s="3">
        <f>IF(F18&gt;=0.85,"PASS","FAIL")</f>
        <v/>
      </c>
    </row>
    <row r="19">
      <c r="A19" t="inlineStr">
        <is>
          <t>* We search for tags in Bloomberg for any illiquid or restricted securities.</t>
        </is>
      </c>
      <c r="B19" t="inlineStr"/>
      <c r="C19" t="inlineStr"/>
      <c r="D19" t="inlineStr"/>
      <c r="E19" t="inlineStr"/>
      <c r="F19" t="inlineStr"/>
      <c r="G19" t="inlineStr"/>
      <c r="H19" t="inlineStr"/>
    </row>
    <row r="20">
      <c r="A20" t="inlineStr">
        <is>
          <t>* If none, it reports 'None'.</t>
        </is>
      </c>
      <c r="B20" t="inlineStr"/>
      <c r="C20" t="inlineStr"/>
      <c r="D20" t="inlineStr"/>
      <c r="E20" t="inlineStr"/>
      <c r="F20" t="inlineStr"/>
      <c r="G20" t="inlineStr"/>
      <c r="H2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50" customWidth="1" min="1" max="1"/>
    <col width="8" customWidth="1" min="2" max="2"/>
    <col width="22" customWidth="1" min="3" max="3"/>
    <col width="20" customWidth="1" min="4" max="4"/>
  </cols>
  <sheetData>
    <row r="1">
      <c r="A1" s="1" t="inlineStr">
        <is>
          <t>Date</t>
        </is>
      </c>
      <c r="B1" s="1" t="inlineStr">
        <is>
          <t>Fund</t>
        </is>
      </c>
      <c r="C1" s="1" t="inlineStr">
        <is>
          <t>Real Estate Exposure</t>
        </is>
      </c>
      <c r="D1" s="1" t="inlineStr">
        <is>
          <t>Total Exposure</t>
        </is>
      </c>
    </row>
    <row r="2">
      <c r="A2" s="2" t="n">
        <v>45966</v>
      </c>
      <c r="B2" t="inlineStr">
        <is>
          <t>KNG</t>
        </is>
      </c>
      <c r="C2" s="3" t="n">
        <v>0.04234500425325918</v>
      </c>
      <c r="D2" s="3" t="n">
        <v>3497722627.07</v>
      </c>
    </row>
    <row r="3">
      <c r="A3" s="2" t="n">
        <v>45966</v>
      </c>
      <c r="B3" t="inlineStr">
        <is>
          <t>P30128</t>
        </is>
      </c>
      <c r="C3" s="3" t="n">
        <v>0.01439193323185027</v>
      </c>
      <c r="D3" s="3" t="n">
        <v>35345081.28999999</v>
      </c>
    </row>
    <row r="4">
      <c r="A4" s="2" t="n">
        <v>45966</v>
      </c>
      <c r="B4" t="inlineStr">
        <is>
          <t>TR2B1</t>
        </is>
      </c>
      <c r="C4" s="3" t="n">
        <v>0.01439456994199195</v>
      </c>
      <c r="D4" s="3" t="n">
        <v>124426798.94</v>
      </c>
    </row>
    <row r="5">
      <c r="A5" s="2" t="n">
        <v>45966</v>
      </c>
      <c r="B5" t="inlineStr">
        <is>
          <t>DOGG</t>
        </is>
      </c>
      <c r="C5" s="3" t="n">
        <v>0</v>
      </c>
      <c r="D5" s="3" t="n">
        <v>18515416.42</v>
      </c>
    </row>
    <row r="6">
      <c r="A6" s="2" t="n">
        <v>45966</v>
      </c>
      <c r="B6" t="inlineStr">
        <is>
          <t>P3727</t>
        </is>
      </c>
      <c r="C6" s="3" t="n">
        <v>0.01439343388765264</v>
      </c>
      <c r="D6" s="3" t="n">
        <v>72353249.96999998</v>
      </c>
    </row>
    <row r="7">
      <c r="A7" s="2" t="n">
        <v>45966</v>
      </c>
      <c r="B7" t="inlineStr">
        <is>
          <t>HE3B2</t>
        </is>
      </c>
      <c r="C7" s="3" t="n">
        <v>0.01439939596619869</v>
      </c>
      <c r="D7" s="3" t="n">
        <v>20934378.13</v>
      </c>
    </row>
    <row r="8">
      <c r="A8" s="2" t="n">
        <v>45966</v>
      </c>
      <c r="B8" t="inlineStr">
        <is>
          <t>TR2B2</t>
        </is>
      </c>
      <c r="C8" s="3" t="n">
        <v>0.01439301164758495</v>
      </c>
      <c r="D8" s="3" t="n">
        <v>143688494.85</v>
      </c>
    </row>
    <row r="9">
      <c r="A9" s="2" t="n">
        <v>45966</v>
      </c>
      <c r="B9" t="inlineStr">
        <is>
          <t>TDVI</t>
        </is>
      </c>
      <c r="C9" s="3" t="n">
        <v>0</v>
      </c>
      <c r="D9" s="3" t="n">
        <v>198915300.906</v>
      </c>
    </row>
    <row r="10">
      <c r="A10" s="2" t="n">
        <v>45966</v>
      </c>
      <c r="B10" t="inlineStr">
        <is>
          <t>P21026</t>
        </is>
      </c>
      <c r="C10" s="3" t="n">
        <v>0.01439920431574397</v>
      </c>
      <c r="D10" s="3" t="n">
        <v>21669861.97</v>
      </c>
    </row>
    <row r="11">
      <c r="A11" s="2" t="n">
        <v>45966</v>
      </c>
      <c r="B11" t="inlineStr">
        <is>
          <t>HE3B1</t>
        </is>
      </c>
      <c r="C11" s="3" t="n">
        <v>0.01439005165083482</v>
      </c>
      <c r="D11" s="3" t="n">
        <v>38491898.67</v>
      </c>
    </row>
    <row r="12">
      <c r="A12" s="2" t="n">
        <v>45966</v>
      </c>
      <c r="B12" t="inlineStr">
        <is>
          <t>R21126</t>
        </is>
      </c>
      <c r="C12" s="3" t="n">
        <v>0</v>
      </c>
      <c r="D12" s="3" t="n">
        <v>49445947.65000001</v>
      </c>
    </row>
    <row r="13">
      <c r="A13" s="2" t="n">
        <v>45966</v>
      </c>
      <c r="B13" t="inlineStr">
        <is>
          <t>P31027</t>
        </is>
      </c>
      <c r="C13" s="3" t="n">
        <v>0.01438656855325149</v>
      </c>
      <c r="D13" s="3" t="n">
        <v>13893863.52</v>
      </c>
    </row>
    <row r="14">
      <c r="A14" s="2" t="n">
        <v>45966</v>
      </c>
      <c r="B14" t="inlineStr">
        <is>
          <t>FGSI</t>
        </is>
      </c>
      <c r="C14" s="3" t="n">
        <v>0</v>
      </c>
      <c r="D14" s="3" t="n">
        <v>3032078.397</v>
      </c>
    </row>
    <row r="15">
      <c r="A15" s="2" t="n">
        <v>45966</v>
      </c>
      <c r="B15" t="inlineStr">
        <is>
          <t>P2726</t>
        </is>
      </c>
      <c r="C15" s="3" t="n">
        <v>0.01439669467820725</v>
      </c>
      <c r="D15" s="3" t="n">
        <v>32965368.83</v>
      </c>
    </row>
    <row r="16">
      <c r="A16" s="2" t="n">
        <v>45966</v>
      </c>
      <c r="B16" t="inlineStr">
        <is>
          <t>FDND</t>
        </is>
      </c>
      <c r="C16" s="3" t="n">
        <v>0</v>
      </c>
      <c r="D16" s="3" t="n">
        <v>10526051.71</v>
      </c>
    </row>
    <row r="17">
      <c r="A17" s="2" t="n">
        <v>45966</v>
      </c>
      <c r="B17" t="inlineStr">
        <is>
          <t>SDVD</t>
        </is>
      </c>
      <c r="C17" s="3" t="n">
        <v>0</v>
      </c>
      <c r="D17" s="3" t="n">
        <v>664445182.76</v>
      </c>
    </row>
    <row r="18">
      <c r="A18" s="2" t="n">
        <v>45966</v>
      </c>
      <c r="B18" t="inlineStr">
        <is>
          <t>RDVI</t>
        </is>
      </c>
      <c r="C18" s="3" t="n">
        <v>0</v>
      </c>
      <c r="D18" s="3" t="n">
        <v>2449368055.855</v>
      </c>
    </row>
    <row r="19">
      <c r="A19" t="inlineStr">
        <is>
          <t>* We search for tags in Bloomberg for any fund holdings categorized as real estate.</t>
        </is>
      </c>
      <c r="B19" t="inlineStr"/>
      <c r="C19" t="inlineStr"/>
      <c r="D19" t="inlineStr"/>
    </row>
    <row r="20">
      <c r="A20" t="inlineStr">
        <is>
          <t>* If none, it reports 'None'.</t>
        </is>
      </c>
      <c r="B20" t="inlineStr"/>
      <c r="C20" t="inlineStr"/>
      <c r="D2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50" customWidth="1" min="1" max="1"/>
    <col width="8" customWidth="1" min="2" max="2"/>
    <col width="22" customWidth="1" min="3" max="3"/>
  </cols>
  <sheetData>
    <row r="1">
      <c r="A1" s="1" t="inlineStr">
        <is>
          <t>Date</t>
        </is>
      </c>
      <c r="B1" s="1" t="inlineStr">
        <is>
          <t>Fund</t>
        </is>
      </c>
      <c r="C1" s="1" t="inlineStr">
        <is>
          <t>Commodities Exposure</t>
        </is>
      </c>
    </row>
    <row r="2">
      <c r="A2" s="2" t="n">
        <v>45966</v>
      </c>
      <c r="B2" t="inlineStr">
        <is>
          <t>KNG</t>
        </is>
      </c>
      <c r="C2" s="3" t="n">
        <v>0</v>
      </c>
    </row>
    <row r="3">
      <c r="A3" s="2" t="n">
        <v>45966</v>
      </c>
      <c r="B3" t="inlineStr">
        <is>
          <t>P30128</t>
        </is>
      </c>
      <c r="C3" s="3" t="n">
        <v>0</v>
      </c>
    </row>
    <row r="4">
      <c r="A4" s="2" t="n">
        <v>45966</v>
      </c>
      <c r="B4" t="inlineStr">
        <is>
          <t>TR2B1</t>
        </is>
      </c>
      <c r="C4" s="3" t="n">
        <v>0</v>
      </c>
    </row>
    <row r="5">
      <c r="A5" s="2" t="n">
        <v>45966</v>
      </c>
      <c r="B5" t="inlineStr">
        <is>
          <t>DOGG</t>
        </is>
      </c>
      <c r="C5" s="3" t="n">
        <v>0</v>
      </c>
    </row>
    <row r="6">
      <c r="A6" s="2" t="n">
        <v>45966</v>
      </c>
      <c r="B6" t="inlineStr">
        <is>
          <t>P3727</t>
        </is>
      </c>
      <c r="C6" s="3" t="n">
        <v>0</v>
      </c>
    </row>
    <row r="7">
      <c r="A7" s="2" t="n">
        <v>45966</v>
      </c>
      <c r="B7" t="inlineStr">
        <is>
          <t>HE3B2</t>
        </is>
      </c>
      <c r="C7" s="3" t="n">
        <v>0</v>
      </c>
    </row>
    <row r="8">
      <c r="A8" s="2" t="n">
        <v>45966</v>
      </c>
      <c r="B8" t="inlineStr">
        <is>
          <t>TR2B2</t>
        </is>
      </c>
      <c r="C8" s="3" t="n">
        <v>0</v>
      </c>
    </row>
    <row r="9">
      <c r="A9" s="2" t="n">
        <v>45966</v>
      </c>
      <c r="B9" t="inlineStr">
        <is>
          <t>TDVI</t>
        </is>
      </c>
      <c r="C9" s="3" t="n">
        <v>0</v>
      </c>
    </row>
    <row r="10">
      <c r="A10" s="2" t="n">
        <v>45966</v>
      </c>
      <c r="B10" t="inlineStr">
        <is>
          <t>P21026</t>
        </is>
      </c>
      <c r="C10" s="3" t="n">
        <v>0</v>
      </c>
    </row>
    <row r="11">
      <c r="A11" s="2" t="n">
        <v>45966</v>
      </c>
      <c r="B11" t="inlineStr">
        <is>
          <t>HE3B1</t>
        </is>
      </c>
      <c r="C11" s="3" t="n">
        <v>0</v>
      </c>
    </row>
    <row r="12">
      <c r="A12" s="2" t="n">
        <v>45966</v>
      </c>
      <c r="B12" t="inlineStr">
        <is>
          <t>R21126</t>
        </is>
      </c>
      <c r="C12" s="3" t="n">
        <v>0</v>
      </c>
    </row>
    <row r="13">
      <c r="A13" s="2" t="n">
        <v>45966</v>
      </c>
      <c r="B13" t="inlineStr">
        <is>
          <t>P31027</t>
        </is>
      </c>
      <c r="C13" s="3" t="n">
        <v>0</v>
      </c>
    </row>
    <row r="14">
      <c r="A14" s="2" t="n">
        <v>45966</v>
      </c>
      <c r="B14" t="inlineStr">
        <is>
          <t>FGSI</t>
        </is>
      </c>
      <c r="C14" s="3" t="n">
        <v>0</v>
      </c>
    </row>
    <row r="15">
      <c r="A15" s="2" t="n">
        <v>45966</v>
      </c>
      <c r="B15" t="inlineStr">
        <is>
          <t>P2726</t>
        </is>
      </c>
      <c r="C15" s="3" t="n">
        <v>0</v>
      </c>
    </row>
    <row r="16">
      <c r="A16" s="2" t="n">
        <v>45966</v>
      </c>
      <c r="B16" t="inlineStr">
        <is>
          <t>FDND</t>
        </is>
      </c>
      <c r="C16" s="3" t="n">
        <v>0</v>
      </c>
    </row>
    <row r="17">
      <c r="A17" s="2" t="n">
        <v>45966</v>
      </c>
      <c r="B17" t="inlineStr">
        <is>
          <t>SDVD</t>
        </is>
      </c>
      <c r="C17" s="3" t="n">
        <v>0</v>
      </c>
    </row>
    <row r="18">
      <c r="A18" s="2" t="n">
        <v>45966</v>
      </c>
      <c r="B18" t="inlineStr">
        <is>
          <t>RDVI</t>
        </is>
      </c>
      <c r="C18" s="3" t="n">
        <v>0</v>
      </c>
    </row>
    <row r="19">
      <c r="A19" t="inlineStr">
        <is>
          <t>* We search for tags in Bloomberg for any fund holdings categorized as commodities.</t>
        </is>
      </c>
      <c r="B19" t="inlineStr"/>
      <c r="C19" t="inlineStr"/>
    </row>
    <row r="20">
      <c r="A20" t="inlineStr">
        <is>
          <t>* If none, it reports 'None'.</t>
        </is>
      </c>
      <c r="B20" t="inlineStr"/>
      <c r="C2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50" customWidth="1" min="1" max="1"/>
    <col width="8" customWidth="1" min="2" max="2"/>
    <col width="15" customWidth="1" min="3" max="3"/>
    <col width="22" customWidth="1" min="4" max="4"/>
    <col width="17" customWidth="1" min="5" max="5"/>
    <col width="25" customWidth="1" min="6" max="6"/>
    <col width="30" customWidth="1" min="7" max="7"/>
    <col width="34" customWidth="1" min="8" max="8"/>
    <col width="34" customWidth="1" min="9" max="9"/>
    <col width="50" customWidth="1" min="10" max="10"/>
  </cols>
  <sheetData>
    <row r="1">
      <c r="A1" s="1" t="inlineStr">
        <is>
          <t>Date</t>
        </is>
      </c>
      <c r="B1" s="1" t="inlineStr">
        <is>
          <t>Fund</t>
        </is>
      </c>
      <c r="C1" s="1" t="inlineStr">
        <is>
          <t>Total Assets</t>
        </is>
      </c>
      <c r="D1" s="1" t="inlineStr">
        <is>
          <t>Investment Companies</t>
        </is>
      </c>
      <c r="E1" s="1" t="inlineStr">
        <is>
          <t>Ownership % Max</t>
        </is>
      </c>
      <c r="F1" s="1" t="inlineStr">
        <is>
          <t>Equity Market Value Sum</t>
        </is>
      </c>
      <c r="G1" s="1" t="inlineStr">
        <is>
          <t>Test 1 (&lt;=3% Ownership)</t>
        </is>
      </c>
      <c r="H1" s="1" t="inlineStr">
        <is>
          <t>Test 2 (&lt;=5% Total Assets)</t>
        </is>
      </c>
      <c r="I1" s="1" t="inlineStr">
        <is>
          <t>Test 3 (&lt;=10% Total Assets)</t>
        </is>
      </c>
      <c r="J1" s="1" t="inlineStr">
        <is>
          <t>12d1(a) Compliant</t>
        </is>
      </c>
    </row>
    <row r="2">
      <c r="A2" s="2" t="n">
        <v>45966</v>
      </c>
      <c r="B2" t="inlineStr">
        <is>
          <t>KNG</t>
        </is>
      </c>
      <c r="C2" s="3" t="n">
        <v>3507358501</v>
      </c>
      <c r="D2" t="inlineStr">
        <is>
          <t>None</t>
        </is>
      </c>
      <c r="E2" s="5" t="n">
        <v>0</v>
      </c>
      <c r="F2" s="3" t="n">
        <v>0</v>
      </c>
      <c r="G2" s="5">
        <f>IF(E2&lt;=0.03,"PASS","FAIL")</f>
        <v/>
      </c>
      <c r="H2" s="3">
        <f>IF(F2/C2&lt;=0.05,"PASS","FAIL")</f>
        <v/>
      </c>
      <c r="I2" s="3">
        <f>IF(F2/C2&lt;=0.10,"PASS","FAIL")</f>
        <v/>
      </c>
      <c r="J2" s="3">
        <f>IF(AND(G2="PASS",H2="PASS",I2="PASS"),"PASS","FAIL")</f>
        <v/>
      </c>
    </row>
    <row r="3">
      <c r="A3" s="2" t="n">
        <v>45966</v>
      </c>
      <c r="B3" t="inlineStr">
        <is>
          <t>P30128</t>
        </is>
      </c>
      <c r="C3" s="3" t="n">
        <v>40395197.17</v>
      </c>
      <c r="D3" t="inlineStr">
        <is>
          <t>None</t>
        </is>
      </c>
      <c r="E3" s="5" t="n">
        <v>0</v>
      </c>
      <c r="F3" s="3" t="n">
        <v>0</v>
      </c>
      <c r="G3" s="5">
        <f>IF(E3&lt;=0.03,"PASS","FAIL")</f>
        <v/>
      </c>
      <c r="H3" s="3">
        <f>IF(F3/C3&lt;=0.05,"PASS","FAIL")</f>
        <v/>
      </c>
      <c r="I3" s="3">
        <f>IF(F3/C3&lt;=0.10,"PASS","FAIL")</f>
        <v/>
      </c>
      <c r="J3" s="3">
        <f>IF(AND(G3="PASS",H3="PASS",I3="PASS"),"PASS","FAIL")</f>
        <v/>
      </c>
    </row>
    <row r="4">
      <c r="A4" s="2" t="n">
        <v>45966</v>
      </c>
      <c r="B4" t="inlineStr">
        <is>
          <t>TR2B1</t>
        </is>
      </c>
      <c r="C4" s="3" t="n">
        <v>135425970.28</v>
      </c>
      <c r="D4" t="inlineStr">
        <is>
          <t>None</t>
        </is>
      </c>
      <c r="E4" s="5" t="n">
        <v>0</v>
      </c>
      <c r="F4" s="3" t="n">
        <v>0</v>
      </c>
      <c r="G4" s="5">
        <f>IF(E4&lt;=0.03,"PASS","FAIL")</f>
        <v/>
      </c>
      <c r="H4" s="3">
        <f>IF(F4/C4&lt;=0.05,"PASS","FAIL")</f>
        <v/>
      </c>
      <c r="I4" s="3">
        <f>IF(F4/C4&lt;=0.10,"PASS","FAIL")</f>
        <v/>
      </c>
      <c r="J4" s="3">
        <f>IF(AND(G4="PASS",H4="PASS",I4="PASS"),"PASS","FAIL")</f>
        <v/>
      </c>
    </row>
    <row r="5">
      <c r="A5" s="2" t="n">
        <v>45966</v>
      </c>
      <c r="B5" t="inlineStr">
        <is>
          <t>DOGG</t>
        </is>
      </c>
      <c r="C5" s="3" t="n">
        <v>52353768.7</v>
      </c>
      <c r="D5" t="inlineStr">
        <is>
          <t>None</t>
        </is>
      </c>
      <c r="E5" s="5" t="n">
        <v>0</v>
      </c>
      <c r="F5" s="3" t="n">
        <v>0</v>
      </c>
      <c r="G5" s="5">
        <f>IF(E5&lt;=0.03,"PASS","FAIL")</f>
        <v/>
      </c>
      <c r="H5" s="3">
        <f>IF(F5/C5&lt;=0.05,"PASS","FAIL")</f>
        <v/>
      </c>
      <c r="I5" s="3">
        <f>IF(F5/C5&lt;=0.10,"PASS","FAIL")</f>
        <v/>
      </c>
      <c r="J5" s="3">
        <f>IF(AND(G5="PASS",H5="PASS",I5="PASS"),"PASS","FAIL")</f>
        <v/>
      </c>
    </row>
    <row r="6">
      <c r="A6" s="2" t="n">
        <v>45966</v>
      </c>
      <c r="B6" t="inlineStr">
        <is>
          <t>P3727</t>
        </is>
      </c>
      <c r="C6" s="3" t="n">
        <v>79127966.86</v>
      </c>
      <c r="D6" t="inlineStr">
        <is>
          <t>None</t>
        </is>
      </c>
      <c r="E6" s="5" t="n">
        <v>0</v>
      </c>
      <c r="F6" s="3" t="n">
        <v>0</v>
      </c>
      <c r="G6" s="5">
        <f>IF(E6&lt;=0.03,"PASS","FAIL")</f>
        <v/>
      </c>
      <c r="H6" s="3">
        <f>IF(F6/C6&lt;=0.05,"PASS","FAIL")</f>
        <v/>
      </c>
      <c r="I6" s="3">
        <f>IF(F6/C6&lt;=0.10,"PASS","FAIL")</f>
        <v/>
      </c>
      <c r="J6" s="3">
        <f>IF(AND(G6="PASS",H6="PASS",I6="PASS"),"PASS","FAIL")</f>
        <v/>
      </c>
    </row>
    <row r="7">
      <c r="A7" s="2" t="n">
        <v>45966</v>
      </c>
      <c r="B7" t="inlineStr">
        <is>
          <t>HE3B2</t>
        </is>
      </c>
      <c r="C7" s="3" t="n">
        <v>24562469.76</v>
      </c>
      <c r="D7" t="inlineStr">
        <is>
          <t>None</t>
        </is>
      </c>
      <c r="E7" s="5" t="n">
        <v>0</v>
      </c>
      <c r="F7" s="3" t="n">
        <v>0</v>
      </c>
      <c r="G7" s="5">
        <f>IF(E7&lt;=0.03,"PASS","FAIL")</f>
        <v/>
      </c>
      <c r="H7" s="3">
        <f>IF(F7/C7&lt;=0.05,"PASS","FAIL")</f>
        <v/>
      </c>
      <c r="I7" s="3">
        <f>IF(F7/C7&lt;=0.10,"PASS","FAIL")</f>
        <v/>
      </c>
      <c r="J7" s="3">
        <f>IF(AND(G7="PASS",H7="PASS",I7="PASS"),"PASS","FAIL")</f>
        <v/>
      </c>
    </row>
    <row r="8">
      <c r="A8" s="2" t="n">
        <v>45966</v>
      </c>
      <c r="B8" t="inlineStr">
        <is>
          <t>TR2B2</t>
        </is>
      </c>
      <c r="C8" s="3" t="n">
        <v>165234594.9</v>
      </c>
      <c r="D8" t="inlineStr">
        <is>
          <t>None</t>
        </is>
      </c>
      <c r="E8" s="5" t="n">
        <v>0</v>
      </c>
      <c r="F8" s="3" t="n">
        <v>0</v>
      </c>
      <c r="G8" s="5">
        <f>IF(E8&lt;=0.03,"PASS","FAIL")</f>
        <v/>
      </c>
      <c r="H8" s="3">
        <f>IF(F8/C8&lt;=0.05,"PASS","FAIL")</f>
        <v/>
      </c>
      <c r="I8" s="3">
        <f>IF(F8/C8&lt;=0.10,"PASS","FAIL")</f>
        <v/>
      </c>
      <c r="J8" s="3">
        <f>IF(AND(G8="PASS",H8="PASS",I8="PASS"),"PASS","FAIL")</f>
        <v/>
      </c>
    </row>
    <row r="9">
      <c r="A9" s="2" t="n">
        <v>45966</v>
      </c>
      <c r="B9" t="inlineStr">
        <is>
          <t>TDVI</t>
        </is>
      </c>
      <c r="C9" s="3" t="n">
        <v>199592567.27</v>
      </c>
      <c r="D9" t="inlineStr">
        <is>
          <t>None</t>
        </is>
      </c>
      <c r="E9" s="5" t="n">
        <v>0</v>
      </c>
      <c r="F9" s="3" t="n">
        <v>0</v>
      </c>
      <c r="G9" s="5">
        <f>IF(E9&lt;=0.03,"PASS","FAIL")</f>
        <v/>
      </c>
      <c r="H9" s="3">
        <f>IF(F9/C9&lt;=0.05,"PASS","FAIL")</f>
        <v/>
      </c>
      <c r="I9" s="3">
        <f>IF(F9/C9&lt;=0.10,"PASS","FAIL")</f>
        <v/>
      </c>
      <c r="J9" s="3">
        <f>IF(AND(G9="PASS",H9="PASS",I9="PASS"),"PASS","FAIL")</f>
        <v/>
      </c>
    </row>
    <row r="10">
      <c r="A10" s="2" t="n">
        <v>45966</v>
      </c>
      <c r="B10" t="inlineStr">
        <is>
          <t>P21026</t>
        </is>
      </c>
      <c r="C10" s="3" t="n">
        <v>23354046.68</v>
      </c>
      <c r="D10" t="inlineStr">
        <is>
          <t>None</t>
        </is>
      </c>
      <c r="E10" s="5" t="n">
        <v>0</v>
      </c>
      <c r="F10" s="3" t="n">
        <v>0</v>
      </c>
      <c r="G10" s="5">
        <f>IF(E10&lt;=0.03,"PASS","FAIL")</f>
        <v/>
      </c>
      <c r="H10" s="3">
        <f>IF(F10/C10&lt;=0.05,"PASS","FAIL")</f>
        <v/>
      </c>
      <c r="I10" s="3">
        <f>IF(F10/C10&lt;=0.10,"PASS","FAIL")</f>
        <v/>
      </c>
      <c r="J10" s="3">
        <f>IF(AND(G10="PASS",H10="PASS",I10="PASS"),"PASS","FAIL")</f>
        <v/>
      </c>
    </row>
    <row r="11">
      <c r="A11" s="2" t="n">
        <v>45966</v>
      </c>
      <c r="B11" t="inlineStr">
        <is>
          <t>HE3B1</t>
        </is>
      </c>
      <c r="C11" s="3" t="n">
        <v>43655547.47</v>
      </c>
      <c r="D11" t="inlineStr">
        <is>
          <t>None</t>
        </is>
      </c>
      <c r="E11" s="5" t="n">
        <v>0</v>
      </c>
      <c r="F11" s="3" t="n">
        <v>0</v>
      </c>
      <c r="G11" s="5">
        <f>IF(E11&lt;=0.03,"PASS","FAIL")</f>
        <v/>
      </c>
      <c r="H11" s="3">
        <f>IF(F11/C11&lt;=0.05,"PASS","FAIL")</f>
        <v/>
      </c>
      <c r="I11" s="3">
        <f>IF(F11/C11&lt;=0.10,"PASS","FAIL")</f>
        <v/>
      </c>
      <c r="J11" s="3">
        <f>IF(AND(G11="PASS",H11="PASS",I11="PASS"),"PASS","FAIL")</f>
        <v/>
      </c>
    </row>
    <row r="12">
      <c r="A12" s="2" t="n">
        <v>45966</v>
      </c>
      <c r="B12" t="inlineStr">
        <is>
          <t>R21126</t>
        </is>
      </c>
      <c r="C12" s="3" t="n">
        <v>53514033.56</v>
      </c>
      <c r="D12" t="inlineStr">
        <is>
          <t>None</t>
        </is>
      </c>
      <c r="E12" s="5" t="n">
        <v>0</v>
      </c>
      <c r="F12" s="3" t="n">
        <v>0</v>
      </c>
      <c r="G12" s="5">
        <f>IF(E12&lt;=0.03,"PASS","FAIL")</f>
        <v/>
      </c>
      <c r="H12" s="3">
        <f>IF(F12/C12&lt;=0.05,"PASS","FAIL")</f>
        <v/>
      </c>
      <c r="I12" s="3">
        <f>IF(F12/C12&lt;=0.10,"PASS","FAIL")</f>
        <v/>
      </c>
      <c r="J12" s="3">
        <f>IF(AND(G12="PASS",H12="PASS",I12="PASS"),"PASS","FAIL")</f>
        <v/>
      </c>
    </row>
    <row r="13">
      <c r="A13" s="2" t="n">
        <v>45966</v>
      </c>
      <c r="B13" t="inlineStr">
        <is>
          <t>P31027</t>
        </is>
      </c>
      <c r="C13" s="3" t="n">
        <v>15561558.53</v>
      </c>
      <c r="D13" t="inlineStr">
        <is>
          <t>None</t>
        </is>
      </c>
      <c r="E13" s="5" t="n">
        <v>0</v>
      </c>
      <c r="F13" s="3" t="n">
        <v>0</v>
      </c>
      <c r="G13" s="5">
        <f>IF(E13&lt;=0.03,"PASS","FAIL")</f>
        <v/>
      </c>
      <c r="H13" s="3">
        <f>IF(F13/C13&lt;=0.05,"PASS","FAIL")</f>
        <v/>
      </c>
      <c r="I13" s="3">
        <f>IF(F13/C13&lt;=0.10,"PASS","FAIL")</f>
        <v/>
      </c>
      <c r="J13" s="3">
        <f>IF(AND(G13="PASS",H13="PASS",I13="PASS"),"PASS","FAIL")</f>
        <v/>
      </c>
    </row>
    <row r="14">
      <c r="A14" s="2" t="n">
        <v>45966</v>
      </c>
      <c r="B14" t="inlineStr">
        <is>
          <t>FGSI</t>
        </is>
      </c>
      <c r="C14" s="3" t="n">
        <v>3044137.35</v>
      </c>
      <c r="D14" t="inlineStr">
        <is>
          <t>None</t>
        </is>
      </c>
      <c r="E14" s="5" t="n">
        <v>0</v>
      </c>
      <c r="F14" s="3" t="n">
        <v>0</v>
      </c>
      <c r="G14" s="5">
        <f>IF(E14&lt;=0.03,"PASS","FAIL")</f>
        <v/>
      </c>
      <c r="H14" s="3">
        <f>IF(F14/C14&lt;=0.05,"PASS","FAIL")</f>
        <v/>
      </c>
      <c r="I14" s="3">
        <f>IF(F14/C14&lt;=0.10,"PASS","FAIL")</f>
        <v/>
      </c>
      <c r="J14" s="3">
        <f>IF(AND(G14="PASS",H14="PASS",I14="PASS"),"PASS","FAIL")</f>
        <v/>
      </c>
    </row>
    <row r="15">
      <c r="A15" s="2" t="n">
        <v>45966</v>
      </c>
      <c r="B15" t="inlineStr">
        <is>
          <t>P2726</t>
        </is>
      </c>
      <c r="C15" s="3" t="n">
        <v>34420727.6</v>
      </c>
      <c r="D15" t="inlineStr">
        <is>
          <t>None</t>
        </is>
      </c>
      <c r="E15" s="5" t="n">
        <v>0</v>
      </c>
      <c r="F15" s="3" t="n">
        <v>0</v>
      </c>
      <c r="G15" s="5">
        <f>IF(E15&lt;=0.03,"PASS","FAIL")</f>
        <v/>
      </c>
      <c r="H15" s="3">
        <f>IF(F15/C15&lt;=0.05,"PASS","FAIL")</f>
        <v/>
      </c>
      <c r="I15" s="3">
        <f>IF(F15/C15&lt;=0.10,"PASS","FAIL")</f>
        <v/>
      </c>
      <c r="J15" s="3">
        <f>IF(AND(G15="PASS",H15="PASS",I15="PASS"),"PASS","FAIL")</f>
        <v/>
      </c>
    </row>
    <row r="16">
      <c r="A16" s="2" t="n">
        <v>45966</v>
      </c>
      <c r="B16" t="inlineStr">
        <is>
          <t>FDND</t>
        </is>
      </c>
      <c r="C16" s="3" t="n">
        <v>10546876.15</v>
      </c>
      <c r="D16" t="inlineStr">
        <is>
          <t>None</t>
        </is>
      </c>
      <c r="E16" s="5" t="n">
        <v>0</v>
      </c>
      <c r="F16" s="3" t="n">
        <v>0</v>
      </c>
      <c r="G16" s="5">
        <f>IF(E16&lt;=0.03,"PASS","FAIL")</f>
        <v/>
      </c>
      <c r="H16" s="3">
        <f>IF(F16/C16&lt;=0.05,"PASS","FAIL")</f>
        <v/>
      </c>
      <c r="I16" s="3">
        <f>IF(F16/C16&lt;=0.10,"PASS","FAIL")</f>
        <v/>
      </c>
      <c r="J16" s="3">
        <f>IF(AND(G16="PASS",H16="PASS",I16="PASS"),"PASS","FAIL")</f>
        <v/>
      </c>
    </row>
    <row r="17">
      <c r="A17" s="2" t="n">
        <v>45966</v>
      </c>
      <c r="B17" t="inlineStr">
        <is>
          <t>SDVD</t>
        </is>
      </c>
      <c r="C17" s="3" t="n">
        <v>666356443.99</v>
      </c>
      <c r="D17" t="inlineStr">
        <is>
          <t>None</t>
        </is>
      </c>
      <c r="E17" s="5" t="n">
        <v>0</v>
      </c>
      <c r="F17" s="3" t="n">
        <v>0</v>
      </c>
      <c r="G17" s="5">
        <f>IF(E17&lt;=0.03,"PASS","FAIL")</f>
        <v/>
      </c>
      <c r="H17" s="3">
        <f>IF(F17/C17&lt;=0.05,"PASS","FAIL")</f>
        <v/>
      </c>
      <c r="I17" s="3">
        <f>IF(F17/C17&lt;=0.10,"PASS","FAIL")</f>
        <v/>
      </c>
      <c r="J17" s="3">
        <f>IF(AND(G17="PASS",H17="PASS",I17="PASS"),"PASS","FAIL")</f>
        <v/>
      </c>
    </row>
    <row r="18">
      <c r="A18" s="2" t="n">
        <v>45966</v>
      </c>
      <c r="B18" t="inlineStr">
        <is>
          <t>RDVI</t>
        </is>
      </c>
      <c r="C18" s="3" t="n">
        <v>2458207046.41</v>
      </c>
      <c r="D18" t="inlineStr">
        <is>
          <t>None</t>
        </is>
      </c>
      <c r="E18" s="5" t="n">
        <v>0</v>
      </c>
      <c r="F18" s="3" t="n">
        <v>0</v>
      </c>
      <c r="G18" s="5">
        <f>IF(E18&lt;=0.03,"PASS","FAIL")</f>
        <v/>
      </c>
      <c r="H18" s="3">
        <f>IF(F18/C18&lt;=0.05,"PASS","FAIL")</f>
        <v/>
      </c>
      <c r="I18" s="3">
        <f>IF(F18/C18&lt;=0.10,"PASS","FAIL")</f>
        <v/>
      </c>
      <c r="J18" s="3">
        <f>IF(AND(G18="PASS",H18="PASS",I18="PASS"),"PASS","FAIL")</f>
        <v/>
      </c>
    </row>
    <row r="19">
      <c r="A19" t="inlineStr">
        <is>
          <t>* The Fund will not purchase or otherwise acquire: (i) more than 3% of the total outstanding voting stock of the acquired company; (ii) securities issued by the acquired company having an aggregate value in excess of 5% of the value of the total assets of the acquiring company; or (iii) securities issued by the acquired company and all other investment companies (other than treasury stock of the acquiring company) having an aggregate value in excess of 10% of the value of the total assets of the acquiring company.</t>
        </is>
      </c>
      <c r="B19" t="inlineStr"/>
      <c r="C19" t="inlineStr"/>
      <c r="D19" t="inlineStr"/>
      <c r="E19" t="inlineStr"/>
      <c r="F19" t="inlineStr"/>
      <c r="G19" t="inlineStr"/>
      <c r="H19" t="inlineStr"/>
      <c r="I19" t="inlineStr"/>
      <c r="J1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50" customWidth="1" min="1" max="1"/>
    <col width="8" customWidth="1" min="2" max="2"/>
    <col width="11" customWidth="1" min="3" max="3"/>
    <col width="15" customWidth="1" min="4" max="4"/>
    <col width="50" customWidth="1" min="5" max="5"/>
  </cols>
  <sheetData>
    <row r="1">
      <c r="A1" s="1" t="inlineStr">
        <is>
          <t>Date</t>
        </is>
      </c>
      <c r="B1" s="1" t="inlineStr">
        <is>
          <t>Fund</t>
        </is>
      </c>
      <c r="C1" s="1" t="inlineStr">
        <is>
          <t>Compliant</t>
        </is>
      </c>
      <c r="D1" s="1" t="inlineStr">
        <is>
          <t>Total Assets</t>
        </is>
      </c>
      <c r="E1" s="1" t="inlineStr">
        <is>
          <t>Insurance Holdings</t>
        </is>
      </c>
    </row>
    <row r="2">
      <c r="A2" s="2" t="n">
        <v>45966</v>
      </c>
      <c r="B2" t="inlineStr">
        <is>
          <t>KNG</t>
        </is>
      </c>
      <c r="C2" t="inlineStr">
        <is>
          <t>PASS</t>
        </is>
      </c>
      <c r="D2" s="3" t="n">
        <v>3507358501</v>
      </c>
      <c r="E2" t="inlineStr">
        <is>
          <t>AFL (0.09133%), BRO (0.16951%), CB (0.04744%), CINF (0.21283%), ERIE (0.34631%)</t>
        </is>
      </c>
    </row>
    <row r="3">
      <c r="A3" s="2" t="n">
        <v>45966</v>
      </c>
      <c r="B3" t="inlineStr">
        <is>
          <t>P30128</t>
        </is>
      </c>
      <c r="C3" t="inlineStr">
        <is>
          <t>PASS</t>
        </is>
      </c>
      <c r="D3" s="3" t="n">
        <v>40395197.17</v>
      </c>
      <c r="E3" t="inlineStr">
        <is>
          <t>CB (0.00048%), MET (0.00045%)</t>
        </is>
      </c>
    </row>
    <row r="4">
      <c r="A4" s="2" t="n">
        <v>45966</v>
      </c>
      <c r="B4" t="inlineStr">
        <is>
          <t>TR2B1</t>
        </is>
      </c>
      <c r="C4" t="inlineStr">
        <is>
          <t>PASS</t>
        </is>
      </c>
      <c r="D4" s="3" t="n">
        <v>135425970.28</v>
      </c>
      <c r="E4" t="inlineStr">
        <is>
          <t>CB (0.00170%), MET (0.00157%)</t>
        </is>
      </c>
    </row>
    <row r="5">
      <c r="A5" s="2" t="n">
        <v>45966</v>
      </c>
      <c r="B5" t="inlineStr">
        <is>
          <t>DOGG</t>
        </is>
      </c>
      <c r="C5" t="inlineStr">
        <is>
          <t>PASS</t>
        </is>
      </c>
      <c r="D5" s="3" t="n">
        <v>52353768.7</v>
      </c>
      <c r="E5" t="inlineStr">
        <is>
          <t>None</t>
        </is>
      </c>
    </row>
    <row r="6">
      <c r="A6" s="2" t="n">
        <v>45966</v>
      </c>
      <c r="B6" t="inlineStr">
        <is>
          <t>P3727</t>
        </is>
      </c>
      <c r="C6" t="inlineStr">
        <is>
          <t>PASS</t>
        </is>
      </c>
      <c r="D6" s="3" t="n">
        <v>79127966.86</v>
      </c>
      <c r="E6" t="inlineStr">
        <is>
          <t>CB (0.00099%), MET (0.00091%)</t>
        </is>
      </c>
    </row>
    <row r="7">
      <c r="A7" s="2" t="n">
        <v>45966</v>
      </c>
      <c r="B7" t="inlineStr">
        <is>
          <t>HE3B2</t>
        </is>
      </c>
      <c r="C7" t="inlineStr">
        <is>
          <t>PASS</t>
        </is>
      </c>
      <c r="D7" s="3" t="n">
        <v>24562469.76</v>
      </c>
      <c r="E7" t="inlineStr">
        <is>
          <t>CB (0.00029%), MET (0.00026%)</t>
        </is>
      </c>
    </row>
    <row r="8">
      <c r="A8" s="2" t="n">
        <v>45966</v>
      </c>
      <c r="B8" t="inlineStr">
        <is>
          <t>TR2B2</t>
        </is>
      </c>
      <c r="C8" t="inlineStr">
        <is>
          <t>PASS</t>
        </is>
      </c>
      <c r="D8" s="3" t="n">
        <v>165234594.9</v>
      </c>
      <c r="E8" t="inlineStr">
        <is>
          <t>CB (0.00196%), MET (0.00181%)</t>
        </is>
      </c>
    </row>
    <row r="9">
      <c r="A9" s="2" t="n">
        <v>45966</v>
      </c>
      <c r="B9" t="inlineStr">
        <is>
          <t>TDVI</t>
        </is>
      </c>
      <c r="C9" t="inlineStr">
        <is>
          <t>PASS</t>
        </is>
      </c>
      <c r="D9" s="3" t="n">
        <v>199592567.27</v>
      </c>
      <c r="E9" t="inlineStr">
        <is>
          <t>None</t>
        </is>
      </c>
    </row>
    <row r="10">
      <c r="A10" s="2" t="n">
        <v>45966</v>
      </c>
      <c r="B10" t="inlineStr">
        <is>
          <t>P21026</t>
        </is>
      </c>
      <c r="C10" t="inlineStr">
        <is>
          <t>PASS</t>
        </is>
      </c>
      <c r="D10" s="3" t="n">
        <v>23354046.68</v>
      </c>
      <c r="E10" t="inlineStr">
        <is>
          <t>CB (0.00030%), MET (0.00027%)</t>
        </is>
      </c>
    </row>
    <row r="11">
      <c r="A11" s="2" t="n">
        <v>45966</v>
      </c>
      <c r="B11" t="inlineStr">
        <is>
          <t>HE3B1</t>
        </is>
      </c>
      <c r="C11" t="inlineStr">
        <is>
          <t>PASS</t>
        </is>
      </c>
      <c r="D11" s="3" t="n">
        <v>43655547.47</v>
      </c>
      <c r="E11" t="inlineStr">
        <is>
          <t>CB (0.00061%), MET (0.00056%)</t>
        </is>
      </c>
    </row>
    <row r="12">
      <c r="A12" s="2" t="n">
        <v>45966</v>
      </c>
      <c r="B12" t="inlineStr">
        <is>
          <t>R21126</t>
        </is>
      </c>
      <c r="C12" t="inlineStr">
        <is>
          <t>PASS</t>
        </is>
      </c>
      <c r="D12" s="3" t="n">
        <v>53514033.56</v>
      </c>
      <c r="E12" t="inlineStr">
        <is>
          <t>AFL (0.00078%), ALL (0.00086%), CB (0.00082%), CINF (0.00093%), EG (0.00143%), HIG (0.00262%), LNC (0.00302%), MET (0.00046%), PGR (0.00030%), TRV (0.00154%), UNM (0.00712%)</t>
        </is>
      </c>
    </row>
    <row r="13">
      <c r="A13" s="2" t="n">
        <v>45966</v>
      </c>
      <c r="B13" t="inlineStr">
        <is>
          <t>P31027</t>
        </is>
      </c>
      <c r="C13" t="inlineStr">
        <is>
          <t>PASS</t>
        </is>
      </c>
      <c r="D13" s="3" t="n">
        <v>15561558.53</v>
      </c>
      <c r="E13" t="inlineStr">
        <is>
          <t>CB (0.00019%), MET (0.00017%)</t>
        </is>
      </c>
    </row>
    <row r="14">
      <c r="A14" s="2" t="n">
        <v>45966</v>
      </c>
      <c r="B14" t="inlineStr">
        <is>
          <t>FGSI</t>
        </is>
      </c>
      <c r="C14" t="inlineStr">
        <is>
          <t>PASS</t>
        </is>
      </c>
      <c r="D14" s="3" t="n">
        <v>3044137.35</v>
      </c>
      <c r="E14" t="inlineStr">
        <is>
          <t>MMC (0.00007%)</t>
        </is>
      </c>
    </row>
    <row r="15">
      <c r="A15" s="2" t="n">
        <v>45966</v>
      </c>
      <c r="B15" t="inlineStr">
        <is>
          <t>P2726</t>
        </is>
      </c>
      <c r="C15" t="inlineStr">
        <is>
          <t>PASS</t>
        </is>
      </c>
      <c r="D15" s="3" t="n">
        <v>34420727.6</v>
      </c>
      <c r="E15" t="inlineStr">
        <is>
          <t>CB (0.00045%), MET (0.00042%)</t>
        </is>
      </c>
    </row>
    <row r="16">
      <c r="A16" s="2" t="n">
        <v>45966</v>
      </c>
      <c r="B16" t="inlineStr">
        <is>
          <t>FDND</t>
        </is>
      </c>
      <c r="C16" t="inlineStr">
        <is>
          <t>PASS</t>
        </is>
      </c>
      <c r="D16" s="3" t="n">
        <v>10546876.15</v>
      </c>
      <c r="E16" t="inlineStr">
        <is>
          <t>None</t>
        </is>
      </c>
    </row>
    <row r="17">
      <c r="A17" s="2" t="n">
        <v>45966</v>
      </c>
      <c r="B17" t="inlineStr">
        <is>
          <t>SDVD</t>
        </is>
      </c>
      <c r="C17" t="inlineStr">
        <is>
          <t>PASS</t>
        </is>
      </c>
      <c r="D17" s="3" t="n">
        <v>666356443.99</v>
      </c>
      <c r="E17" t="inlineStr">
        <is>
          <t>AGO (0.13448%), AIZ (0.05150%), AXS (0.05367%), CINF (0.01190%), CNO (0.03216%), EG (0.00862%), KMPR (0.03347%), LNC (0.05728%), ORI (0.01522%), PFG (0.00657%), PRI (0.06153%), RGA (0.04086%), RNR (0.01062%), SIGI (0.03185%), THG (0.06714%), UNM (0.04298%), WRB (0.02136%)</t>
        </is>
      </c>
    </row>
    <row r="18">
      <c r="A18" s="2" t="n">
        <v>45966</v>
      </c>
      <c r="B18" t="inlineStr">
        <is>
          <t>RDVI</t>
        </is>
      </c>
      <c r="C18" t="inlineStr">
        <is>
          <t>PASS</t>
        </is>
      </c>
      <c r="D18" s="3" t="n">
        <v>2458207046.41</v>
      </c>
      <c r="E18" t="inlineStr">
        <is>
          <t>AFL (0.03862%), ALL (0.04242%), CB (0.04044%), CINF (0.04629%), EG (0.07096%), HIG (0.12991%), LNC (0.14951%), MET (0.02255%), PGR (0.01483%), TRV (0.07622%), UNM (0.35277%)</t>
        </is>
      </c>
    </row>
    <row r="19">
      <c r="A19" t="inlineStr">
        <is>
          <t>* The Fund may not own more than 10% of the total outstanding voting stock of an insurance company.</t>
        </is>
      </c>
      <c r="B19" t="inlineStr"/>
      <c r="C19" t="inlineStr"/>
      <c r="D19" t="inlineStr"/>
      <c r="E1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50" customWidth="1" min="1" max="1"/>
    <col width="8" customWidth="1" min="2" max="2"/>
    <col width="30" customWidth="1" min="3" max="3"/>
    <col width="21" customWidth="1" min="4" max="4"/>
    <col width="30" customWidth="1" min="5" max="5"/>
    <col width="50" customWidth="1" min="6" max="6"/>
    <col width="50" customWidth="1" min="7" max="7"/>
    <col width="50" customWidth="1" min="8" max="8"/>
    <col width="15" customWidth="1" min="9" max="9"/>
    <col width="24" customWidth="1" min="10" max="10"/>
    <col width="22" customWidth="1" min="11" max="11"/>
  </cols>
  <sheetData>
    <row r="1">
      <c r="A1" s="1" t="inlineStr">
        <is>
          <t>Date</t>
        </is>
      </c>
      <c r="B1" s="1" t="inlineStr">
        <is>
          <t>Fund</t>
        </is>
      </c>
      <c r="C1" s="1" t="inlineStr">
        <is>
          <t>Rule 1 (&lt;=5% equities)</t>
        </is>
      </c>
      <c r="D1" s="1" t="inlineStr">
        <is>
          <t>Rule 2 (&lt;=10% debt)</t>
        </is>
      </c>
      <c r="E1" s="1" t="inlineStr">
        <is>
          <t>Rule 3 (&lt;=5% total assets)</t>
        </is>
      </c>
      <c r="F1" s="1" t="inlineStr">
        <is>
          <t>12d3 Sec Biz Compliant</t>
        </is>
      </c>
      <c r="G1" s="1" t="inlineStr">
        <is>
          <t>SEC-Related Businesses (Shs Out %)</t>
        </is>
      </c>
      <c r="H1" s="1" t="inlineStr">
        <is>
          <t>Combined Holdings (Portfolio %)</t>
        </is>
      </c>
      <c r="I1" s="1" t="inlineStr">
        <is>
          <t>Total Assets</t>
        </is>
      </c>
      <c r="J1" s="1" t="inlineStr">
        <is>
          <t>Max Ownership %</t>
        </is>
      </c>
      <c r="K1" s="1" t="inlineStr">
        <is>
          <t>Max Weight</t>
        </is>
      </c>
    </row>
    <row r="2">
      <c r="A2" s="2" t="n">
        <v>45966</v>
      </c>
      <c r="B2" t="inlineStr">
        <is>
          <t>KNG</t>
        </is>
      </c>
      <c r="C2" s="3">
        <f>IF(K2&lt;=0.05,"PASS","FAIL")</f>
        <v/>
      </c>
      <c r="D2" t="inlineStr">
        <is>
          <t>PASS</t>
        </is>
      </c>
      <c r="E2" s="3">
        <f>IF(L2&lt;=0.05,"PASS","FAIL")</f>
        <v/>
      </c>
      <c r="F2" s="3">
        <f>IF(AND(C2="PASS",D2="PASS",E2="PASS",F2="PASS"),"PASS","FAIL")</f>
        <v/>
      </c>
      <c r="G2" t="inlineStr">
        <is>
          <t>BEN (0.44016%), FDS (0.47586%), SPGI (0.03471%), TROW (0.23020%)</t>
        </is>
      </c>
      <c r="H2" t="inlineStr">
        <is>
          <t>BEN (1.47%), FDS (1.33%), SPGI (1.51%), TROW (1.46%)</t>
        </is>
      </c>
      <c r="I2" s="3" t="n">
        <v>3507358501</v>
      </c>
      <c r="J2" s="5" t="n">
        <v>0.004758559206668958</v>
      </c>
      <c r="K2" s="5" t="n">
        <v>0.01511516256033846</v>
      </c>
    </row>
    <row r="3">
      <c r="A3" s="2" t="n">
        <v>45966</v>
      </c>
      <c r="B3" t="inlineStr">
        <is>
          <t>P30128</t>
        </is>
      </c>
      <c r="C3" s="3">
        <f>IF(K3&lt;=0.05,"PASS","FAIL")</f>
        <v/>
      </c>
      <c r="D3" t="inlineStr">
        <is>
          <t>PASS</t>
        </is>
      </c>
      <c r="E3" s="3">
        <f>IF(L3&lt;=0.05,"PASS","FAIL")</f>
        <v/>
      </c>
      <c r="F3" s="3">
        <f>IF(AND(C3="PASS",D3="PASS",E3="PASS",F3="PASS"),"PASS","FAIL")</f>
        <v/>
      </c>
      <c r="G3" t="inlineStr">
        <is>
          <t>BAC (0.00008%), BLK (0.00010%), C (0.00009%), GS (0.00011%), JPM (0.00009%), MS (0.00008%), SCHW (0.00009%), SPGI (0.00009%), USB (0.00009%), WFC (0.00009%)</t>
        </is>
      </c>
      <c r="H3" t="inlineStr">
        <is>
          <t>BAC (0.77%), BLK (0.42%), C (0.42%), GS (0.66%), JPM (1.92%), MS (0.54%), SCHW (0.37%), SPGI (0.34%), USB (0.16%), WFC (0.63%)</t>
        </is>
      </c>
      <c r="I3" s="3" t="n">
        <v>40395197.17</v>
      </c>
      <c r="J3" s="5" t="n">
        <v>1.123601124934776e-06</v>
      </c>
      <c r="K3" s="5" t="n">
        <v>0.01922361207279137</v>
      </c>
    </row>
    <row r="4">
      <c r="A4" s="2" t="n">
        <v>45966</v>
      </c>
      <c r="B4" t="inlineStr">
        <is>
          <t>TR2B1</t>
        </is>
      </c>
      <c r="C4" s="3">
        <f>IF(K4&lt;=0.05,"PASS","FAIL")</f>
        <v/>
      </c>
      <c r="D4" t="inlineStr">
        <is>
          <t>PASS</t>
        </is>
      </c>
      <c r="E4" s="3">
        <f>IF(L4&lt;=0.05,"PASS","FAIL")</f>
        <v/>
      </c>
      <c r="F4" s="3">
        <f>IF(AND(C4="PASS",D4="PASS",E4="PASS",F4="PASS"),"PASS","FAIL")</f>
        <v/>
      </c>
      <c r="G4" t="inlineStr">
        <is>
          <t>BAC (0.00029%), BLK (0.00036%), C (0.00032%), GS (0.00040%), JPM (0.00032%), MS (0.00030%), SCHW (0.00031%), SPGI (0.00032%), USB (0.00031%), WFC (0.00033%)</t>
        </is>
      </c>
      <c r="H4" t="inlineStr">
        <is>
          <t>BAC (0.81%), BLK (0.44%), C (0.44%), GS (0.69%), JPM (2.02%), MS (0.57%), SCHW (0.39%), SPGI (0.36%), USB (0.17%), WFC (0.67%)</t>
        </is>
      </c>
      <c r="I4" s="3" t="n">
        <v>135425970.28</v>
      </c>
      <c r="J4" s="5" t="n">
        <v>3.960944024992624e-06</v>
      </c>
      <c r="K4" s="5" t="n">
        <v>0.0201772017165569</v>
      </c>
    </row>
    <row r="5">
      <c r="A5" s="2" t="n">
        <v>45966</v>
      </c>
      <c r="B5" t="inlineStr">
        <is>
          <t>DOGG</t>
        </is>
      </c>
      <c r="C5" s="3">
        <f>IF(K5&lt;=0.05,"PASS","FAIL")</f>
        <v/>
      </c>
      <c r="D5" t="inlineStr">
        <is>
          <t>PASS</t>
        </is>
      </c>
      <c r="E5" s="3">
        <f>IF(L5&lt;=0.05,"PASS","FAIL")</f>
        <v/>
      </c>
      <c r="F5" s="3">
        <f>IF(AND(C5="PASS",D5="PASS",E5="PASS",F5="PASS"),"PASS","FAIL")</f>
        <v/>
      </c>
      <c r="G5" t="inlineStr">
        <is>
          <t>None</t>
        </is>
      </c>
      <c r="H5" t="inlineStr">
        <is>
          <t>None</t>
        </is>
      </c>
      <c r="I5" s="3" t="n">
        <v>52353768.7</v>
      </c>
      <c r="J5" s="5" t="n">
        <v>0</v>
      </c>
      <c r="K5" s="5" t="n">
        <v>0</v>
      </c>
    </row>
    <row r="6">
      <c r="A6" s="2" t="n">
        <v>45966</v>
      </c>
      <c r="B6" t="inlineStr">
        <is>
          <t>P3727</t>
        </is>
      </c>
      <c r="C6" s="3">
        <f>IF(K6&lt;=0.05,"PASS","FAIL")</f>
        <v/>
      </c>
      <c r="D6" t="inlineStr">
        <is>
          <t>PASS</t>
        </is>
      </c>
      <c r="E6" s="3">
        <f>IF(L6&lt;=0.05,"PASS","FAIL")</f>
        <v/>
      </c>
      <c r="F6" s="3">
        <f>IF(AND(C6="PASS",D6="PASS",E6="PASS",F6="PASS"),"PASS","FAIL")</f>
        <v/>
      </c>
      <c r="G6" t="inlineStr">
        <is>
          <t>BAC (0.00017%), BLK (0.00021%), C (0.00019%), GS (0.00023%), JPM (0.00019%), MS (0.00017%), SCHW (0.00018%), SPGI (0.00019%), USB (0.00018%), WFC (0.00019%)</t>
        </is>
      </c>
      <c r="H6" t="inlineStr">
        <is>
          <t>BAC (0.80%), BLK (0.43%), C (0.44%), GS (0.69%), JPM (2.01%), MS (0.57%), SCHW (0.39%), SPGI (0.36%), USB (0.17%), WFC (0.66%)</t>
        </is>
      </c>
      <c r="I6" s="3" t="n">
        <v>79127966.86</v>
      </c>
      <c r="J6" s="5" t="n">
        <v>2.303882425311366e-06</v>
      </c>
      <c r="K6" s="5" t="n">
        <v>0.02008950189270666</v>
      </c>
    </row>
    <row r="7">
      <c r="A7" s="2" t="n">
        <v>45966</v>
      </c>
      <c r="B7" t="inlineStr">
        <is>
          <t>HE3B2</t>
        </is>
      </c>
      <c r="C7" s="3">
        <f>IF(K7&lt;=0.05,"PASS","FAIL")</f>
        <v/>
      </c>
      <c r="D7" t="inlineStr">
        <is>
          <t>PASS</t>
        </is>
      </c>
      <c r="E7" s="3">
        <f>IF(L7&lt;=0.05,"PASS","FAIL")</f>
        <v/>
      </c>
      <c r="F7" s="3">
        <f>IF(AND(C7="PASS",D7="PASS",E7="PASS",F7="PASS"),"PASS","FAIL")</f>
        <v/>
      </c>
      <c r="G7" t="inlineStr">
        <is>
          <t>BAC (0.00005%), BLK (0.00006%), C (0.00005%), GS (0.00007%), JPM (0.00005%), MS (0.00005%), SCHW (0.00005%), SPGI (0.00005%), USB (0.00005%), WFC (0.00006%)</t>
        </is>
      </c>
      <c r="H7" t="inlineStr">
        <is>
          <t>BAC (0.75%), BLK (0.41%), C (0.41%), GS (0.65%), JPM (1.87%), MS (0.53%), SCHW (0.36%), SPGI (0.34%), USB (0.16%), WFC (0.62%)</t>
        </is>
      </c>
      <c r="I7" s="3" t="n">
        <v>24562469.76</v>
      </c>
      <c r="J7" s="5" t="n">
        <v>6.668255934331016e-07</v>
      </c>
      <c r="K7" s="5" t="n">
        <v>0.01872788219159929</v>
      </c>
    </row>
    <row r="8">
      <c r="A8" s="2" t="n">
        <v>45966</v>
      </c>
      <c r="B8" t="inlineStr">
        <is>
          <t>TR2B2</t>
        </is>
      </c>
      <c r="C8" s="3">
        <f>IF(K8&lt;=0.05,"PASS","FAIL")</f>
        <v/>
      </c>
      <c r="D8" t="inlineStr">
        <is>
          <t>PASS</t>
        </is>
      </c>
      <c r="E8" s="3">
        <f>IF(L8&lt;=0.05,"PASS","FAIL")</f>
        <v/>
      </c>
      <c r="F8" s="3">
        <f>IF(AND(C8="PASS",D8="PASS",E8="PASS",F8="PASS"),"PASS","FAIL")</f>
        <v/>
      </c>
      <c r="G8" t="inlineStr">
        <is>
          <t>BAC (0.00033%), BLK (0.00041%), C (0.00037%), GS (0.00046%), JPM (0.00037%), MS (0.00034%), SCHW (0.00036%), SPGI (0.00037%), USB (0.00036%), WFC (0.00038%)</t>
        </is>
      </c>
      <c r="H8" t="inlineStr">
        <is>
          <t>BAC (0.76%), BLK (0.41%), C (0.42%), GS (0.66%), JPM (1.91%), MS (0.54%), SCHW (0.37%), SPGI (0.34%), USB (0.16%), WFC (0.63%)</t>
        </is>
      </c>
      <c r="I8" s="3" t="n">
        <v>165234594.9</v>
      </c>
      <c r="J8" s="5" t="n">
        <v>4.574423570951077e-06</v>
      </c>
      <c r="K8" s="5" t="n">
        <v>0.01909666823651347</v>
      </c>
    </row>
    <row r="9">
      <c r="A9" s="2" t="n">
        <v>45966</v>
      </c>
      <c r="B9" t="inlineStr">
        <is>
          <t>TDVI</t>
        </is>
      </c>
      <c r="C9" s="3">
        <f>IF(K9&lt;=0.05,"PASS","FAIL")</f>
        <v/>
      </c>
      <c r="D9" t="inlineStr">
        <is>
          <t>PASS</t>
        </is>
      </c>
      <c r="E9" s="3">
        <f>IF(L9&lt;=0.05,"PASS","FAIL")</f>
        <v/>
      </c>
      <c r="F9" s="3">
        <f>IF(AND(C9="PASS",D9="PASS",E9="PASS",F9="PASS"),"PASS","FAIL")</f>
        <v/>
      </c>
      <c r="G9" t="inlineStr">
        <is>
          <t>None</t>
        </is>
      </c>
      <c r="H9" t="inlineStr">
        <is>
          <t>None</t>
        </is>
      </c>
      <c r="I9" s="3" t="n">
        <v>199592567.27</v>
      </c>
      <c r="J9" s="5" t="n">
        <v>0</v>
      </c>
      <c r="K9" s="5" t="n">
        <v>0</v>
      </c>
    </row>
    <row r="10">
      <c r="A10" s="2" t="n">
        <v>45966</v>
      </c>
      <c r="B10" t="inlineStr">
        <is>
          <t>P21026</t>
        </is>
      </c>
      <c r="C10" s="3">
        <f>IF(K10&lt;=0.05,"PASS","FAIL")</f>
        <v/>
      </c>
      <c r="D10" t="inlineStr">
        <is>
          <t>PASS</t>
        </is>
      </c>
      <c r="E10" s="3">
        <f>IF(L10&lt;=0.05,"PASS","FAIL")</f>
        <v/>
      </c>
      <c r="F10" s="3">
        <f>IF(AND(C10="PASS",D10="PASS",E10="PASS",F10="PASS"),"PASS","FAIL")</f>
        <v/>
      </c>
      <c r="G10" t="inlineStr">
        <is>
          <t>BAC (0.00005%), BLK (0.00006%), C (0.00006%), GS (0.00007%), JPM (0.00006%), MS (0.00005%), SCHW (0.00005%), SPGI (0.00006%), USB (0.00005%), WFC (0.00006%)</t>
        </is>
      </c>
      <c r="H10" t="inlineStr">
        <is>
          <t>BAC (0.81%), BLK (0.44%), C (0.45%), GS (0.70%), JPM (2.04%), MS (0.58%), SCHW (0.39%), SPGI (0.37%), USB (0.17%), WFC (0.67%)</t>
        </is>
      </c>
      <c r="I10" s="3" t="n">
        <v>23354046.68</v>
      </c>
      <c r="J10" s="5" t="n">
        <v>6.901644892032601e-07</v>
      </c>
      <c r="K10" s="5" t="n">
        <v>0.02038149561496038</v>
      </c>
    </row>
    <row r="11">
      <c r="A11" s="2" t="n">
        <v>45966</v>
      </c>
      <c r="B11" t="inlineStr">
        <is>
          <t>HE3B1</t>
        </is>
      </c>
      <c r="C11" s="3">
        <f>IF(K11&lt;=0.05,"PASS","FAIL")</f>
        <v/>
      </c>
      <c r="D11" t="inlineStr">
        <is>
          <t>PASS</t>
        </is>
      </c>
      <c r="E11" s="3">
        <f>IF(L11&lt;=0.05,"PASS","FAIL")</f>
        <v/>
      </c>
      <c r="F11" s="3">
        <f>IF(AND(C11="PASS",D11="PASS",E11="PASS",F11="PASS"),"PASS","FAIL")</f>
        <v/>
      </c>
      <c r="G11" t="inlineStr">
        <is>
          <t>BAC (0.00010%), BLK (0.00013%), C (0.00012%), GS (0.00014%), JPM (0.00012%), MS (0.00011%), SCHW (0.00011%), SPGI (0.00010%), USB (0.00011%), WFC (0.00012%)</t>
        </is>
      </c>
      <c r="H11" t="inlineStr">
        <is>
          <t>BAC (0.90%), BLK (0.49%), C (0.49%), GS (0.77%), JPM (2.25%), MS (0.64%), SCHW (0.44%), SPGI (0.35%), USB (0.19%), WFC (0.74%)</t>
        </is>
      </c>
      <c r="I11" s="3" t="n">
        <v>43655547.47</v>
      </c>
      <c r="J11" s="5" t="n">
        <v>1.423672641979672e-06</v>
      </c>
      <c r="K11" s="5" t="n">
        <v>0.02253277159508727</v>
      </c>
    </row>
    <row r="12">
      <c r="A12" s="2" t="n">
        <v>45966</v>
      </c>
      <c r="B12" t="inlineStr">
        <is>
          <t>R21126</t>
        </is>
      </c>
      <c r="C12" s="3">
        <f>IF(K12&lt;=0.05,"PASS","FAIL")</f>
        <v/>
      </c>
      <c r="D12" t="inlineStr">
        <is>
          <t>PASS</t>
        </is>
      </c>
      <c r="E12" s="3">
        <f>IF(L12&lt;=0.05,"PASS","FAIL")</f>
        <v/>
      </c>
      <c r="F12" s="3">
        <f>IF(AND(C12="PASS",D12="PASS",E12="PASS",F12="PASS"),"PASS","FAIL")</f>
        <v/>
      </c>
      <c r="G12" t="inlineStr">
        <is>
          <t>AMP (0.00095%), BAC (0.00007%), BK (0.00145%), BLK (0.00044%), EWBC (0.00668%), JPM (0.00013%), MTB (0.00076%), NTRS (0.00111%), PNC (0.00092%), RJF (0.00288%), STT (0.00238%), WTFC (0.00252%)</t>
        </is>
      </c>
      <c r="H12" t="inlineStr">
        <is>
          <t>AMP (0.76%), BAC (0.47%), BK (2.06%), BLK (1.36%), EWBC (1.73%), JPM (1.99%), MTB (0.40%), NTRS (0.50%), PNC (1.24%), RJF (1.71%), STT (1.45%), WTFC (0.41%)</t>
        </is>
      </c>
      <c r="I12" s="3" t="n">
        <v>53514033.56</v>
      </c>
      <c r="J12" s="5" t="n">
        <v>6.681091090088795e-05</v>
      </c>
      <c r="K12" s="5" t="n">
        <v>0.02058475275957128</v>
      </c>
    </row>
    <row r="13">
      <c r="A13" s="2" t="n">
        <v>45966</v>
      </c>
      <c r="B13" t="inlineStr">
        <is>
          <t>P31027</t>
        </is>
      </c>
      <c r="C13" s="3">
        <f>IF(K13&lt;=0.05,"PASS","FAIL")</f>
        <v/>
      </c>
      <c r="D13" t="inlineStr">
        <is>
          <t>PASS</t>
        </is>
      </c>
      <c r="E13" s="3">
        <f>IF(L13&lt;=0.05,"PASS","FAIL")</f>
        <v/>
      </c>
      <c r="F13" s="3">
        <f>IF(AND(C13="PASS",D13="PASS",E13="PASS",F13="PASS"),"PASS","FAIL")</f>
        <v/>
      </c>
      <c r="G13" t="inlineStr">
        <is>
          <t>BAC (0.00003%), BLK (0.00004%), C (0.00004%), GS (0.00004%), JPM (0.00004%), MS (0.00003%), SCHW (0.00003%), SPGI (0.00004%), USB (0.00003%), WFC (0.00004%)</t>
        </is>
      </c>
      <c r="H13" t="inlineStr">
        <is>
          <t>BAC (0.78%), BLK (0.43%), C (0.43%), GS (0.68%), JPM (1.96%), MS (0.55%), SCHW (0.38%), SPGI (0.35%), USB (0.16%), WFC (0.65%)</t>
        </is>
      </c>
      <c r="I13" s="3" t="n">
        <v>15561558.53</v>
      </c>
      <c r="J13" s="5" t="n">
        <v>4.434390196330125e-07</v>
      </c>
      <c r="K13" s="5" t="n">
        <v>0.01962001938375256</v>
      </c>
    </row>
    <row r="14">
      <c r="A14" s="2" t="n">
        <v>45966</v>
      </c>
      <c r="B14" t="inlineStr">
        <is>
          <t>FGSI</t>
        </is>
      </c>
      <c r="C14" s="3">
        <f>IF(K14&lt;=0.05,"PASS","FAIL")</f>
        <v/>
      </c>
      <c r="D14" t="inlineStr">
        <is>
          <t>PASS</t>
        </is>
      </c>
      <c r="E14" s="3">
        <f>IF(L14&lt;=0.05,"PASS","FAIL")</f>
        <v/>
      </c>
      <c r="F14" s="3">
        <f>IF(AND(C14="PASS",D14="PASS",E14="PASS",F14="PASS"),"PASS","FAIL")</f>
        <v/>
      </c>
      <c r="G14" t="inlineStr">
        <is>
          <t>AMP (0.00014%), CBOE (0.00025%), IBKR (0.00021%), MCO (0.00007%), SCHW (0.00004%)</t>
        </is>
      </c>
      <c r="H14" t="inlineStr">
        <is>
          <t>AMP (1.99%), CBOE (2.13%), IBKR (2.20%), MCO (2.08%), SCHW (2.02%)</t>
        </is>
      </c>
      <c r="I14" s="3" t="n">
        <v>3044137.35</v>
      </c>
      <c r="J14" s="5" t="n">
        <v>2.465490302882617e-06</v>
      </c>
      <c r="K14" s="5" t="n">
        <v>0.02195086893828887</v>
      </c>
    </row>
    <row r="15">
      <c r="A15" s="2" t="n">
        <v>45966</v>
      </c>
      <c r="B15" t="inlineStr">
        <is>
          <t>P2726</t>
        </is>
      </c>
      <c r="C15" s="3">
        <f>IF(K15&lt;=0.05,"PASS","FAIL")</f>
        <v/>
      </c>
      <c r="D15" t="inlineStr">
        <is>
          <t>PASS</t>
        </is>
      </c>
      <c r="E15" s="3">
        <f>IF(L15&lt;=0.05,"PASS","FAIL")</f>
        <v/>
      </c>
      <c r="F15" s="3">
        <f>IF(AND(C15="PASS",D15="PASS",E15="PASS",F15="PASS"),"PASS","FAIL")</f>
        <v/>
      </c>
      <c r="G15" t="inlineStr">
        <is>
          <t>BAC (0.00008%), BLK (0.00009%), C (0.00008%), GS (0.00011%), JPM (0.00009%), MS (0.00008%), SCHW (0.00008%), SPGI (0.00008%), USB (0.00008%), WFC (0.00009%)</t>
        </is>
      </c>
      <c r="H15" t="inlineStr">
        <is>
          <t>BAC (0.84%), BLK (0.46%), C (0.46%), GS (0.72%), JPM (2.10%), MS (0.60%), SCHW (0.41%), SPGI (0.38%), USB (0.17%), WFC (0.69%)</t>
        </is>
      </c>
      <c r="I15" s="3" t="n">
        <v>34420727.6</v>
      </c>
      <c r="J15" s="5" t="n">
        <v>1.050250309657135e-06</v>
      </c>
      <c r="K15" s="5" t="n">
        <v>0.02103265707840528</v>
      </c>
    </row>
    <row r="16">
      <c r="A16" s="2" t="n">
        <v>45966</v>
      </c>
      <c r="B16" t="inlineStr">
        <is>
          <t>FDND</t>
        </is>
      </c>
      <c r="C16" s="3">
        <f>IF(K16&lt;=0.05,"PASS","FAIL")</f>
        <v/>
      </c>
      <c r="D16" t="inlineStr">
        <is>
          <t>PASS</t>
        </is>
      </c>
      <c r="E16" s="3">
        <f>IF(L16&lt;=0.05,"PASS","FAIL")</f>
        <v/>
      </c>
      <c r="F16" s="3">
        <f>IF(AND(C16="PASS",D16="PASS",E16="PASS",F16="PASS"),"PASS","FAIL")</f>
        <v/>
      </c>
      <c r="G16" t="inlineStr">
        <is>
          <t>None</t>
        </is>
      </c>
      <c r="H16" t="inlineStr">
        <is>
          <t>None</t>
        </is>
      </c>
      <c r="I16" s="3" t="n">
        <v>10546876.15</v>
      </c>
      <c r="J16" s="5" t="n">
        <v>0</v>
      </c>
      <c r="K16" s="5" t="n">
        <v>0</v>
      </c>
    </row>
    <row r="17">
      <c r="A17" s="2" t="n">
        <v>45966</v>
      </c>
      <c r="B17" t="inlineStr">
        <is>
          <t>SDVD</t>
        </is>
      </c>
      <c r="C17" s="3">
        <f>IF(K17&lt;=0.05,"PASS","FAIL")</f>
        <v/>
      </c>
      <c r="D17" t="inlineStr">
        <is>
          <t>PASS</t>
        </is>
      </c>
      <c r="E17" s="3">
        <f>IF(L17&lt;=0.05,"PASS","FAIL")</f>
        <v/>
      </c>
      <c r="F17" s="3">
        <f>IF(AND(C17="PASS",D17="PASS",E17="PASS",F17="PASS"),"PASS","FAIL")</f>
        <v/>
      </c>
      <c r="G17" t="inlineStr">
        <is>
          <t>BOKF (0.02264%), CADE (0.08720%), CBOE (0.02376%), CBSH (0.04909%), CFR (0.06513%), EBC (0.03153%), EFSC (0.25664%), EWBC (0.04029%), FBP (0.16770%), FCF (0.07135%), FHI (0.03656%), FRME (0.06270%), FULT (0.12074%), HBAN (0.02087%), HOMB (0.07187%), HWC (0.05646%), IBKR (0.02345%), IBOC (0.13023%), INDB (0.04434%), NBHC (0.07761%), NIC (0.23191%), NTRS (0.02559%), OFG (0.28657%), OZK (0.10188%), PNFP (0.01996%), RJF (0.00831%), SEIC (0.05383%), SFBS (0.06451%), SSB (0.05527%), UMBF (0.04884%), WAFD (0.04899%), WTFC (0.06386%), ZION (0.01757%)</t>
        </is>
      </c>
      <c r="H17" t="inlineStr">
        <is>
          <t>BOKF (0.23%), CADE (0.90%), CBOE (0.94%), CBSH (0.53%), CFR (0.78%), EBC (0.19%), EFSC (0.77%), EWBC (0.84%), FBP (0.81%), FCF (0.18%), FHI (0.21%), FRME (0.20%), FULT (0.58%), HBAN (0.75%), HOMB (0.57%), HWC (0.42%), IBKR (1.12%), IBOC (0.83%), INDB (0.23%), NBHC (0.16%), NIC (0.64%), NTRS (0.93%), OFG (0.77%), OZK (0.76%), PNFP (0.20%), RJF (0.40%), SEIC (0.81%), SFBS (0.38%), SSB (0.73%), UMBF (0.60%), WAFD (0.17%), WTFC (0.83%), ZION (0.20%)</t>
        </is>
      </c>
      <c r="I17" s="3" t="n">
        <v>666356443.99</v>
      </c>
      <c r="J17" s="5" t="n">
        <v>0.002865686205361375</v>
      </c>
      <c r="K17" s="5" t="n">
        <v>0.01122596503338123</v>
      </c>
    </row>
    <row r="18">
      <c r="A18" s="2" t="n">
        <v>45966</v>
      </c>
      <c r="B18" t="inlineStr">
        <is>
          <t>RDVI</t>
        </is>
      </c>
      <c r="C18" s="3">
        <f>IF(K18&lt;=0.05,"PASS","FAIL")</f>
        <v/>
      </c>
      <c r="D18" t="inlineStr">
        <is>
          <t>PASS</t>
        </is>
      </c>
      <c r="E18" s="3">
        <f>IF(L18&lt;=0.05,"PASS","FAIL")</f>
        <v/>
      </c>
      <c r="F18" s="3">
        <f>IF(AND(C18="PASS",D18="PASS",E18="PASS",F18="PASS"),"PASS","FAIL")</f>
        <v/>
      </c>
      <c r="G18" t="inlineStr">
        <is>
          <t>AMP (0.04699%), BAC (0.00327%), BK (0.07200%), BLK (0.02167%), EWBC (0.33097%), JPM (0.00621%), MTB (0.03759%), NTRS (0.05491%), PNC (0.04545%), RJF (0.14282%), STT (0.11784%), WTFC (0.12493%)</t>
        </is>
      </c>
      <c r="H18" t="inlineStr">
        <is>
          <t>AMP (0.82%), BAC (0.51%), BK (2.22%), BLK (1.47%), EWBC (1.87%), JPM (2.14%), MTB (0.43%), NTRS (0.54%), PNC (1.34%), RJF (1.85%), STT (1.57%), WTFC (0.44%)</t>
        </is>
      </c>
      <c r="I18" s="3" t="n">
        <v>2458207046.41</v>
      </c>
      <c r="J18" s="5" t="n">
        <v>0.003309744902475516</v>
      </c>
      <c r="K18" s="5" t="n">
        <v>0.02219985338895578</v>
      </c>
    </row>
    <row r="19">
      <c r="A19" t="inlineStr">
        <is>
          <t>* Notwithstanding section 12(d)(3) of the Act, an acquiring company may acquire any security issued by a person that, in its most recent fiscal year, derived more than 15 percent of its gross revenues from securities related activities, provided that: (1) Immediately after the acquisition of any equity security, the acquiring company owns not more than 5% of the outstanding securities of that class of the issuer's equity securities; (2) Immediately after the acquisition of any debt security, the acquiring company owns not more than 10% of the outstanding principal amount of the issuer's debt securities; and (3) Immediately after any such acquisition, the acquiring company has invested not more than 5% of the value of its total assets in the securities of the issuer.</t>
        </is>
      </c>
      <c r="B19" t="inlineStr"/>
      <c r="C19" t="inlineStr"/>
      <c r="D19" t="inlineStr"/>
      <c r="E19" t="inlineStr"/>
      <c r="F19" t="inlineStr"/>
      <c r="G19" t="inlineStr"/>
      <c r="H19" t="inlineStr"/>
      <c r="I19" t="inlineStr"/>
      <c r="J19" t="inlineStr"/>
      <c r="K1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2025-11-06T23:12:28Z</dcterms:created>
  <dcterms:modified xmlns:dcterms="http://purl.org/dc/terms/" xmlns:xsi="http://www.w3.org/2001/XMLSchema-instance" xsi:type="dcterms:W3CDTF">2025-11-06T23:12:29Z</dcterms:modified>
</cp:coreProperties>
</file>