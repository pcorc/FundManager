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40Act_Diversification" sheetId="2" state="visible" r:id="rId2"/>
    <sheet xmlns:r="http://schemas.openxmlformats.org/officeDocument/2006/relationships" name="IRS_Diver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10" customWidth="1" min="4" max="4"/>
    <col width="12" customWidth="1" min="5" max="5"/>
    <col width="12" customWidth="1" min="6" max="6"/>
    <col width="21" customWidth="1" min="7" max="7"/>
    <col width="14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Cash</t>
        </is>
      </c>
      <c r="D1" s="1" t="inlineStr">
        <is>
          <t>Treasury</t>
        </is>
      </c>
      <c r="E1" s="1" t="inlineStr">
        <is>
          <t>Equity</t>
        </is>
      </c>
      <c r="F1" s="1" t="inlineStr">
        <is>
          <t>Option DAN</t>
        </is>
      </c>
      <c r="G1" s="1" t="inlineStr">
        <is>
          <t>Option MV</t>
        </is>
      </c>
      <c r="H1" s="1" t="inlineStr">
        <is>
          <t>Total Assets</t>
        </is>
      </c>
      <c r="I1" s="1" t="inlineStr">
        <is>
          <t>Total Net Assets</t>
        </is>
      </c>
    </row>
    <row r="2">
      <c r="A2" s="2" t="n">
        <v>45839</v>
      </c>
      <c r="B2" t="inlineStr">
        <is>
          <t>HE3B1</t>
        </is>
      </c>
      <c r="C2" s="3" t="n">
        <v>426565.767578125</v>
      </c>
      <c r="D2" s="3" t="n">
        <v>0</v>
      </c>
      <c r="E2" s="3" t="n">
        <v>42268680.3</v>
      </c>
      <c r="F2" s="3" t="n">
        <v>0</v>
      </c>
      <c r="G2" s="3" t="n">
        <v>-1278988.32</v>
      </c>
      <c r="H2" s="3" t="n">
        <v>48917423.1</v>
      </c>
      <c r="I2" s="3" t="n">
        <v>41086423.91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9" customWidth="1" min="3" max="3"/>
    <col width="32" customWidth="1" min="4" max="4"/>
    <col width="25" customWidth="1" min="5" max="5"/>
    <col width="41" customWidth="1" min="6" max="6"/>
    <col width="48" customWidth="1" min="7" max="7"/>
    <col width="14" customWidth="1" min="8" max="8"/>
    <col width="30" customWidth="1" min="9" max="9"/>
    <col width="13" customWidth="1" min="10" max="10"/>
    <col width="10" customWidth="1" min="11" max="11"/>
    <col width="42" customWidth="1" min="12" max="12"/>
    <col width="50" customWidth="1" min="13" max="13"/>
    <col width="34" customWidth="1" min="14" max="14"/>
    <col width="42" customWidth="1" min="15" max="15"/>
    <col width="43" customWidth="1" min="16" max="16"/>
    <col width="50" customWidth="1" min="17" max="17"/>
    <col width="40" customWidth="1" min="18" max="18"/>
    <col width="18" customWidth="1" min="19" max="19"/>
    <col width="12" customWidth="1" min="20" max="20"/>
    <col width="7" customWidth="1" min="21" max="2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Condition 40 Act 1</t>
        </is>
      </c>
      <c r="E1" s="1" t="inlineStr">
        <is>
          <t>Condition 40 Act 2a</t>
        </is>
      </c>
      <c r="F1" s="1" t="inlineStr">
        <is>
          <t>Condition 40 Act 2b</t>
        </is>
      </c>
      <c r="G1" s="1" t="inlineStr">
        <is>
          <t>Condition 2a OCC</t>
        </is>
      </c>
      <c r="H1" s="1" t="inlineStr">
        <is>
          <t>Total Assets</t>
        </is>
      </c>
      <c r="I1" s="1" t="inlineStr">
        <is>
          <t>Non-Qualifying Assets Weight</t>
        </is>
      </c>
      <c r="J1" s="1" t="inlineStr">
        <is>
          <t>Net Assets</t>
        </is>
      </c>
      <c r="K1" s="1" t="inlineStr">
        <is>
          <t>Expenses</t>
        </is>
      </c>
      <c r="L1" s="1" t="inlineStr">
        <is>
          <t>Issuer Limited Assets (Condition 2a) Sum</t>
        </is>
      </c>
      <c r="M1" s="1" t="inlineStr">
        <is>
          <t>Issuer Limited Assets (Condition 2a) (Ticker, Shares, Mkt Value)</t>
        </is>
      </c>
      <c r="N1" s="1" t="inlineStr">
        <is>
          <t>Excluded Securities (25% Bucket)</t>
        </is>
      </c>
      <c r="O1" s="1" t="inlineStr">
        <is>
          <t>Cumulative Weight of Excluded Securities</t>
        </is>
      </c>
      <c r="P1" s="1" t="inlineStr">
        <is>
          <t>Cumulative Weight of Remaining Securities</t>
        </is>
      </c>
      <c r="Q1" s="1" t="inlineStr">
        <is>
          <t>Remaining Securities (Ticker, Shares Held, Vest Weight, Vest Ownership of Float)</t>
        </is>
      </c>
      <c r="R1" s="1" t="inlineStr">
        <is>
          <t>Max Ownership % of Float in 75% bucket</t>
        </is>
      </c>
      <c r="S1" s="1" t="inlineStr">
        <is>
          <t>OCC Market Value</t>
        </is>
      </c>
      <c r="T1" s="1" t="inlineStr">
        <is>
          <t>OCC Weight</t>
        </is>
      </c>
      <c r="U1" s="1" t="inlineStr">
        <is>
          <t>Notes</t>
        </is>
      </c>
    </row>
    <row r="2">
      <c r="A2" s="2" t="n">
        <v>45839</v>
      </c>
      <c r="B2" t="inlineStr">
        <is>
          <t>HE3B1</t>
        </is>
      </c>
      <c r="C2" t="inlineStr">
        <is>
          <t>diversified</t>
        </is>
      </c>
      <c r="D2" s="3">
        <f>IF(J2/H2&gt;=0.75,"PASS","FAIL")</f>
        <v/>
      </c>
      <c r="E2" s="3">
        <f>IF(L2=0,"PASS","FAIL")</f>
        <v/>
      </c>
      <c r="F2" s="3">
        <f>IF(R2="","",IF(R2&lt;=0.1,"PASS","FAIL"))</f>
        <v/>
      </c>
      <c r="G2" s="3">
        <f>IF(S2=0,"PASS",IF(S2&lt;=0.05*J2,"PASS","FAIL"))</f>
        <v/>
      </c>
      <c r="H2" s="3" t="n">
        <v>48917423.1</v>
      </c>
      <c r="I2" s="4" t="n">
        <v>0</v>
      </c>
      <c r="J2" s="3" t="n">
        <v>41086423.91</v>
      </c>
      <c r="K2" s="3" t="n">
        <v>2986.97</v>
      </c>
      <c r="L2" s="3" t="n">
        <v>0</v>
      </c>
      <c r="M2" t="inlineStr">
        <is>
          <t>None</t>
        </is>
      </c>
      <c r="N2" t="inlineStr">
        <is>
          <t>None</t>
        </is>
      </c>
      <c r="O2" s="4" t="n">
        <v>0</v>
      </c>
      <c r="P2" s="4" t="n">
        <v>1</v>
      </c>
      <c r="Q2" t="inlineStr">
        <is>
          <t>None</t>
        </is>
      </c>
      <c r="R2" t="inlineStr"/>
      <c r="S2" s="3" t="n">
        <v>0</v>
      </c>
      <c r="T2" s="4" t="n">
        <v>0</v>
      </c>
      <c r="U2" t="inlineStr"/>
    </row>
    <row r="3">
      <c r="A3" t="inlineStr">
        <is>
          <t>* To be classified as a diversified company under the 1940 Act, at least 75% of the value of the fund's total assets must be invested in: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* 1) cash and cash items (including receivables),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* 2) government securities,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* 3) securities of other investment companies, 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* 4) other securities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 xml:space="preserve">* 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* Compliance Conditions: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* Condition 40 Act 1: 75% of the fund must be invested in diversified assets.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* Condition 40 Act 2a: No single issuer in the 75% can exceed 5% of total assets.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* Condition 40 Act 2b: No single issuer in the 75% can exceed 10% of the issuer's voting securities.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7" customWidth="1" min="3" max="3"/>
    <col width="31" customWidth="1" min="4" max="4"/>
    <col width="28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18" customWidth="1" min="14" max="14"/>
    <col width="16" customWidth="1" min="15" max="15"/>
    <col width="22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45839</v>
      </c>
      <c r="B2" t="inlineStr">
        <is>
          <t>HE3B1</t>
        </is>
      </c>
      <c r="C2" t="inlineStr">
        <is>
          <t>FAIL</t>
        </is>
      </c>
      <c r="D2" s="3">
        <f>IF(I2/H2&gt;=0.5,"PASS","FAIL")</f>
        <v/>
      </c>
      <c r="E2" s="3">
        <f>IF(L2&lt;=0.5,"PASS","FAIL")</f>
        <v/>
      </c>
      <c r="F2" t="inlineStr">
        <is>
          <t>FAIL</t>
        </is>
      </c>
      <c r="G2" t="inlineStr">
        <is>
          <t>PASS</t>
        </is>
      </c>
      <c r="H2" s="3" t="n">
        <v>0</v>
      </c>
      <c r="I2" s="3" t="n">
        <v>0</v>
      </c>
      <c r="J2" s="3" t="n">
        <v>0</v>
      </c>
      <c r="K2" s="4" t="n">
        <v>0</v>
      </c>
      <c r="L2" s="4" t="n">
        <v>0</v>
      </c>
      <c r="M2" s="3" t="n">
        <v>0</v>
      </c>
      <c r="N2" t="inlineStr">
        <is>
          <t>None</t>
        </is>
      </c>
      <c r="O2" s="4" t="n">
        <v>0</v>
      </c>
      <c r="P2" t="inlineStr">
        <is>
          <t>None</t>
        </is>
      </c>
      <c r="Q2" t="inlineStr">
        <is>
          <t>N/A (0.00%)</t>
        </is>
      </c>
      <c r="R2" t="inlineStr">
        <is>
          <t>N/A (0.00%)</t>
        </is>
      </c>
    </row>
    <row r="3">
      <c r="A3" t="inlineStr">
        <is>
          <t>* IRS Condition 1: 90% of income must come from qualifying sources.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* IRS Condition 2a: At least 50% of assets must be allocated to qualifying securities.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* IRS Condition 2a5: for 50% of portfolio, no issuer is more than 5% of fund assets.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* IRS Condition 2a10: for 50% of portfolio, fund doesn't hold more than 10% of any issuer's outstanding float.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* IRS Condition 2b: No single issuer may constitute more than 25% of assets.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2025-10-31T23:49:28Z</dcterms:created>
  <dcterms:modified xmlns:dcterms="http://purl.org/dc/terms/" xmlns:xsi="http://www.w3.org/2001/XMLSchema-instance" xsi:type="dcterms:W3CDTF">2025-10-31T23:49:28Z</dcterms:modified>
</cp:coreProperties>
</file>