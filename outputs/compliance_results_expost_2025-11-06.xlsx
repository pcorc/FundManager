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Act_Diversification" sheetId="1" state="visible" r:id="rId1"/>
    <sheet xmlns:r="http://schemas.openxmlformats.org/officeDocument/2006/relationships" name="IRS_Divers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0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19" customWidth="1" min="3" max="3"/>
    <col width="19" customWidth="1" min="4" max="4"/>
    <col width="26" customWidth="1" min="5" max="5"/>
    <col width="32" customWidth="1" min="6" max="6"/>
    <col width="30" customWidth="1" min="7" max="7"/>
    <col width="41" customWidth="1" min="8" max="8"/>
    <col width="48" customWidth="1" min="9" max="9"/>
    <col width="14" customWidth="1" min="10" max="10"/>
    <col width="30" customWidth="1" min="11" max="11"/>
    <col width="12" customWidth="1" min="12" max="12"/>
    <col width="10" customWidth="1" min="13" max="13"/>
    <col width="42" customWidth="1" min="14" max="14"/>
    <col width="50" customWidth="1" min="15" max="15"/>
    <col width="34" customWidth="1" min="16" max="16"/>
    <col width="42" customWidth="1" min="17" max="17"/>
    <col width="43" customWidth="1" min="18" max="18"/>
    <col width="50" customWidth="1" min="19" max="19"/>
    <col width="40" customWidth="1" min="20" max="20"/>
    <col width="18" customWidth="1" min="21" max="21"/>
    <col width="12" customWidth="1" min="22" max="22"/>
    <col width="7" customWidth="1" min="23" max="23"/>
    <col width="50" customWidth="1" min="24" max="24"/>
    <col width="50" customWidth="1" min="25" max="25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Fund Registration</t>
        </is>
      </c>
      <c r="D1" s="1" t="inlineStr">
        <is>
          <t>Fund Status Today</t>
        </is>
      </c>
      <c r="E1" s="1" t="inlineStr">
        <is>
          <t>Registration Match</t>
        </is>
      </c>
      <c r="F1" s="1" t="inlineStr">
        <is>
          <t>Condition 40 Act 1</t>
        </is>
      </c>
      <c r="G1" s="1" t="inlineStr">
        <is>
          <t>Condition 40 Act 2a</t>
        </is>
      </c>
      <c r="H1" s="1" t="inlineStr">
        <is>
          <t>Condition 40 Act 2b</t>
        </is>
      </c>
      <c r="I1" s="1" t="inlineStr">
        <is>
          <t>Condition 2a OCC</t>
        </is>
      </c>
      <c r="J1" s="1" t="inlineStr">
        <is>
          <t>Total Assets</t>
        </is>
      </c>
      <c r="K1" s="1" t="inlineStr">
        <is>
          <t>Non-Qualifying Assets Weight</t>
        </is>
      </c>
      <c r="L1" s="1" t="inlineStr">
        <is>
          <t>Net Assets</t>
        </is>
      </c>
      <c r="M1" s="1" t="inlineStr">
        <is>
          <t>Expenses</t>
        </is>
      </c>
      <c r="N1" s="1" t="inlineStr">
        <is>
          <t>Issuer Limited Assets (Condition 2a) Sum</t>
        </is>
      </c>
      <c r="O1" s="1" t="inlineStr">
        <is>
          <t>Issuer Limited Assets (Condition 2a) (Ticker, IIV Shares, Mkt Value)</t>
        </is>
      </c>
      <c r="P1" s="1" t="inlineStr">
        <is>
          <t>Excluded Securities (25% Bucket)</t>
        </is>
      </c>
      <c r="Q1" s="1" t="inlineStr">
        <is>
          <t>Cumulative Weight of Excluded Securities</t>
        </is>
      </c>
      <c r="R1" s="1" t="inlineStr">
        <is>
          <t>Cumulative Weight of Remaining Securities</t>
        </is>
      </c>
      <c r="S1" s="1" t="inlineStr">
        <is>
          <t>Remaining Securities (Ticker, IIV Shares, Vest Weight, Vest Ownership of Float)</t>
        </is>
      </c>
      <c r="T1" s="1" t="inlineStr">
        <is>
          <t>Max Ownership % of Float in 75% bucket</t>
        </is>
      </c>
      <c r="U1" s="1" t="inlineStr">
        <is>
          <t>OCC Market Value</t>
        </is>
      </c>
      <c r="V1" s="1" t="inlineStr">
        <is>
          <t>OCC Weight</t>
        </is>
      </c>
      <c r="W1" s="1" t="inlineStr">
        <is>
          <t>Notes</t>
        </is>
      </c>
      <c r="X1" s="1" t="inlineStr">
        <is>
          <t>Issuer Limited Assets (Condition 2a) (Ticker, Shares, Mkt Value)</t>
        </is>
      </c>
      <c r="Y1" s="1" t="inlineStr">
        <is>
          <t>Remaining Securities (Ticker, Shares, Vest Weight, Vest Ownership of Float)</t>
        </is>
      </c>
    </row>
    <row r="2">
      <c r="A2" s="2" t="n">
        <v>45967</v>
      </c>
      <c r="B2" t="inlineStr">
        <is>
          <t>DOGG</t>
        </is>
      </c>
      <c r="C2" t="inlineStr">
        <is>
          <t>non-diversified</t>
        </is>
      </c>
      <c r="D2" t="inlineStr">
        <is>
          <t>diversified</t>
        </is>
      </c>
      <c r="E2" s="3">
        <f>IF(C2=D2,"PASS","FAIL")</f>
        <v/>
      </c>
      <c r="F2" s="3">
        <f>IF(L2/J2&gt;=0.75,"PASS","FAIL")</f>
        <v/>
      </c>
      <c r="G2" s="3">
        <f>IF(O2="None","PASS","FAIL")</f>
        <v/>
      </c>
      <c r="H2" s="3">
        <f>IF(T2="","",IF(T2&lt;=0.1,"PASS","FAIL"))</f>
        <v/>
      </c>
      <c r="I2" s="3">
        <f>IF(U2=0,"PASS",IF(U2&lt;=0.05*L2,"PASS","FAIL"))</f>
        <v/>
      </c>
      <c r="J2" s="3" t="n">
        <v>52325171.44</v>
      </c>
      <c r="K2" s="4" t="n">
        <v>0</v>
      </c>
      <c r="L2" s="3" t="n">
        <v>42324728.1</v>
      </c>
      <c r="M2" s="3" t="n">
        <v>869</v>
      </c>
      <c r="N2" s="3" t="n">
        <v>0</v>
      </c>
      <c r="O2" t="inlineStr">
        <is>
          <t>None</t>
        </is>
      </c>
      <c r="P2" t="inlineStr">
        <is>
          <t>VZ, VZ, AMGN, AMGN, MCD, MCD</t>
        </is>
      </c>
      <c r="Q2" s="4" t="n">
        <v>0.2952583770998874</v>
      </c>
      <c r="R2" s="4" t="n">
        <v>0.7047416229001127</v>
      </c>
      <c r="S2" t="inlineStr">
        <is>
          <t>(None, 12,435, 3.67%, 0.0006176%), (None, 12,435, 3.67%, 0.0006176%), (None, 13,155, 3.67%, 0.0005630%), (None, 13,155, 3.67%, 0.0005630%), (None, 27,636, 3.63%, 0.0006425%), (None, 27,636, 3.63%, 0.0006425%), (None, 20,738, 3.39%, 0.0008355%), (None, 20,738, 3.39%, 0.0008355%), (None, 24,157, 3.30%, 0.0006114%), (None, 24,157, 3.30%, 0.0006114%), (None, 8,597, 3.06%, 0.0003568%), (None, 8,597, 3.06%, 0.0003568%), (None, 4,734, 2.79%, 0.0005065%), (None, 4,734, 2.79%, 0.0005065%)</t>
        </is>
      </c>
      <c r="T2" s="4" t="n">
        <v>8.355281155734657e-06</v>
      </c>
      <c r="U2" s="3" t="n">
        <v>0</v>
      </c>
      <c r="V2" s="4" t="n">
        <v>0</v>
      </c>
      <c r="W2" t="inlineStr"/>
      <c r="X2" t="inlineStr"/>
      <c r="Y2" t="inlineStr"/>
    </row>
    <row r="3">
      <c r="A3" s="2" t="n">
        <v>45967</v>
      </c>
      <c r="B3" t="inlineStr">
        <is>
          <t>TDVI</t>
        </is>
      </c>
      <c r="C3" t="inlineStr"/>
      <c r="D3" t="inlineStr"/>
      <c r="E3" s="3">
        <f>IF(C3=D3,"PASS","FAIL")</f>
        <v/>
      </c>
      <c r="F3" s="3">
        <f>IF(L3/J3&gt;=0.75,"PASS","FAIL")</f>
        <v/>
      </c>
      <c r="G3" s="3">
        <f>IF(O3="None","PASS","FAIL")</f>
        <v/>
      </c>
      <c r="H3" s="3">
        <f>IF(T3="","",IF(T3&lt;=0.1,"PASS","FAIL"))</f>
        <v/>
      </c>
      <c r="I3" s="3">
        <f>IF(U3=0,"PASS",IF(U3&lt;=0.05*L3,"PASS","FAIL"))</f>
        <v/>
      </c>
      <c r="J3" s="3" t="n">
        <v>0</v>
      </c>
      <c r="K3" s="4" t="n">
        <v>0</v>
      </c>
      <c r="L3" s="3" t="n">
        <v>0</v>
      </c>
      <c r="M3" s="3" t="n">
        <v>0</v>
      </c>
      <c r="N3" s="3" t="n">
        <v>0</v>
      </c>
      <c r="O3" t="inlineStr"/>
      <c r="P3" t="inlineStr">
        <is>
          <t>None</t>
        </is>
      </c>
      <c r="Q3" s="4" t="n">
        <v>0</v>
      </c>
      <c r="R3" s="4" t="n">
        <v>0</v>
      </c>
      <c r="S3" t="inlineStr"/>
      <c r="T3" s="4" t="n">
        <v>0</v>
      </c>
      <c r="U3" s="3" t="n">
        <v>0</v>
      </c>
      <c r="V3" s="4" t="n">
        <v>0</v>
      </c>
      <c r="W3" t="inlineStr"/>
      <c r="X3" t="inlineStr">
        <is>
          <t>None</t>
        </is>
      </c>
      <c r="Y3" t="inlineStr">
        <is>
          <t>None</t>
        </is>
      </c>
    </row>
    <row r="4">
      <c r="A4" s="2" t="n">
        <v>45967</v>
      </c>
      <c r="B4" t="inlineStr">
        <is>
          <t>RDVI</t>
        </is>
      </c>
      <c r="C4" t="inlineStr"/>
      <c r="D4" t="inlineStr"/>
      <c r="E4" s="3">
        <f>IF(C4=D4,"PASS","FAIL")</f>
        <v/>
      </c>
      <c r="F4" s="3">
        <f>IF(L4/J4&gt;=0.75,"PASS","FAIL")</f>
        <v/>
      </c>
      <c r="G4" s="3">
        <f>IF(O4="None","PASS","FAIL")</f>
        <v/>
      </c>
      <c r="H4" s="3">
        <f>IF(T4="","",IF(T4&lt;=0.1,"PASS","FAIL"))</f>
        <v/>
      </c>
      <c r="I4" s="3">
        <f>IF(U4=0,"PASS",IF(U4&lt;=0.05*L4,"PASS","FAIL"))</f>
        <v/>
      </c>
      <c r="J4" s="3" t="n">
        <v>0</v>
      </c>
      <c r="K4" s="4" t="n">
        <v>0</v>
      </c>
      <c r="L4" s="3" t="n">
        <v>0</v>
      </c>
      <c r="M4" s="3" t="n">
        <v>0</v>
      </c>
      <c r="N4" s="3" t="n">
        <v>0</v>
      </c>
      <c r="O4" t="inlineStr"/>
      <c r="P4" t="inlineStr">
        <is>
          <t>None</t>
        </is>
      </c>
      <c r="Q4" s="4" t="n">
        <v>0</v>
      </c>
      <c r="R4" s="4" t="n">
        <v>0</v>
      </c>
      <c r="S4" t="inlineStr"/>
      <c r="T4" s="4" t="n">
        <v>0</v>
      </c>
      <c r="U4" s="3" t="n">
        <v>0</v>
      </c>
      <c r="V4" s="4" t="n">
        <v>0</v>
      </c>
      <c r="W4" t="inlineStr"/>
      <c r="X4" t="inlineStr">
        <is>
          <t>None</t>
        </is>
      </c>
      <c r="Y4" t="inlineStr">
        <is>
          <t>None</t>
        </is>
      </c>
    </row>
    <row r="5">
      <c r="A5" s="2" t="n">
        <v>45967</v>
      </c>
      <c r="B5" t="inlineStr">
        <is>
          <t>SDVD</t>
        </is>
      </c>
      <c r="C5" t="inlineStr"/>
      <c r="D5" t="inlineStr"/>
      <c r="E5" s="3">
        <f>IF(C5=D5,"PASS","FAIL")</f>
        <v/>
      </c>
      <c r="F5" s="3">
        <f>IF(L5/J5&gt;=0.75,"PASS","FAIL")</f>
        <v/>
      </c>
      <c r="G5" s="3">
        <f>IF(O5="None","PASS","FAIL")</f>
        <v/>
      </c>
      <c r="H5" s="3">
        <f>IF(T5="","",IF(T5&lt;=0.1,"PASS","FAIL"))</f>
        <v/>
      </c>
      <c r="I5" s="3">
        <f>IF(U5=0,"PASS",IF(U5&lt;=0.05*L5,"PASS","FAIL"))</f>
        <v/>
      </c>
      <c r="J5" s="3" t="n">
        <v>0</v>
      </c>
      <c r="K5" s="4" t="n">
        <v>0</v>
      </c>
      <c r="L5" s="3" t="n">
        <v>0</v>
      </c>
      <c r="M5" s="3" t="n">
        <v>0</v>
      </c>
      <c r="N5" s="3" t="n">
        <v>0</v>
      </c>
      <c r="O5" t="inlineStr"/>
      <c r="P5" t="inlineStr">
        <is>
          <t>None</t>
        </is>
      </c>
      <c r="Q5" s="4" t="n">
        <v>0</v>
      </c>
      <c r="R5" s="4" t="n">
        <v>0</v>
      </c>
      <c r="S5" t="inlineStr"/>
      <c r="T5" s="4" t="n">
        <v>0</v>
      </c>
      <c r="U5" s="3" t="n">
        <v>0</v>
      </c>
      <c r="V5" s="4" t="n">
        <v>0</v>
      </c>
      <c r="W5" t="inlineStr"/>
      <c r="X5" t="inlineStr">
        <is>
          <t>None</t>
        </is>
      </c>
      <c r="Y5" t="inlineStr">
        <is>
          <t>None</t>
        </is>
      </c>
    </row>
    <row r="6">
      <c r="A6" s="2" t="n">
        <v>45967</v>
      </c>
      <c r="B6" t="inlineStr">
        <is>
          <t>FDND</t>
        </is>
      </c>
      <c r="C6" t="inlineStr"/>
      <c r="D6" t="inlineStr"/>
      <c r="E6" s="3">
        <f>IF(C6=D6,"PASS","FAIL")</f>
        <v/>
      </c>
      <c r="F6" s="3">
        <f>IF(L6/J6&gt;=0.75,"PASS","FAIL")</f>
        <v/>
      </c>
      <c r="G6" s="3">
        <f>IF(O6="None","PASS","FAIL")</f>
        <v/>
      </c>
      <c r="H6" s="3">
        <f>IF(T6="","",IF(T6&lt;=0.1,"PASS","FAIL"))</f>
        <v/>
      </c>
      <c r="I6" s="3">
        <f>IF(U6=0,"PASS",IF(U6&lt;=0.05*L6,"PASS","FAIL"))</f>
        <v/>
      </c>
      <c r="J6" s="3" t="n">
        <v>0</v>
      </c>
      <c r="K6" s="4" t="n">
        <v>0</v>
      </c>
      <c r="L6" s="3" t="n">
        <v>0</v>
      </c>
      <c r="M6" s="3" t="n">
        <v>0</v>
      </c>
      <c r="N6" s="3" t="n">
        <v>0</v>
      </c>
      <c r="O6" t="inlineStr"/>
      <c r="P6" t="inlineStr">
        <is>
          <t>None</t>
        </is>
      </c>
      <c r="Q6" s="4" t="n">
        <v>0</v>
      </c>
      <c r="R6" s="4" t="n">
        <v>0</v>
      </c>
      <c r="S6" t="inlineStr"/>
      <c r="T6" s="4" t="n">
        <v>0</v>
      </c>
      <c r="U6" s="3" t="n">
        <v>0</v>
      </c>
      <c r="V6" s="4" t="n">
        <v>0</v>
      </c>
      <c r="W6" t="inlineStr"/>
      <c r="X6" t="inlineStr">
        <is>
          <t>None</t>
        </is>
      </c>
      <c r="Y6" t="inlineStr">
        <is>
          <t>None</t>
        </is>
      </c>
    </row>
    <row r="7">
      <c r="A7" s="2" t="n">
        <v>45967</v>
      </c>
      <c r="B7" t="inlineStr">
        <is>
          <t>KNG</t>
        </is>
      </c>
      <c r="C7" t="inlineStr"/>
      <c r="D7" t="inlineStr"/>
      <c r="E7" s="3">
        <f>IF(C7=D7,"PASS","FAIL")</f>
        <v/>
      </c>
      <c r="F7" s="3">
        <f>IF(L7/J7&gt;=0.75,"PASS","FAIL")</f>
        <v/>
      </c>
      <c r="G7" s="3">
        <f>IF(O7="None","PASS","FAIL")</f>
        <v/>
      </c>
      <c r="H7" s="3">
        <f>IF(T7="","",IF(T7&lt;=0.1,"PASS","FAIL"))</f>
        <v/>
      </c>
      <c r="I7" s="3">
        <f>IF(U7=0,"PASS",IF(U7&lt;=0.05*L7,"PASS","FAIL"))</f>
        <v/>
      </c>
      <c r="J7" s="3" t="n">
        <v>0</v>
      </c>
      <c r="K7" s="4" t="n">
        <v>0</v>
      </c>
      <c r="L7" s="3" t="n">
        <v>0</v>
      </c>
      <c r="M7" s="3" t="n">
        <v>0</v>
      </c>
      <c r="N7" s="3" t="n">
        <v>0</v>
      </c>
      <c r="O7" t="inlineStr"/>
      <c r="P7" t="inlineStr">
        <is>
          <t>None</t>
        </is>
      </c>
      <c r="Q7" s="4" t="n">
        <v>0</v>
      </c>
      <c r="R7" s="4" t="n">
        <v>0</v>
      </c>
      <c r="S7" t="inlineStr"/>
      <c r="T7" s="4" t="n">
        <v>0</v>
      </c>
      <c r="U7" s="3" t="n">
        <v>0</v>
      </c>
      <c r="V7" s="4" t="n">
        <v>0</v>
      </c>
      <c r="W7" t="inlineStr"/>
      <c r="X7" t="inlineStr">
        <is>
          <t>None</t>
        </is>
      </c>
      <c r="Y7" t="inlineStr">
        <is>
          <t>None</t>
        </is>
      </c>
    </row>
    <row r="8">
      <c r="A8" s="2" t="n">
        <v>45967</v>
      </c>
      <c r="B8" t="inlineStr">
        <is>
          <t>FGSI</t>
        </is>
      </c>
      <c r="C8" t="inlineStr"/>
      <c r="D8" t="inlineStr"/>
      <c r="E8" s="3">
        <f>IF(C8=D8,"PASS","FAIL")</f>
        <v/>
      </c>
      <c r="F8" s="3">
        <f>IF(L8/J8&gt;=0.75,"PASS","FAIL")</f>
        <v/>
      </c>
      <c r="G8" s="3">
        <f>IF(O8="None","PASS","FAIL")</f>
        <v/>
      </c>
      <c r="H8" s="3">
        <f>IF(T8="","",IF(T8&lt;=0.1,"PASS","FAIL"))</f>
        <v/>
      </c>
      <c r="I8" s="3">
        <f>IF(U8=0,"PASS",IF(U8&lt;=0.05*L8,"PASS","FAIL"))</f>
        <v/>
      </c>
      <c r="J8" s="3" t="n">
        <v>0</v>
      </c>
      <c r="K8" s="4" t="n">
        <v>0</v>
      </c>
      <c r="L8" s="3" t="n">
        <v>0</v>
      </c>
      <c r="M8" s="3" t="n">
        <v>0</v>
      </c>
      <c r="N8" s="3" t="n">
        <v>0</v>
      </c>
      <c r="O8" t="inlineStr"/>
      <c r="P8" t="inlineStr">
        <is>
          <t>None</t>
        </is>
      </c>
      <c r="Q8" s="4" t="n">
        <v>0</v>
      </c>
      <c r="R8" s="4" t="n">
        <v>0</v>
      </c>
      <c r="S8" t="inlineStr"/>
      <c r="T8" s="4" t="n">
        <v>0</v>
      </c>
      <c r="U8" s="3" t="n">
        <v>0</v>
      </c>
      <c r="V8" s="4" t="n">
        <v>0</v>
      </c>
      <c r="W8" t="inlineStr"/>
      <c r="X8" t="inlineStr">
        <is>
          <t>None</t>
        </is>
      </c>
      <c r="Y8" t="inlineStr">
        <is>
          <t>None</t>
        </is>
      </c>
    </row>
    <row r="9">
      <c r="A9" t="inlineStr">
        <is>
          <t>* To be classified as a diversified company under the 1940 Act, at least 75% of the value of the fund's total assets must be invested in: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* 1) cash and cash items (including receivables),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* 2) government securities,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* 3) securities of other investment companies, 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* 4) other securities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 xml:space="preserve">* 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* Compliance Conditions: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* Condition 40 Act 1: 75% of the fund must be invested in diversified assets.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* Condition 40 Act 2a: No single issuer in the 75% can exceed 5% of total assets.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* Condition 40 Act 2b: No single issuer in the 75% can exceed 10% of the issuer's voting securities.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17" customWidth="1" min="3" max="3"/>
    <col width="31" customWidth="1" min="4" max="4"/>
    <col width="28" customWidth="1" min="5" max="5"/>
    <col width="22" customWidth="1" min="6" max="6"/>
    <col width="19" customWidth="1" min="7" max="7"/>
    <col width="14" customWidth="1" min="8" max="8"/>
    <col width="25" customWidth="1" min="9" max="9"/>
    <col width="10" customWidth="1" min="10" max="10"/>
    <col width="23" customWidth="1" min="11" max="11"/>
    <col width="30" customWidth="1" min="12" max="12"/>
    <col width="24" customWidth="1" min="13" max="13"/>
    <col width="18" customWidth="1" min="14" max="14"/>
    <col width="16" customWidth="1" min="15" max="15"/>
    <col width="22" customWidth="1" min="16" max="16"/>
    <col width="27" customWidth="1" min="17" max="17"/>
    <col width="34" customWidth="1" min="18" max="18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condition_IRS_1</t>
        </is>
      </c>
      <c r="D1" s="1" t="inlineStr">
        <is>
          <t>condition_IRS_2_a_50</t>
        </is>
      </c>
      <c r="E1" s="1" t="inlineStr">
        <is>
          <t>condition_IRS_2_a_5</t>
        </is>
      </c>
      <c r="F1" s="1" t="inlineStr">
        <is>
          <t>condition_IRS_2_a_10</t>
        </is>
      </c>
      <c r="G1" s="1" t="inlineStr">
        <is>
          <t>condition_IRS_2_b</t>
        </is>
      </c>
      <c r="H1" s="1" t="inlineStr">
        <is>
          <t>total_assets</t>
        </is>
      </c>
      <c r="I1" s="1" t="inlineStr">
        <is>
          <t>qualifying_assets_value</t>
        </is>
      </c>
      <c r="J1" s="1" t="inlineStr">
        <is>
          <t>expenses</t>
        </is>
      </c>
      <c r="K1" s="1" t="inlineStr">
        <is>
          <t>five_pct_gross_assets</t>
        </is>
      </c>
      <c r="L1" s="1" t="inlineStr">
        <is>
          <t>sum_large_securities_weights</t>
        </is>
      </c>
      <c r="M1" s="1" t="inlineStr">
        <is>
          <t>large_securities_count</t>
        </is>
      </c>
      <c r="N1" s="1" t="inlineStr">
        <is>
          <t>large_securities</t>
        </is>
      </c>
      <c r="O1" s="1" t="inlineStr">
        <is>
          <t>overlap_weight</t>
        </is>
      </c>
      <c r="P1" s="1" t="inlineStr">
        <is>
          <t>overlap_constituents</t>
        </is>
      </c>
      <c r="Q1" s="1" t="inlineStr">
        <is>
          <t>bottom_50_largest_holding</t>
        </is>
      </c>
      <c r="R1" s="1" t="inlineStr">
        <is>
          <t>bottom_50_second_largest_holding</t>
        </is>
      </c>
    </row>
    <row r="2">
      <c r="A2" s="2" t="n">
        <v>45967</v>
      </c>
      <c r="B2" t="inlineStr">
        <is>
          <t>DOGG</t>
        </is>
      </c>
      <c r="C2" t="inlineStr">
        <is>
          <t>FAIL</t>
        </is>
      </c>
      <c r="D2" s="3">
        <f>IF(I2/H2&gt;=0.5,"PASS","FAIL")</f>
        <v/>
      </c>
      <c r="E2" s="3">
        <f>IF(L2&lt;=0.5,"PASS","FAIL")</f>
        <v/>
      </c>
      <c r="F2" t="inlineStr">
        <is>
          <t>FAIL</t>
        </is>
      </c>
      <c r="G2" t="inlineStr">
        <is>
          <t>PASS</t>
        </is>
      </c>
      <c r="H2" s="3" t="n">
        <v>0</v>
      </c>
      <c r="I2" s="3" t="n">
        <v>0</v>
      </c>
      <c r="J2" s="3" t="n">
        <v>0</v>
      </c>
      <c r="K2" s="4" t="n">
        <v>0</v>
      </c>
      <c r="L2" s="4" t="n">
        <v>0</v>
      </c>
      <c r="M2" s="3" t="n">
        <v>0</v>
      </c>
      <c r="N2" t="inlineStr">
        <is>
          <t>None</t>
        </is>
      </c>
      <c r="O2" s="4" t="n">
        <v>0</v>
      </c>
      <c r="P2" t="inlineStr">
        <is>
          <t>None</t>
        </is>
      </c>
      <c r="Q2" t="inlineStr">
        <is>
          <t>N/A (0.00%)</t>
        </is>
      </c>
      <c r="R2" t="inlineStr">
        <is>
          <t>N/A (0.00%)</t>
        </is>
      </c>
    </row>
    <row r="3">
      <c r="A3" s="2" t="n">
        <v>45967</v>
      </c>
      <c r="B3" t="inlineStr">
        <is>
          <t>TDVI</t>
        </is>
      </c>
      <c r="C3" t="inlineStr">
        <is>
          <t>FAIL</t>
        </is>
      </c>
      <c r="D3" s="3">
        <f>IF(I3/H3&gt;=0.5,"PASS","FAIL")</f>
        <v/>
      </c>
      <c r="E3" s="3">
        <f>IF(L3&lt;=0.5,"PASS","FAIL")</f>
        <v/>
      </c>
      <c r="F3" t="inlineStr">
        <is>
          <t>FAIL</t>
        </is>
      </c>
      <c r="G3" t="inlineStr">
        <is>
          <t>PASS</t>
        </is>
      </c>
      <c r="H3" s="3" t="n">
        <v>0</v>
      </c>
      <c r="I3" s="3" t="n">
        <v>0</v>
      </c>
      <c r="J3" s="3" t="n">
        <v>0</v>
      </c>
      <c r="K3" s="4" t="n">
        <v>0</v>
      </c>
      <c r="L3" s="4" t="n">
        <v>0</v>
      </c>
      <c r="M3" s="3" t="n">
        <v>0</v>
      </c>
      <c r="N3" t="inlineStr">
        <is>
          <t>None</t>
        </is>
      </c>
      <c r="O3" s="4" t="n">
        <v>0</v>
      </c>
      <c r="P3" t="inlineStr">
        <is>
          <t>None</t>
        </is>
      </c>
      <c r="Q3" t="inlineStr">
        <is>
          <t>N/A (0.00%)</t>
        </is>
      </c>
      <c r="R3" t="inlineStr">
        <is>
          <t>N/A (0.00%)</t>
        </is>
      </c>
    </row>
    <row r="4">
      <c r="A4" s="2" t="n">
        <v>45967</v>
      </c>
      <c r="B4" t="inlineStr">
        <is>
          <t>RDVI</t>
        </is>
      </c>
      <c r="C4" t="inlineStr">
        <is>
          <t>FAIL</t>
        </is>
      </c>
      <c r="D4" s="3">
        <f>IF(I4/H4&gt;=0.5,"PASS","FAIL")</f>
        <v/>
      </c>
      <c r="E4" s="3">
        <f>IF(L4&lt;=0.5,"PASS","FAIL")</f>
        <v/>
      </c>
      <c r="F4" t="inlineStr">
        <is>
          <t>FAIL</t>
        </is>
      </c>
      <c r="G4" t="inlineStr">
        <is>
          <t>PASS</t>
        </is>
      </c>
      <c r="H4" s="3" t="n">
        <v>0</v>
      </c>
      <c r="I4" s="3" t="n">
        <v>0</v>
      </c>
      <c r="J4" s="3" t="n">
        <v>0</v>
      </c>
      <c r="K4" s="4" t="n">
        <v>0</v>
      </c>
      <c r="L4" s="4" t="n">
        <v>0</v>
      </c>
      <c r="M4" s="3" t="n">
        <v>0</v>
      </c>
      <c r="N4" t="inlineStr">
        <is>
          <t>None</t>
        </is>
      </c>
      <c r="O4" s="4" t="n">
        <v>0</v>
      </c>
      <c r="P4" t="inlineStr">
        <is>
          <t>None</t>
        </is>
      </c>
      <c r="Q4" t="inlineStr">
        <is>
          <t>N/A (0.00%)</t>
        </is>
      </c>
      <c r="R4" t="inlineStr">
        <is>
          <t>N/A (0.00%)</t>
        </is>
      </c>
    </row>
    <row r="5">
      <c r="A5" s="2" t="n">
        <v>45967</v>
      </c>
      <c r="B5" t="inlineStr">
        <is>
          <t>SDVD</t>
        </is>
      </c>
      <c r="C5" t="inlineStr">
        <is>
          <t>FAIL</t>
        </is>
      </c>
      <c r="D5" s="3">
        <f>IF(I5/H5&gt;=0.5,"PASS","FAIL")</f>
        <v/>
      </c>
      <c r="E5" s="3">
        <f>IF(L5&lt;=0.5,"PASS","FAIL")</f>
        <v/>
      </c>
      <c r="F5" t="inlineStr">
        <is>
          <t>FAIL</t>
        </is>
      </c>
      <c r="G5" t="inlineStr">
        <is>
          <t>PASS</t>
        </is>
      </c>
      <c r="H5" s="3" t="n">
        <v>0</v>
      </c>
      <c r="I5" s="3" t="n">
        <v>0</v>
      </c>
      <c r="J5" s="3" t="n">
        <v>0</v>
      </c>
      <c r="K5" s="4" t="n">
        <v>0</v>
      </c>
      <c r="L5" s="4" t="n">
        <v>0</v>
      </c>
      <c r="M5" s="3" t="n">
        <v>0</v>
      </c>
      <c r="N5" t="inlineStr">
        <is>
          <t>None</t>
        </is>
      </c>
      <c r="O5" s="4" t="n">
        <v>0</v>
      </c>
      <c r="P5" t="inlineStr">
        <is>
          <t>None</t>
        </is>
      </c>
      <c r="Q5" t="inlineStr">
        <is>
          <t>N/A (0.00%)</t>
        </is>
      </c>
      <c r="R5" t="inlineStr">
        <is>
          <t>N/A (0.00%)</t>
        </is>
      </c>
    </row>
    <row r="6">
      <c r="A6" s="2" t="n">
        <v>45967</v>
      </c>
      <c r="B6" t="inlineStr">
        <is>
          <t>FDND</t>
        </is>
      </c>
      <c r="C6" t="inlineStr">
        <is>
          <t>FAIL</t>
        </is>
      </c>
      <c r="D6" s="3">
        <f>IF(I6/H6&gt;=0.5,"PASS","FAIL")</f>
        <v/>
      </c>
      <c r="E6" s="3">
        <f>IF(L6&lt;=0.5,"PASS","FAIL")</f>
        <v/>
      </c>
      <c r="F6" t="inlineStr">
        <is>
          <t>FAIL</t>
        </is>
      </c>
      <c r="G6" t="inlineStr">
        <is>
          <t>PASS</t>
        </is>
      </c>
      <c r="H6" s="3" t="n">
        <v>0</v>
      </c>
      <c r="I6" s="3" t="n">
        <v>0</v>
      </c>
      <c r="J6" s="3" t="n">
        <v>0</v>
      </c>
      <c r="K6" s="4" t="n">
        <v>0</v>
      </c>
      <c r="L6" s="4" t="n">
        <v>0</v>
      </c>
      <c r="M6" s="3" t="n">
        <v>0</v>
      </c>
      <c r="N6" t="inlineStr">
        <is>
          <t>None</t>
        </is>
      </c>
      <c r="O6" s="4" t="n">
        <v>0</v>
      </c>
      <c r="P6" t="inlineStr">
        <is>
          <t>None</t>
        </is>
      </c>
      <c r="Q6" t="inlineStr">
        <is>
          <t>N/A (0.00%)</t>
        </is>
      </c>
      <c r="R6" t="inlineStr">
        <is>
          <t>N/A (0.00%)</t>
        </is>
      </c>
    </row>
    <row r="7">
      <c r="A7" s="2" t="n">
        <v>45967</v>
      </c>
      <c r="B7" t="inlineStr">
        <is>
          <t>KNG</t>
        </is>
      </c>
      <c r="C7" t="inlineStr">
        <is>
          <t>FAIL</t>
        </is>
      </c>
      <c r="D7" s="3">
        <f>IF(I7/H7&gt;=0.5,"PASS","FAIL")</f>
        <v/>
      </c>
      <c r="E7" s="3">
        <f>IF(L7&lt;=0.5,"PASS","FAIL")</f>
        <v/>
      </c>
      <c r="F7" t="inlineStr">
        <is>
          <t>FAIL</t>
        </is>
      </c>
      <c r="G7" t="inlineStr">
        <is>
          <t>PASS</t>
        </is>
      </c>
      <c r="H7" s="3" t="n">
        <v>0</v>
      </c>
      <c r="I7" s="3" t="n">
        <v>0</v>
      </c>
      <c r="J7" s="3" t="n">
        <v>0</v>
      </c>
      <c r="K7" s="4" t="n">
        <v>0</v>
      </c>
      <c r="L7" s="4" t="n">
        <v>0</v>
      </c>
      <c r="M7" s="3" t="n">
        <v>0</v>
      </c>
      <c r="N7" t="inlineStr">
        <is>
          <t>None</t>
        </is>
      </c>
      <c r="O7" s="4" t="n">
        <v>0</v>
      </c>
      <c r="P7" t="inlineStr">
        <is>
          <t>None</t>
        </is>
      </c>
      <c r="Q7" t="inlineStr">
        <is>
          <t>N/A (0.00%)</t>
        </is>
      </c>
      <c r="R7" t="inlineStr">
        <is>
          <t>N/A (0.00%)</t>
        </is>
      </c>
    </row>
    <row r="8">
      <c r="A8" s="2" t="n">
        <v>45967</v>
      </c>
      <c r="B8" t="inlineStr">
        <is>
          <t>FGSI</t>
        </is>
      </c>
      <c r="C8" t="inlineStr">
        <is>
          <t>FAIL</t>
        </is>
      </c>
      <c r="D8" s="3">
        <f>IF(I8/H8&gt;=0.5,"PASS","FAIL")</f>
        <v/>
      </c>
      <c r="E8" s="3">
        <f>IF(L8&lt;=0.5,"PASS","FAIL")</f>
        <v/>
      </c>
      <c r="F8" t="inlineStr">
        <is>
          <t>FAIL</t>
        </is>
      </c>
      <c r="G8" t="inlineStr">
        <is>
          <t>PASS</t>
        </is>
      </c>
      <c r="H8" s="3" t="n">
        <v>0</v>
      </c>
      <c r="I8" s="3" t="n">
        <v>0</v>
      </c>
      <c r="J8" s="3" t="n">
        <v>0</v>
      </c>
      <c r="K8" s="4" t="n">
        <v>0</v>
      </c>
      <c r="L8" s="4" t="n">
        <v>0</v>
      </c>
      <c r="M8" s="3" t="n">
        <v>0</v>
      </c>
      <c r="N8" t="inlineStr">
        <is>
          <t>None</t>
        </is>
      </c>
      <c r="O8" s="4" t="n">
        <v>0</v>
      </c>
      <c r="P8" t="inlineStr">
        <is>
          <t>None</t>
        </is>
      </c>
      <c r="Q8" t="inlineStr">
        <is>
          <t>N/A (0.00%)</t>
        </is>
      </c>
      <c r="R8" t="inlineStr">
        <is>
          <t>N/A (0.00%)</t>
        </is>
      </c>
    </row>
    <row r="9">
      <c r="A9" t="inlineStr">
        <is>
          <t>* IRS Condition 1: 90% of income must come from qualifying sources.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* IRS Condition 2a: At least 50% of assets must be allocated to qualifying securities.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* IRS Condition 2a5: for 50% of portfolio, no issuer is more than 5% of fund assets.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* IRS Condition 2a10: for 50% of portfolio, fund doesn't hold more than 10% of any issuer's outstanding float.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* IRS Condition 2b: No single issuer may constitute more than 25% of assets.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2025-11-21T06:03:41Z</dcterms:created>
  <dcterms:modified xmlns:dcterms="http://purl.org/dc/terms/" xmlns:xsi="http://www.w3.org/2001/XMLSchema-instance" xsi:type="dcterms:W3CDTF">2025-11-21T06:03:41Z</dcterms:modified>
</cp:coreProperties>
</file>